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List of Pokémon" sheetId="2" r:id="rId6"/>
    <sheet state="hidden" name="Dex" sheetId="3" r:id="rId7"/>
  </sheets>
  <definedNames>
    <definedName localSheetId="2" name="cost">#REF!</definedName>
    <definedName localSheetId="2" name="mons">Dex!$B$3:$B$1176</definedName>
    <definedName localSheetId="2" name="tier">Dex!$B$3:$B$1176</definedName>
  </definedNames>
  <calcPr/>
</workbook>
</file>

<file path=xl/sharedStrings.xml><?xml version="1.0" encoding="utf-8"?>
<sst xmlns="http://schemas.openxmlformats.org/spreadsheetml/2006/main" count="2067" uniqueCount="1419">
  <si>
    <t>In Pewter City, Cerulean City and Vermilion City, a certain NPC will ask you if you want to buy a Pokémon Egg from them for 5,000$.</t>
  </si>
  <si>
    <t>You can choose whether you want the Egg to be a truly random Wonder Egg or a Paldea Egg.</t>
  </si>
  <si>
    <r>
      <rPr>
        <rFont val="Exo 2"/>
        <b/>
        <sz val="13.0"/>
      </rPr>
      <t xml:space="preserve">Select the </t>
    </r>
    <r>
      <rPr>
        <rFont val="Exo 2"/>
        <b/>
        <color rgb="FF1155CC"/>
        <sz val="13.0"/>
        <u/>
      </rPr>
      <t>"List of Pokémon"</t>
    </r>
    <r>
      <rPr>
        <rFont val="Exo 2"/>
        <b/>
        <sz val="13.0"/>
      </rPr>
      <t xml:space="preserve"> tab below to check the list of Pokémon available in each pool, sorted in alphabetical order, or click/tap the link inside that box.</t>
    </r>
  </si>
  <si>
    <t>An Aide will give you a Sevii Egg in the Celadon City Pokémon Center after you obtain your 4th badge, and in Fuchsia City's Pokémon Center the first time you enter the building.</t>
  </si>
  <si>
    <t>The content of those Eggs is random, so make sure you save BEFORE claiming the Egg if you need multiple chances at hatching a target Pokémon.</t>
  </si>
  <si>
    <t>Both Sevii Eggs have no possibility of duplicate; this means the Pokémon inside a Sevii Egg will always be different than the one inside the other Sevii Egg.</t>
  </si>
  <si>
    <t>PEWTER CITY</t>
  </si>
  <si>
    <t>CERULEAN &amp;
VERMILION CITY</t>
  </si>
  <si>
    <t>PALDEAN EGG</t>
  </si>
  <si>
    <t>SEVIIAN EGG</t>
  </si>
  <si>
    <t>Abra</t>
  </si>
  <si>
    <t>Bombirdier</t>
  </si>
  <si>
    <t>Blitzle-Sevii</t>
  </si>
  <si>
    <t>Amaura</t>
  </si>
  <si>
    <t>Alomomola</t>
  </si>
  <si>
    <t>Bramblin</t>
  </si>
  <si>
    <t>Carnivine-Sevii</t>
  </si>
  <si>
    <t>Anorith</t>
  </si>
  <si>
    <t>Capsakid</t>
  </si>
  <si>
    <t>Clauncher-Sevii</t>
  </si>
  <si>
    <t>Applin</t>
  </si>
  <si>
    <t>Cetoddle</t>
  </si>
  <si>
    <t>Dhelmise-Sevii</t>
  </si>
  <si>
    <t>Archen</t>
  </si>
  <si>
    <t>Charcadet</t>
  </si>
  <si>
    <t>Doduo-Sevii</t>
  </si>
  <si>
    <t>Aron</t>
  </si>
  <si>
    <t>Cyclizar</t>
  </si>
  <si>
    <t>Feebas-Sevii</t>
  </si>
  <si>
    <t>Arrokuda</t>
  </si>
  <si>
    <t>Dondozo</t>
  </si>
  <si>
    <t>Mantyke-Sevii</t>
  </si>
  <si>
    <t>Axew</t>
  </si>
  <si>
    <t>Fidough</t>
  </si>
  <si>
    <t>Noibat-Sevii</t>
  </si>
  <si>
    <t>Bagon</t>
  </si>
  <si>
    <t>Finizen</t>
  </si>
  <si>
    <t>Nymble-Sevii</t>
  </si>
  <si>
    <t>Baltoy</t>
  </si>
  <si>
    <t>Flamigo</t>
  </si>
  <si>
    <t>Sizzlipede-Sevii</t>
  </si>
  <si>
    <t>Barboach</t>
  </si>
  <si>
    <t>Flittle</t>
  </si>
  <si>
    <t>Teddiursa-Sevii</t>
  </si>
  <si>
    <t>Beldum</t>
  </si>
  <si>
    <t>Frigibax</t>
  </si>
  <si>
    <t>Wishiwashi-Sevii</t>
  </si>
  <si>
    <t>Bellsprout</t>
  </si>
  <si>
    <t>Basculin</t>
  </si>
  <si>
    <t>Fuecoco</t>
  </si>
  <si>
    <t>Bergmite</t>
  </si>
  <si>
    <t>Gimmighoul</t>
  </si>
  <si>
    <t>Binacle</t>
  </si>
  <si>
    <t>Glimmet</t>
  </si>
  <si>
    <t>Blitzle</t>
  </si>
  <si>
    <t>Greavard</t>
  </si>
  <si>
    <t>Lechonk</t>
  </si>
  <si>
    <t>Bonsly</t>
  </si>
  <si>
    <t>Maschiff</t>
  </si>
  <si>
    <t>Bounsweet</t>
  </si>
  <si>
    <t>Nacli</t>
  </si>
  <si>
    <t>Nymble</t>
  </si>
  <si>
    <t>Bronzor</t>
  </si>
  <si>
    <t>Orthworm</t>
  </si>
  <si>
    <t>Buizel</t>
  </si>
  <si>
    <t>Bouffalant</t>
  </si>
  <si>
    <t>Pawmi</t>
  </si>
  <si>
    <t>Bulbasaur</t>
  </si>
  <si>
    <t>Poltchageist</t>
  </si>
  <si>
    <t>Buneary</t>
  </si>
  <si>
    <t>Quaxly</t>
  </si>
  <si>
    <t>Bunnelby</t>
  </si>
  <si>
    <t>Rellor</t>
  </si>
  <si>
    <t>Cacnea</t>
  </si>
  <si>
    <t>Bruxish</t>
  </si>
  <si>
    <t>Shroodle</t>
  </si>
  <si>
    <t>Smoliv</t>
  </si>
  <si>
    <t>Carvanha</t>
  </si>
  <si>
    <t>Sprigatito</t>
  </si>
  <si>
    <t>Squawkabilly-Green</t>
  </si>
  <si>
    <t>Tadbulb</t>
  </si>
  <si>
    <t>Charmander</t>
  </si>
  <si>
    <t>Tandemaus</t>
  </si>
  <si>
    <t>Chespin</t>
  </si>
  <si>
    <t>Tarountula</t>
  </si>
  <si>
    <t>Chewtle</t>
  </si>
  <si>
    <t>Carbink</t>
  </si>
  <si>
    <t>Tatsugiri-Red</t>
  </si>
  <si>
    <t>Chikorita</t>
  </si>
  <si>
    <t>Carnivine</t>
  </si>
  <si>
    <t>Tauros-Paldea-Fire</t>
  </si>
  <si>
    <t>Chimchar</t>
  </si>
  <si>
    <t>Tauros-Paldea-Water</t>
  </si>
  <si>
    <t>Chingling</t>
  </si>
  <si>
    <t>Castform</t>
  </si>
  <si>
    <t>Tinkatink</t>
  </si>
  <si>
    <t>Clamperl</t>
  </si>
  <si>
    <t>Toedscool</t>
  </si>
  <si>
    <t>Clauncher</t>
  </si>
  <si>
    <t>Varoom</t>
  </si>
  <si>
    <t>Veluza</t>
  </si>
  <si>
    <t>Clobbopus</t>
  </si>
  <si>
    <t>Chatot</t>
  </si>
  <si>
    <t>Wattrel</t>
  </si>
  <si>
    <t>Corphish</t>
  </si>
  <si>
    <t>Wiglett</t>
  </si>
  <si>
    <t>Corsola-Galar</t>
  </si>
  <si>
    <t>Wooper-Paldea</t>
  </si>
  <si>
    <t>Cosmog</t>
  </si>
  <si>
    <t>Crabrawler</t>
  </si>
  <si>
    <t>Cranidos</t>
  </si>
  <si>
    <t>Croagunk</t>
  </si>
  <si>
    <t>Cubchoo</t>
  </si>
  <si>
    <t>Cubone</t>
  </si>
  <si>
    <t>Cufant</t>
  </si>
  <si>
    <t>Cyndaquil</t>
  </si>
  <si>
    <t>Comfey</t>
  </si>
  <si>
    <t>Darumaka</t>
  </si>
  <si>
    <t>Darumaka-Galar</t>
  </si>
  <si>
    <t>Deerling-Winter</t>
  </si>
  <si>
    <t>Deino</t>
  </si>
  <si>
    <t>Dewpider</t>
  </si>
  <si>
    <t>Cramorant</t>
  </si>
  <si>
    <t>Ditto</t>
  </si>
  <si>
    <t>Doduo</t>
  </si>
  <si>
    <t>Cryogonal</t>
  </si>
  <si>
    <t>Dratini</t>
  </si>
  <si>
    <t>Dreepy</t>
  </si>
  <si>
    <t>Drilbur</t>
  </si>
  <si>
    <t>Drowzee</t>
  </si>
  <si>
    <t>Ducklett</t>
  </si>
  <si>
    <t>Duskull</t>
  </si>
  <si>
    <t>Dwebble</t>
  </si>
  <si>
    <t>Eevee</t>
  </si>
  <si>
    <t>Dedenne</t>
  </si>
  <si>
    <t>Electrike</t>
  </si>
  <si>
    <t>Elgyem</t>
  </si>
  <si>
    <t>Emolga</t>
  </si>
  <si>
    <t>Delibird</t>
  </si>
  <si>
    <t>Espurr</t>
  </si>
  <si>
    <t>Exeggcute</t>
  </si>
  <si>
    <t>Farfetch'd-Galar</t>
  </si>
  <si>
    <t>Feebas</t>
  </si>
  <si>
    <t>Fennekin</t>
  </si>
  <si>
    <t>Ferroseed</t>
  </si>
  <si>
    <t>Finneon</t>
  </si>
  <si>
    <t>Flabébé</t>
  </si>
  <si>
    <t>Druddigon</t>
  </si>
  <si>
    <t>Fletchling</t>
  </si>
  <si>
    <t>Dunsparce</t>
  </si>
  <si>
    <t>Fomantis</t>
  </si>
  <si>
    <t>Durant</t>
  </si>
  <si>
    <t>Foongus</t>
  </si>
  <si>
    <t>Frillish</t>
  </si>
  <si>
    <t>Froakie</t>
  </si>
  <si>
    <t>Eiscue</t>
  </si>
  <si>
    <t>Gastly</t>
  </si>
  <si>
    <t>Gible</t>
  </si>
  <si>
    <t>Golett</t>
  </si>
  <si>
    <t>Falinks</t>
  </si>
  <si>
    <t>Goomy</t>
  </si>
  <si>
    <t>Gossifleur</t>
  </si>
  <si>
    <t>Grimer</t>
  </si>
  <si>
    <t>Grimer-Alola</t>
  </si>
  <si>
    <t>Grookey</t>
  </si>
  <si>
    <t>Growlithe</t>
  </si>
  <si>
    <t>Growlithe-Hisui</t>
  </si>
  <si>
    <t>Gulpin</t>
  </si>
  <si>
    <t>Happiny</t>
  </si>
  <si>
    <t>Hatenna</t>
  </si>
  <si>
    <t>Helioptile</t>
  </si>
  <si>
    <t>Hippopotas</t>
  </si>
  <si>
    <t>Floette-Eternal</t>
  </si>
  <si>
    <t>Honedge</t>
  </si>
  <si>
    <t>Impidimp</t>
  </si>
  <si>
    <t>Inkay</t>
  </si>
  <si>
    <t>Jangmo-O</t>
  </si>
  <si>
    <t>Kabuto</t>
  </si>
  <si>
    <t>Karrablast</t>
  </si>
  <si>
    <t>Klink</t>
  </si>
  <si>
    <t>Furfrou</t>
  </si>
  <si>
    <t>Koffing</t>
  </si>
  <si>
    <t>Krabby</t>
  </si>
  <si>
    <t>Kubfu</t>
  </si>
  <si>
    <t>Larvesta</t>
  </si>
  <si>
    <t>Girafarig</t>
  </si>
  <si>
    <t>Larvitar</t>
  </si>
  <si>
    <t>Lickitung</t>
  </si>
  <si>
    <t>Lileep</t>
  </si>
  <si>
    <t>Litten</t>
  </si>
  <si>
    <t>Litwick</t>
  </si>
  <si>
    <t>Lotad</t>
  </si>
  <si>
    <t>Magnemite</t>
  </si>
  <si>
    <t>Makuhita</t>
  </si>
  <si>
    <t>Mantyke</t>
  </si>
  <si>
    <t>Mareanie</t>
  </si>
  <si>
    <t>Meowth</t>
  </si>
  <si>
    <t>Hawlucha</t>
  </si>
  <si>
    <t>Meowth-Alola</t>
  </si>
  <si>
    <t>Heatmor</t>
  </si>
  <si>
    <t>Meowth-Galar</t>
  </si>
  <si>
    <t>Mienfoo</t>
  </si>
  <si>
    <t>Heracross</t>
  </si>
  <si>
    <t>Milcery</t>
  </si>
  <si>
    <t>Mime Jr.</t>
  </si>
  <si>
    <t>Minccino</t>
  </si>
  <si>
    <t>Hoppip</t>
  </si>
  <si>
    <t>Minun</t>
  </si>
  <si>
    <t>Illumise</t>
  </si>
  <si>
    <t>Morelull</t>
  </si>
  <si>
    <t>Mudbray</t>
  </si>
  <si>
    <t>Indeedee</t>
  </si>
  <si>
    <t>Mudkip</t>
  </si>
  <si>
    <t>Indeedee-F</t>
  </si>
  <si>
    <t>Munchlax</t>
  </si>
  <si>
    <t>Munna</t>
  </si>
  <si>
    <t>Natu</t>
  </si>
  <si>
    <t>Nidoran-M</t>
  </si>
  <si>
    <t>Kecleon</t>
  </si>
  <si>
    <t>Nidoran-F</t>
  </si>
  <si>
    <t>Klefki</t>
  </si>
  <si>
    <t>Omanyte</t>
  </si>
  <si>
    <t>Komala</t>
  </si>
  <si>
    <t>Oshawott</t>
  </si>
  <si>
    <t>Pancham</t>
  </si>
  <si>
    <t>Pawniard</t>
  </si>
  <si>
    <t>Petilil</t>
  </si>
  <si>
    <t>Phantump</t>
  </si>
  <si>
    <t>Phione</t>
  </si>
  <si>
    <t>Pineco</t>
  </si>
  <si>
    <t>Piplup</t>
  </si>
  <si>
    <t>Poipole</t>
  </si>
  <si>
    <t>Poliwag</t>
  </si>
  <si>
    <t>Lunatone</t>
  </si>
  <si>
    <t>Luvdisc</t>
  </si>
  <si>
    <t>Ponyta</t>
  </si>
  <si>
    <t>Popplio</t>
  </si>
  <si>
    <t>Purrloin</t>
  </si>
  <si>
    <t>Ralts</t>
  </si>
  <si>
    <t>Maractus</t>
  </si>
  <si>
    <t>Remoraid</t>
  </si>
  <si>
    <t>Rhyhorn</t>
  </si>
  <si>
    <t>Riolu</t>
  </si>
  <si>
    <t>Roggenrola</t>
  </si>
  <si>
    <t>Rolycoly</t>
  </si>
  <si>
    <t>Rookidee</t>
  </si>
  <si>
    <t>Rowlet</t>
  </si>
  <si>
    <t>Miltank</t>
  </si>
  <si>
    <t>Rufflet</t>
  </si>
  <si>
    <t>Salandit</t>
  </si>
  <si>
    <t>Mimikyu</t>
  </si>
  <si>
    <t>Sandygast</t>
  </si>
  <si>
    <t>Scorbunny</t>
  </si>
  <si>
    <t>Minior</t>
  </si>
  <si>
    <t>Scraggy</t>
  </si>
  <si>
    <t>Seedot</t>
  </si>
  <si>
    <t>Seel</t>
  </si>
  <si>
    <t>Morpeko</t>
  </si>
  <si>
    <t>Shellder</t>
  </si>
  <si>
    <t>Shellos-East</t>
  </si>
  <si>
    <t>Shelmet</t>
  </si>
  <si>
    <t>Shieldon</t>
  </si>
  <si>
    <t>Shuppet</t>
  </si>
  <si>
    <t>Sinistea</t>
  </si>
  <si>
    <t>Sizzlipede</t>
  </si>
  <si>
    <t>Skiddo</t>
  </si>
  <si>
    <t>Skitty</t>
  </si>
  <si>
    <t>Skorupi</t>
  </si>
  <si>
    <t>Skrelp</t>
  </si>
  <si>
    <t>Oranguru</t>
  </si>
  <si>
    <t>Slakoth</t>
  </si>
  <si>
    <t>Oricorio</t>
  </si>
  <si>
    <t>Slowpoke-Galar</t>
  </si>
  <si>
    <t>Snivy</t>
  </si>
  <si>
    <t>Pachirisu</t>
  </si>
  <si>
    <t>Snom</t>
  </si>
  <si>
    <t>Snorunt</t>
  </si>
  <si>
    <t>Passimian</t>
  </si>
  <si>
    <t>Snover</t>
  </si>
  <si>
    <t>Sobble</t>
  </si>
  <si>
    <t>Solosis</t>
  </si>
  <si>
    <t>Spheal</t>
  </si>
  <si>
    <t>Spoink</t>
  </si>
  <si>
    <t>Pincurchin</t>
  </si>
  <si>
    <t>Spritzee</t>
  </si>
  <si>
    <t>Pinsir</t>
  </si>
  <si>
    <t>Squirtle</t>
  </si>
  <si>
    <t>Stantler</t>
  </si>
  <si>
    <t>Plusle</t>
  </si>
  <si>
    <t>Staryu</t>
  </si>
  <si>
    <t>Stufful</t>
  </si>
  <si>
    <t>Sunkern</t>
  </si>
  <si>
    <t>Swablu</t>
  </si>
  <si>
    <t>Pyukumuku</t>
  </si>
  <si>
    <t>Tepig</t>
  </si>
  <si>
    <t>Qwilfish</t>
  </si>
  <si>
    <t>Timburr</t>
  </si>
  <si>
    <t>Qwilfish-Hisui</t>
  </si>
  <si>
    <t>Tirtouga</t>
  </si>
  <si>
    <t>Relicanth</t>
  </si>
  <si>
    <t>Togepi</t>
  </si>
  <si>
    <t>Torchic</t>
  </si>
  <si>
    <t>Totodile</t>
  </si>
  <si>
    <t>Toxel</t>
  </si>
  <si>
    <t>Trapinch</t>
  </si>
  <si>
    <t>Treecko</t>
  </si>
  <si>
    <t>Trubbish</t>
  </si>
  <si>
    <t>Rotom</t>
  </si>
  <si>
    <t>Turtwig</t>
  </si>
  <si>
    <t>Tynamo</t>
  </si>
  <si>
    <t>Tyrunt</t>
  </si>
  <si>
    <t>Sableye</t>
  </si>
  <si>
    <t>Unown</t>
  </si>
  <si>
    <t>Vanillite</t>
  </si>
  <si>
    <t>Sawk</t>
  </si>
  <si>
    <t>Venipede</t>
  </si>
  <si>
    <t>Venonat</t>
  </si>
  <si>
    <t>Voltorb</t>
  </si>
  <si>
    <t>Scyther</t>
  </si>
  <si>
    <t>Voltorb-Hisui</t>
  </si>
  <si>
    <t>Vullaby</t>
  </si>
  <si>
    <t>Vulpix-Alola</t>
  </si>
  <si>
    <t>Seviper</t>
  </si>
  <si>
    <t>Wailmer</t>
  </si>
  <si>
    <t>Whismur</t>
  </si>
  <si>
    <t>Wimpod</t>
  </si>
  <si>
    <t>Wooper</t>
  </si>
  <si>
    <t>Shuckle</t>
  </si>
  <si>
    <t>Wynaut</t>
  </si>
  <si>
    <t>Sigilyph</t>
  </si>
  <si>
    <t>Yamask</t>
  </si>
  <si>
    <t>Yamask-Galar</t>
  </si>
  <si>
    <t>Yamper</t>
  </si>
  <si>
    <t>Zorua</t>
  </si>
  <si>
    <t>Zorua-Hisui</t>
  </si>
  <si>
    <t>Sneasel-Hisui</t>
  </si>
  <si>
    <t>Solrock</t>
  </si>
  <si>
    <t>Spinda</t>
  </si>
  <si>
    <t>Spiritomb</t>
  </si>
  <si>
    <t>Stonjourner</t>
  </si>
  <si>
    <t>Stunfisk</t>
  </si>
  <si>
    <t>Stunfisk-Galar</t>
  </si>
  <si>
    <t>Tauros</t>
  </si>
  <si>
    <t>Throh</t>
  </si>
  <si>
    <t>Togedemaru</t>
  </si>
  <si>
    <t>Torkoal</t>
  </si>
  <si>
    <t>Tropius</t>
  </si>
  <si>
    <t>Volbeat</t>
  </si>
  <si>
    <t>Wishiwashi</t>
  </si>
  <si>
    <t>Zangoose</t>
  </si>
  <si>
    <t>Number</t>
  </si>
  <si>
    <t>Pokemon Name</t>
  </si>
  <si>
    <t>Sprite</t>
  </si>
  <si>
    <t>Gen5 Sprites</t>
  </si>
  <si>
    <t>Ivysaur</t>
  </si>
  <si>
    <t>Venusaur</t>
  </si>
  <si>
    <t>Charmeleon</t>
  </si>
  <si>
    <t>Charizard</t>
  </si>
  <si>
    <t>Wartortle</t>
  </si>
  <si>
    <t>Blastoise</t>
  </si>
  <si>
    <t>charizard-megax</t>
  </si>
  <si>
    <t>Caterpie</t>
  </si>
  <si>
    <t>charizard-megay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</si>
  <si>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</si>
  <si>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</si>
  <si>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</si>
  <si>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</si>
  <si>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</si>
  <si>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</si>
  <si>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</si>
  <si>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</si>
  <si>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</si>
  <si>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</si>
  <si>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butterfree-gmax</t>
  </si>
  <si>
    <t>Spearow</t>
  </si>
  <si>
    <t>Fearow</t>
  </si>
  <si>
    <t>Ekans</t>
  </si>
  <si>
    <t>Arbok</t>
  </si>
  <si>
    <t>beedrill-mega</t>
  </si>
  <si>
    <t>Pikachu</t>
  </si>
  <si>
    <t>Raichu</t>
  </si>
  <si>
    <t>Sandshrew</t>
  </si>
  <si>
    <t>Sandslash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</si>
  <si>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</si>
  <si>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</si>
  <si>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</si>
  <si>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</si>
  <si>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</si>
  <si>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</si>
  <si>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</si>
  <si>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</si>
  <si>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</si>
  <si>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</si>
  <si>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</si>
  <si>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</si>
  <si>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</si>
  <si>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</si>
  <si>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</si>
  <si>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</si>
  <si>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</si>
  <si>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Venomoth</t>
  </si>
  <si>
    <t>Diglett</t>
  </si>
  <si>
    <t>Dugtrio</t>
  </si>
  <si>
    <t>Persian</t>
  </si>
  <si>
    <t>Psyduck</t>
  </si>
  <si>
    <t>Golduck</t>
  </si>
  <si>
    <t>Mankey</t>
  </si>
  <si>
    <t>Primeape</t>
  </si>
  <si>
    <t>Arcanine</t>
  </si>
  <si>
    <t>nidoranf</t>
  </si>
  <si>
    <t>Poliwhirl</t>
  </si>
  <si>
    <t>Poliwrath</t>
  </si>
  <si>
    <t>nidoranm</t>
  </si>
  <si>
    <t>Kadabra</t>
  </si>
  <si>
    <t>Alakazam</t>
  </si>
  <si>
    <t>Machop</t>
  </si>
  <si>
    <t>Machoke</t>
  </si>
  <si>
    <t>Machamp</t>
  </si>
  <si>
    <t>Weepinbell</t>
  </si>
  <si>
    <t>Victreebel</t>
  </si>
  <si>
    <t>Tentacool</t>
  </si>
  <si>
    <t>Tentacruel</t>
  </si>
  <si>
    <t>Geodude</t>
  </si>
  <si>
    <t>Graveler</t>
  </si>
  <si>
    <t>Golem</t>
  </si>
  <si>
    <t>Rapidash</t>
  </si>
  <si>
    <t>Slowpoke</t>
  </si>
  <si>
    <t>Slowbro</t>
  </si>
  <si>
    <t>Magneton</t>
  </si>
  <si>
    <t>Farfetch'd</t>
  </si>
  <si>
    <t>Dodrio</t>
  </si>
  <si>
    <t>Dewgong</t>
  </si>
  <si>
    <t>Muk</t>
  </si>
  <si>
    <t>Cloyster</t>
  </si>
  <si>
    <t>Haunter</t>
  </si>
  <si>
    <t>Gengar</t>
  </si>
  <si>
    <t>Onix</t>
  </si>
  <si>
    <t>Hypno</t>
  </si>
  <si>
    <t>Kingler</t>
  </si>
  <si>
    <t>Electrode</t>
  </si>
  <si>
    <t>Exeggutor</t>
  </si>
  <si>
    <t>Marowak</t>
  </si>
  <si>
    <t>Hitmonlee</t>
  </si>
  <si>
    <t>Hitmonchan</t>
  </si>
  <si>
    <t>machamp-gmax</t>
  </si>
  <si>
    <t>Weezing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</si>
  <si>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</si>
  <si>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</si>
  <si>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</si>
  <si>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</si>
  <si>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</si>
  <si>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</si>
  <si>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</si>
  <si>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</si>
  <si>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Starmie</t>
  </si>
  <si>
    <t>Mr. Mime</t>
  </si>
  <si>
    <t>Jynx</t>
  </si>
  <si>
    <t>Electabuzz</t>
  </si>
  <si>
    <t>Magmar</t>
  </si>
  <si>
    <t>Magikarp</t>
  </si>
  <si>
    <t>Gyarados</t>
  </si>
  <si>
    <t>Lapras</t>
  </si>
  <si>
    <t>farfetchd</t>
  </si>
  <si>
    <t>Vaporeon</t>
  </si>
  <si>
    <t>Jolteon</t>
  </si>
  <si>
    <t>Flareon</t>
  </si>
  <si>
    <t>Porygon</t>
  </si>
  <si>
    <t>Omastar</t>
  </si>
  <si>
    <t>Kabutops</t>
  </si>
  <si>
    <t>Aerodactyl</t>
  </si>
  <si>
    <t>Snorlax</t>
  </si>
  <si>
    <t>Articuno</t>
  </si>
  <si>
    <t>Zapdos</t>
  </si>
  <si>
    <t>Moltres</t>
  </si>
  <si>
    <t>Dragonair</t>
  </si>
  <si>
    <t>Dragonite</t>
  </si>
  <si>
    <t>Mewtwo</t>
  </si>
  <si>
    <t>Mew</t>
  </si>
  <si>
    <t>Bayleef</t>
  </si>
  <si>
    <t>kingler-gmax</t>
  </si>
  <si>
    <t>Meganium</t>
  </si>
  <si>
    <t>Quilava</t>
  </si>
  <si>
    <t>Typhlosion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</si>
  <si>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</si>
  <si>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</si>
  <si>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</si>
  <si>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</si>
  <si>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</si>
  <si>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</si>
  <si>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</si>
  <si>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</si>
  <si>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</si>
  <si>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</si>
  <si>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</si>
  <si>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</si>
  <si>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</si>
  <si>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</si>
  <si>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</si>
  <si>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</si>
  <si>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Togetic</t>
  </si>
  <si>
    <t>Xatu</t>
  </si>
  <si>
    <t>Mareep</t>
  </si>
  <si>
    <t>Flaaffy</t>
  </si>
  <si>
    <t>mrmime</t>
  </si>
  <si>
    <t>Ampharos</t>
  </si>
  <si>
    <t>mrmime-galar</t>
  </si>
  <si>
    <t>Bellossom</t>
  </si>
  <si>
    <t>Marill</t>
  </si>
  <si>
    <t>Azumarill</t>
  </si>
  <si>
    <t>Sudowoodo</t>
  </si>
  <si>
    <t>Politoed</t>
  </si>
  <si>
    <t>Skiploom</t>
  </si>
  <si>
    <t>Jumpluff</t>
  </si>
  <si>
    <t>Aipom</t>
  </si>
  <si>
    <t>Sunflora</t>
  </si>
  <si>
    <t>Yanma</t>
  </si>
  <si>
    <t>lapras-gmax</t>
  </si>
  <si>
    <t>Quagsire</t>
  </si>
  <si>
    <t>Espeon</t>
  </si>
  <si>
    <t>Umbreon</t>
  </si>
  <si>
    <t>Murkrow</t>
  </si>
  <si>
    <t>Slowking</t>
  </si>
  <si>
    <t>Misdreavus</t>
  </si>
  <si>
    <t>Wobbuffet</t>
  </si>
  <si>
    <t>Forretress</t>
  </si>
  <si>
    <t>Gligar</t>
  </si>
  <si>
    <t>Steelix</t>
  </si>
  <si>
    <t>Snubbull</t>
  </si>
  <si>
    <t>snorlax-gmax</t>
  </si>
  <si>
    <t>Granbull</t>
  </si>
  <si>
    <t>Scizor</t>
  </si>
  <si>
    <t>Sneasel</t>
  </si>
  <si>
    <t>Teddiursa</t>
  </si>
  <si>
    <t>Ursaring</t>
  </si>
  <si>
    <t>Slugma</t>
  </si>
  <si>
    <t>Magcargo</t>
  </si>
  <si>
    <t>Swinub</t>
  </si>
  <si>
    <t>mewtwo-megax</t>
  </si>
  <si>
    <t>Piloswine</t>
  </si>
  <si>
    <t>mewtwo-megay</t>
  </si>
  <si>
    <t>Corsola</t>
  </si>
  <si>
    <t>Octillery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</si>
  <si>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</si>
  <si>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</si>
  <si>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</si>
  <si>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</si>
  <si>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</si>
  <si>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</si>
  <si>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</si>
  <si>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</si>
  <si>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Smeargle</t>
  </si>
  <si>
    <t>Tyrogue</t>
  </si>
  <si>
    <t>Hitmontop</t>
  </si>
  <si>
    <t>Smoochum</t>
  </si>
  <si>
    <t>Elekid</t>
  </si>
  <si>
    <t>Magby</t>
  </si>
  <si>
    <t>Blissey</t>
  </si>
  <si>
    <t>Raikou</t>
  </si>
  <si>
    <t>Entei</t>
  </si>
  <si>
    <t>pichu-spikyeared</t>
  </si>
  <si>
    <t>Suicune</t>
  </si>
  <si>
    <t>Pupitar</t>
  </si>
  <si>
    <t>Tyranitar</t>
  </si>
  <si>
    <t>Lugia</t>
  </si>
  <si>
    <t>Ho-Oh</t>
  </si>
  <si>
    <t>Celebi</t>
  </si>
  <si>
    <t>Grovyle</t>
  </si>
  <si>
    <t>Sceptile</t>
  </si>
  <si>
    <t>Combusken</t>
  </si>
  <si>
    <t>Blaziken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</si>
  <si>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</si>
  <si>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</si>
  <si>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</si>
  <si>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</si>
  <si>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</si>
  <si>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</si>
  <si>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</si>
  <si>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</si>
  <si>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</si>
  <si>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</si>
  <si>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</si>
  <si>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Lombre</t>
  </si>
  <si>
    <t>Ludicolo</t>
  </si>
  <si>
    <t>Nuzleaf</t>
  </si>
  <si>
    <t>Shiftry</t>
  </si>
  <si>
    <t>Taillow</t>
  </si>
  <si>
    <t>Swellow</t>
  </si>
  <si>
    <t>Wingull</t>
  </si>
  <si>
    <t>Pelipper</t>
  </si>
  <si>
    <t>Kirlia</t>
  </si>
  <si>
    <t>Gardevoir</t>
  </si>
  <si>
    <t>Surskit</t>
  </si>
  <si>
    <t>Masquerain</t>
  </si>
  <si>
    <t>Shroomish</t>
  </si>
  <si>
    <t>Breloom</t>
  </si>
  <si>
    <t>Vigoroth</t>
  </si>
  <si>
    <t>Slaking</t>
  </si>
  <si>
    <t>Nincada</t>
  </si>
  <si>
    <t>Ninjask</t>
  </si>
  <si>
    <t>Shedinja</t>
  </si>
  <si>
    <t>Loudred</t>
  </si>
  <si>
    <t>Exploud</t>
  </si>
  <si>
    <t>Hariyama</t>
  </si>
  <si>
    <t>Azurill</t>
  </si>
  <si>
    <t>Nosepass</t>
  </si>
  <si>
    <t>Delcatty</t>
  </si>
  <si>
    <t>Mawile</t>
  </si>
  <si>
    <t>Lairon</t>
  </si>
  <si>
    <t>Aggron</t>
  </si>
  <si>
    <t>Meditite</t>
  </si>
  <si>
    <t>Medicham</t>
  </si>
  <si>
    <t>Manectric</t>
  </si>
  <si>
    <t>Roselia</t>
  </si>
  <si>
    <t>Swalot</t>
  </si>
  <si>
    <t>Sharpedo</t>
  </si>
  <si>
    <t>Wailord</t>
  </si>
  <si>
    <t>Numel</t>
  </si>
  <si>
    <t>Camerupt</t>
  </si>
  <si>
    <t>Grumpig</t>
  </si>
  <si>
    <t>Vibrava</t>
  </si>
  <si>
    <t>Flygon</t>
  </si>
  <si>
    <t>hooh</t>
  </si>
  <si>
    <t>Cacturne</t>
  </si>
  <si>
    <t>grovyle</t>
  </si>
  <si>
    <t>Altaria</t>
  </si>
  <si>
    <t>sceptile</t>
  </si>
  <si>
    <t>sceptile-mega</t>
  </si>
  <si>
    <t>torchic</t>
  </si>
  <si>
    <t>combusken</t>
  </si>
  <si>
    <t>blaziken</t>
  </si>
  <si>
    <t>blaziken-mega</t>
  </si>
  <si>
    <t>Whiscash</t>
  </si>
  <si>
    <t>mudkip</t>
  </si>
  <si>
    <t>marshtomp</t>
  </si>
  <si>
    <t>Crawdaunt</t>
  </si>
  <si>
    <t>Claydol</t>
  </si>
  <si>
    <t>Cradily</t>
  </si>
  <si>
    <t>Armaldo</t>
  </si>
  <si>
    <t>Milotic</t>
  </si>
  <si>
    <t>Banette</t>
  </si>
  <si>
    <t>Dusclops</t>
  </si>
  <si>
    <t>Chimecho</t>
  </si>
  <si>
    <t>Absol</t>
  </si>
  <si>
    <t>Glalie</t>
  </si>
  <si>
    <t>Sealeo</t>
  </si>
  <si>
    <t>Walrein</t>
  </si>
  <si>
    <t>Huntail</t>
  </si>
  <si>
    <t>Gorebyss</t>
  </si>
  <si>
    <t>Shelgon</t>
  </si>
  <si>
    <t>Salamence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</si>
  <si>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</si>
  <si>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</si>
  <si>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</si>
  <si>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</si>
  <si>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</si>
  <si>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</si>
  <si>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</si>
  <si>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</si>
  <si>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</si>
  <si>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</si>
  <si>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</si>
  <si>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</si>
  <si>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Grotle</t>
  </si>
  <si>
    <t>Torterra</t>
  </si>
  <si>
    <t>Monferno</t>
  </si>
  <si>
    <t>Infernape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</si>
  <si>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</si>
  <si>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</si>
  <si>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</si>
  <si>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</si>
  <si>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</si>
  <si>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</si>
  <si>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</si>
  <si>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</si>
  <si>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</si>
  <si>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</si>
  <si>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</si>
  <si>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</si>
  <si>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</si>
  <si>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</si>
  <si>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Rampardos</t>
  </si>
  <si>
    <t>Bastiodon</t>
  </si>
  <si>
    <t>Burmy</t>
  </si>
  <si>
    <t>Wormadam</t>
  </si>
  <si>
    <t>Mothim</t>
  </si>
  <si>
    <t>Combee</t>
  </si>
  <si>
    <t>Vespiquen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</si>
  <si>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</si>
  <si>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</si>
  <si>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</si>
  <si>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</si>
  <si>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</si>
  <si>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</si>
  <si>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</si>
  <si>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</si>
  <si>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Lopunny</t>
  </si>
  <si>
    <t>Mismagius</t>
  </si>
  <si>
    <t>Honchkrow</t>
  </si>
  <si>
    <t>Glameow</t>
  </si>
  <si>
    <t>Purugly</t>
  </si>
  <si>
    <t>Stunky</t>
  </si>
  <si>
    <t>Skuntank</t>
  </si>
  <si>
    <t>Bronzong</t>
  </si>
  <si>
    <t>Gabite</t>
  </si>
  <si>
    <t>Garchomp</t>
  </si>
  <si>
    <t>Lucario</t>
  </si>
  <si>
    <t>Hippowdon</t>
  </si>
  <si>
    <t>Drapion</t>
  </si>
  <si>
    <t>Toxicroak</t>
  </si>
  <si>
    <t>Lumineon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</si>
  <si>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</si>
  <si>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</si>
  <si>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</si>
  <si>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</si>
  <si>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</si>
  <si>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</si>
  <si>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</si>
  <si>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</si>
  <si>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</si>
  <si>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</si>
  <si>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</si>
  <si>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</si>
  <si>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</si>
  <si>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</si>
  <si>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</si>
  <si>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</si>
  <si>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</si>
  <si>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</si>
  <si>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</si>
  <si>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</si>
  <si>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</si>
  <si>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</si>
  <si>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</si>
  <si>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</si>
  <si>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</si>
  <si>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</si>
  <si>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</si>
  <si>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kyogre-primal</t>
  </si>
  <si>
    <t>Cresselia</t>
  </si>
  <si>
    <t>groudon-primal</t>
  </si>
  <si>
    <t>Manaphy</t>
  </si>
  <si>
    <t>Darkrai</t>
  </si>
  <si>
    <t>Shaymin</t>
  </si>
  <si>
    <t>Arceus</t>
  </si>
  <si>
    <t>Victini</t>
  </si>
  <si>
    <t>deoxys-attack</t>
  </si>
  <si>
    <t>deoxys-defense</t>
  </si>
  <si>
    <t>Servine</t>
  </si>
  <si>
    <t>deoxys-speed</t>
  </si>
  <si>
    <t>Serperior</t>
  </si>
  <si>
    <t>Pignite</t>
  </si>
  <si>
    <t>Emboar</t>
  </si>
  <si>
    <t>Dewott</t>
  </si>
  <si>
    <t>Samurott</t>
  </si>
  <si>
    <t>Patrat</t>
  </si>
  <si>
    <t>Watchog</t>
  </si>
  <si>
    <t>Lillipup</t>
  </si>
  <si>
    <t>Herdier</t>
  </si>
  <si>
    <t>Stoutland</t>
  </si>
  <si>
    <t>Liepard</t>
  </si>
  <si>
    <t>Pansage</t>
  </si>
  <si>
    <t>Simisage</t>
  </si>
  <si>
    <t>Pansear</t>
  </si>
  <si>
    <t>Simisear</t>
  </si>
  <si>
    <t>Panpour</t>
  </si>
  <si>
    <t>Simipour</t>
  </si>
  <si>
    <t>Musharna</t>
  </si>
  <si>
    <t>Pidove</t>
  </si>
  <si>
    <t>Tranquill</t>
  </si>
  <si>
    <t>Unfezant</t>
  </si>
  <si>
    <t>Zebstrika</t>
  </si>
  <si>
    <t>Boldore</t>
  </si>
  <si>
    <t>Gigalith</t>
  </si>
  <si>
    <t>Woobat</t>
  </si>
  <si>
    <t>Swoobat</t>
  </si>
  <si>
    <t>Excadrill</t>
  </si>
  <si>
    <t>Audino</t>
  </si>
  <si>
    <t>Gurdurr</t>
  </si>
  <si>
    <t>Conkeldurr</t>
  </si>
  <si>
    <t>Tympole</t>
  </si>
  <si>
    <t>Palpitoad</t>
  </si>
  <si>
    <t>Seismitoad</t>
  </si>
  <si>
    <t>gastrodon-west</t>
  </si>
  <si>
    <t>gastrodon-east</t>
  </si>
  <si>
    <t>Sewaddle</t>
  </si>
  <si>
    <t>Swadloon</t>
  </si>
  <si>
    <t>Leavanny</t>
  </si>
  <si>
    <t>Whirlipede</t>
  </si>
  <si>
    <t>Scolipede</t>
  </si>
  <si>
    <t>Cottonee</t>
  </si>
  <si>
    <t>Whimsicott</t>
  </si>
  <si>
    <t>Lilligant</t>
  </si>
  <si>
    <t>Sandile</t>
  </si>
  <si>
    <t>Krokorok</t>
  </si>
  <si>
    <t>Krookodile</t>
  </si>
  <si>
    <t>Darmanitan</t>
  </si>
  <si>
    <t>mimejr</t>
  </si>
  <si>
    <t>Crustle</t>
  </si>
  <si>
    <t>Scrafty</t>
  </si>
  <si>
    <t>Cofagrigus</t>
  </si>
  <si>
    <t>Carracosta</t>
  </si>
  <si>
    <t>Archeops</t>
  </si>
  <si>
    <t>Garbodor</t>
  </si>
  <si>
    <t>Zoroark</t>
  </si>
  <si>
    <t>Cinccino</t>
  </si>
  <si>
    <t>Gothita</t>
  </si>
  <si>
    <t>Gothorita</t>
  </si>
  <si>
    <t>Gothitelle</t>
  </si>
  <si>
    <t>Duosion</t>
  </si>
  <si>
    <t>Reuniclus</t>
  </si>
  <si>
    <t>Swanna</t>
  </si>
  <si>
    <t>Vanillish</t>
  </si>
  <si>
    <t>Vanilluxe</t>
  </si>
  <si>
    <t>Deerling</t>
  </si>
  <si>
    <t>Sawsbuck</t>
  </si>
  <si>
    <t>Escavalier</t>
  </si>
  <si>
    <t>Amoonguss</t>
  </si>
  <si>
    <t>Jellicent</t>
  </si>
  <si>
    <t>porygonz</t>
  </si>
  <si>
    <t>Joltik</t>
  </si>
  <si>
    <t>Galvantula</t>
  </si>
  <si>
    <t>Ferrothorn</t>
  </si>
  <si>
    <t>Klang</t>
  </si>
  <si>
    <t>Klinklang</t>
  </si>
  <si>
    <t>Eelektrik</t>
  </si>
  <si>
    <t>Eelektross</t>
  </si>
  <si>
    <t>Beheeyem</t>
  </si>
  <si>
    <t>Lampent</t>
  </si>
  <si>
    <t>Chandelure</t>
  </si>
  <si>
    <t>Fraxure</t>
  </si>
  <si>
    <t>Haxorus</t>
  </si>
  <si>
    <t>giratina-origin</t>
  </si>
  <si>
    <t>Beartic</t>
  </si>
  <si>
    <t>Accelgor</t>
  </si>
  <si>
    <t>Mienshao</t>
  </si>
  <si>
    <t>Golurk</t>
  </si>
  <si>
    <t>Bisharp</t>
  </si>
  <si>
    <t>Braviary</t>
  </si>
  <si>
    <t>Mandibuzz</t>
  </si>
  <si>
    <t>Zweilous</t>
  </si>
  <si>
    <t>Hydreigon</t>
  </si>
  <si>
    <t>Volcarona</t>
  </si>
  <si>
    <t>Cobalion</t>
  </si>
  <si>
    <t>Terrakion</t>
  </si>
  <si>
    <t>Virizion</t>
  </si>
  <si>
    <t>Tornadus-I</t>
  </si>
  <si>
    <t>Thundurus-I</t>
  </si>
  <si>
    <t>Reshiram</t>
  </si>
  <si>
    <t>Zekrom</t>
  </si>
  <si>
    <t>Landorus-I</t>
  </si>
  <si>
    <t>Kyurem</t>
  </si>
  <si>
    <t>Keldeo</t>
  </si>
  <si>
    <t>Meloetta</t>
  </si>
  <si>
    <t>Genesect</t>
  </si>
  <si>
    <t>Quilladin</t>
  </si>
  <si>
    <t>Chesnaught</t>
  </si>
  <si>
    <t>Braixen</t>
  </si>
  <si>
    <t>Delphox</t>
  </si>
  <si>
    <t>Frogadier</t>
  </si>
  <si>
    <t>Greninja</t>
  </si>
  <si>
    <t>Diggersby</t>
  </si>
  <si>
    <t>Fletchinder</t>
  </si>
  <si>
    <t>Talonflame</t>
  </si>
  <si>
    <t>Scatterbug</t>
  </si>
  <si>
    <t>Spewpa</t>
  </si>
  <si>
    <t>Vivillon</t>
  </si>
  <si>
    <t>Litleo</t>
  </si>
  <si>
    <t>Pyroar</t>
  </si>
  <si>
    <t>Floette</t>
  </si>
  <si>
    <t>Florges</t>
  </si>
  <si>
    <t>Gogoat</t>
  </si>
  <si>
    <t>Pangoro</t>
  </si>
  <si>
    <t>Meowstic</t>
  </si>
  <si>
    <t>Doublade</t>
  </si>
  <si>
    <t>Aegislash</t>
  </si>
  <si>
    <t>Aromatisse</t>
  </si>
  <si>
    <t>Swirlix</t>
  </si>
  <si>
    <t>Slurpuff</t>
  </si>
  <si>
    <t>Malamar</t>
  </si>
  <si>
    <t>Barbaracle</t>
  </si>
  <si>
    <t>Dragalge</t>
  </si>
  <si>
    <t>Clawitzer</t>
  </si>
  <si>
    <t>Heliolisk</t>
  </si>
  <si>
    <t>basculin-bluestriped</t>
  </si>
  <si>
    <t>Tyrantrum</t>
  </si>
  <si>
    <t>Aurorus</t>
  </si>
  <si>
    <t>Sylveon</t>
  </si>
  <si>
    <t>Sliggoo</t>
  </si>
  <si>
    <t>darmanitan-galarzen</t>
  </si>
  <si>
    <t>Goodra</t>
  </si>
  <si>
    <t>Trevenant</t>
  </si>
  <si>
    <t>Pumpkaboo</t>
  </si>
  <si>
    <t>Gourgeist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</si>
  <si>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</si>
  <si>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</si>
  <si>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</si>
  <si>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</si>
  <si>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</si>
  <si>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</si>
  <si>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</si>
  <si>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</si>
  <si>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</si>
  <si>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garbodor-gmax</t>
  </si>
  <si>
    <t>Dartrix</t>
  </si>
  <si>
    <t>Decidueye</t>
  </si>
  <si>
    <t>Torracat</t>
  </si>
  <si>
    <t>Incineroar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</si>
  <si>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</si>
  <si>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</si>
  <si>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</si>
  <si>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</si>
  <si>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</si>
  <si>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</si>
  <si>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</si>
  <si>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</si>
  <si>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</si>
  <si>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</si>
  <si>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Crabominable</t>
  </si>
  <si>
    <t>Cutiefly</t>
  </si>
  <si>
    <t>Ribombee</t>
  </si>
  <si>
    <t>Rockruff</t>
  </si>
  <si>
    <t>Lycanroc</t>
  </si>
  <si>
    <t>Toxapex</t>
  </si>
  <si>
    <t>Mudsdale</t>
  </si>
  <si>
    <t>Araquanid</t>
  </si>
  <si>
    <t>Lurantis</t>
  </si>
  <si>
    <t>Shiinotic</t>
  </si>
  <si>
    <t>Salazzle</t>
  </si>
  <si>
    <t>Bewear</t>
  </si>
  <si>
    <t>Steenee</t>
  </si>
  <si>
    <t>Tsareena</t>
  </si>
  <si>
    <t>Golisopod</t>
  </si>
  <si>
    <t>Palossand</t>
  </si>
  <si>
    <t>Type: Null</t>
  </si>
  <si>
    <t>Silvally</t>
  </si>
  <si>
    <t>Turtonator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</si>
  <si>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</si>
  <si>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</si>
  <si>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</si>
  <si>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</si>
  <si>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</si>
  <si>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</si>
  <si>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</si>
  <si>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</si>
  <si>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</si>
  <si>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Cosmoem</t>
  </si>
  <si>
    <t>Solgaleo</t>
  </si>
  <si>
    <t>Lunala</t>
  </si>
  <si>
    <t>Nihilego</t>
  </si>
  <si>
    <t>Buzzwole</t>
  </si>
  <si>
    <t>tornadus</t>
  </si>
  <si>
    <t>Pheromosa</t>
  </si>
  <si>
    <t>tornadus-therian</t>
  </si>
  <si>
    <t>Xurkitree</t>
  </si>
  <si>
    <t>thundurus</t>
  </si>
  <si>
    <t>Celesteela</t>
  </si>
  <si>
    <t>thundurus-therian</t>
  </si>
  <si>
    <t>Kartana</t>
  </si>
  <si>
    <t>Guzzlord</t>
  </si>
  <si>
    <t>Necrozma</t>
  </si>
  <si>
    <t>landorus</t>
  </si>
  <si>
    <t>Magearna</t>
  </si>
  <si>
    <t>landorus-therian</t>
  </si>
  <si>
    <t>Marshadow</t>
  </si>
  <si>
    <t>kyurem-black</t>
  </si>
  <si>
    <t>Naganadel</t>
  </si>
  <si>
    <t>kyurem-white</t>
  </si>
  <si>
    <t>Stakataka</t>
  </si>
  <si>
    <t>Blacephalon</t>
  </si>
  <si>
    <t>Zeraora</t>
  </si>
  <si>
    <t>Meltan</t>
  </si>
  <si>
    <t>Melmetal</t>
  </si>
  <si>
    <t>Thwackey</t>
  </si>
  <si>
    <t>Rillaboom</t>
  </si>
  <si>
    <t>Raboot</t>
  </si>
  <si>
    <t>Cinderace</t>
  </si>
  <si>
    <t>Drizzile</t>
  </si>
  <si>
    <t>Inteleon</t>
  </si>
  <si>
    <t>Skwovet</t>
  </si>
  <si>
    <t>Greedent</t>
  </si>
  <si>
    <t>Corvisquire</t>
  </si>
  <si>
    <t>Corviknight</t>
  </si>
  <si>
    <t>Blipbug</t>
  </si>
  <si>
    <t>Dottler</t>
  </si>
  <si>
    <t>Orbeetle</t>
  </si>
  <si>
    <t>Nickit</t>
  </si>
  <si>
    <t>Thievul</t>
  </si>
  <si>
    <t>Eldegoss</t>
  </si>
  <si>
    <t>Wooloo</t>
  </si>
  <si>
    <t>Dubwool</t>
  </si>
  <si>
    <t>Drednaw</t>
  </si>
  <si>
    <t>Boltund</t>
  </si>
  <si>
    <t>Carkol</t>
  </si>
  <si>
    <t>Coalossal</t>
  </si>
  <si>
    <t>Flapple</t>
  </si>
  <si>
    <t>Appletun</t>
  </si>
  <si>
    <t>Silicobra</t>
  </si>
  <si>
    <t>Sandaconda</t>
  </si>
  <si>
    <t>Barraskewda</t>
  </si>
  <si>
    <t>Toxtricity</t>
  </si>
  <si>
    <t>Centiskorch</t>
  </si>
  <si>
    <t>Grapploct</t>
  </si>
  <si>
    <t>Polteageist</t>
  </si>
  <si>
    <t>Hattrem</t>
  </si>
  <si>
    <t>Hatterene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</si>
  <si>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</si>
  <si>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</si>
  <si>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</si>
  <si>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</si>
  <si>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</si>
  <si>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</si>
  <si>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</si>
  <si>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</si>
  <si>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Alcremie</t>
  </si>
  <si>
    <t>Frosmoth</t>
  </si>
  <si>
    <t>Copperajah</t>
  </si>
  <si>
    <t>Dracozolt</t>
  </si>
  <si>
    <t>Arctozolt</t>
  </si>
  <si>
    <t>Dracovish</t>
  </si>
  <si>
    <t>Arctovish</t>
  </si>
  <si>
    <t>Duraludon</t>
  </si>
  <si>
    <t>Drakloak</t>
  </si>
  <si>
    <t>Dragapult</t>
  </si>
  <si>
    <t>Zacian</t>
  </si>
  <si>
    <t>Zamazenta</t>
  </si>
  <si>
    <t>Eternatus</t>
  </si>
  <si>
    <t>Urshifu-Single</t>
  </si>
  <si>
    <t>Zarude</t>
  </si>
  <si>
    <t>Regieleki</t>
  </si>
  <si>
    <t>Regidrago</t>
  </si>
  <si>
    <t>Glastrier</t>
  </si>
  <si>
    <t>zygarde-complete</t>
  </si>
  <si>
    <t>Spectrier</t>
  </si>
  <si>
    <t>Calyrex</t>
  </si>
  <si>
    <t>Wyrdeer</t>
  </si>
  <si>
    <t>Kleavor</t>
  </si>
  <si>
    <t>hoopa-unbound</t>
  </si>
  <si>
    <t>Ursaluna</t>
  </si>
  <si>
    <t>Basculegion</t>
  </si>
  <si>
    <t>Sneasler</t>
  </si>
  <si>
    <t>Overqwil</t>
  </si>
  <si>
    <t>Enamorus-I</t>
  </si>
  <si>
    <t>Floragato</t>
  </si>
  <si>
    <t>Meowscarada</t>
  </si>
  <si>
    <t>Crocalor</t>
  </si>
  <si>
    <t>Skeledirge</t>
  </si>
  <si>
    <t>Quaxwell</t>
  </si>
  <si>
    <t>Quaquaval</t>
  </si>
  <si>
    <t>Lechonk-M</t>
  </si>
  <si>
    <t>Spidops</t>
  </si>
  <si>
    <t>Lokix</t>
  </si>
  <si>
    <t>Pawmo</t>
  </si>
  <si>
    <t>Pawmot</t>
  </si>
  <si>
    <t>Maushold</t>
  </si>
  <si>
    <t>Dachsbun</t>
  </si>
  <si>
    <t>Dolliv</t>
  </si>
  <si>
    <t>lycanroc-midnight</t>
  </si>
  <si>
    <t>Arboliva</t>
  </si>
  <si>
    <t>Naclstack</t>
  </si>
  <si>
    <t>Garganacl</t>
  </si>
  <si>
    <t>Armarouge</t>
  </si>
  <si>
    <t>Ceruledge</t>
  </si>
  <si>
    <t>Bellibolt</t>
  </si>
  <si>
    <t>Kilowattrel</t>
  </si>
  <si>
    <t>Mabosschiff</t>
  </si>
  <si>
    <t>Grafaiai</t>
  </si>
  <si>
    <t>Brambleghast</t>
  </si>
  <si>
    <t>Toedscruel</t>
  </si>
  <si>
    <t>Klawf</t>
  </si>
  <si>
    <t>Scovillain</t>
  </si>
  <si>
    <t>Rabsca</t>
  </si>
  <si>
    <t>Espathra</t>
  </si>
  <si>
    <t>Tinkatuff</t>
  </si>
  <si>
    <t>typenull</t>
  </si>
  <si>
    <t>Tinkaton</t>
  </si>
  <si>
    <t>Wugtrio</t>
  </si>
  <si>
    <t>Palafin</t>
  </si>
  <si>
    <t>Revavroom</t>
  </si>
  <si>
    <t>Glimmora</t>
  </si>
  <si>
    <t>Houndstone</t>
  </si>
  <si>
    <t>Cetitan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</si>
  <si>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</si>
  <si>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</si>
  <si>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</si>
  <si>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</si>
  <si>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</si>
  <si>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</si>
  <si>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</si>
  <si>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</si>
  <si>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</si>
  <si>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jangmoo</t>
  </si>
  <si>
    <t>Slither Wing</t>
  </si>
  <si>
    <t>hakamoo</t>
  </si>
  <si>
    <t>Sandy Shocks</t>
  </si>
  <si>
    <t>kommoo</t>
  </si>
  <si>
    <t>Iron Treads</t>
  </si>
  <si>
    <t>tapukoko</t>
  </si>
  <si>
    <t>Iron Bundle</t>
  </si>
  <si>
    <t>tapulele</t>
  </si>
  <si>
    <t>Iron Hands</t>
  </si>
  <si>
    <t>tapubulu</t>
  </si>
  <si>
    <t>Iron Jugulis</t>
  </si>
  <si>
    <t>tapufini</t>
  </si>
  <si>
    <t>Iron Moth</t>
  </si>
  <si>
    <t>Iron Thorns</t>
  </si>
  <si>
    <t>Arctibax</t>
  </si>
  <si>
    <t>Baxcalibur</t>
  </si>
  <si>
    <t>Gholdengo</t>
  </si>
  <si>
    <t>Wo-Chien</t>
  </si>
  <si>
    <t>Chien-Pao</t>
  </si>
  <si>
    <t>Ting-Lu</t>
  </si>
  <si>
    <t>Chi-Yu</t>
  </si>
  <si>
    <t>Roaring Moon</t>
  </si>
  <si>
    <t>Iron Valiant</t>
  </si>
  <si>
    <t>necrozma-duskmane</t>
  </si>
  <si>
    <t>Koraidon</t>
  </si>
  <si>
    <t>necrozma-dawnwings</t>
  </si>
  <si>
    <t>Miraidon</t>
  </si>
  <si>
    <t>Walking Wake</t>
  </si>
  <si>
    <t>Iron Leaves</t>
  </si>
  <si>
    <t>Dipplin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</si>
  <si>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</si>
  <si>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</si>
  <si>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</si>
  <si>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</si>
  <si>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</si>
  <si>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</si>
  <si>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</si>
  <si>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</si>
  <si>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</si>
  <si>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</si>
  <si>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</si>
  <si>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</si>
  <si>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</si>
  <si>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19-1</t>
  </si>
  <si>
    <t>Rattata-Alola</t>
  </si>
  <si>
    <t>20-1</t>
  </si>
  <si>
    <t>Raticate-Alola</t>
  </si>
  <si>
    <t>26-1</t>
  </si>
  <si>
    <t>Raichu-Alola</t>
  </si>
  <si>
    <t>27-1</t>
  </si>
  <si>
    <t>Sandshrew-Alola</t>
  </si>
  <si>
    <t>28-1</t>
  </si>
  <si>
    <t>Sandslash-Alola</t>
  </si>
  <si>
    <t>37-1</t>
  </si>
  <si>
    <t>38-1</t>
  </si>
  <si>
    <t>Ninetales-Alola</t>
  </si>
  <si>
    <t>50-1</t>
  </si>
  <si>
    <t>Diglett-Alola</t>
  </si>
  <si>
    <t>51-1</t>
  </si>
  <si>
    <t>Dugtrio-Alola</t>
  </si>
  <si>
    <t>52-1</t>
  </si>
  <si>
    <t>53-1</t>
  </si>
  <si>
    <t>Persian-Alola</t>
  </si>
  <si>
    <t>74-1</t>
  </si>
  <si>
    <t>Geodude-Alola</t>
  </si>
  <si>
    <t>75-1</t>
  </si>
  <si>
    <t>Graveler-Alola</t>
  </si>
  <si>
    <t>76-1</t>
  </si>
  <si>
    <t>Golem-Alola</t>
  </si>
  <si>
    <t>88-1</t>
  </si>
  <si>
    <t>89-1</t>
  </si>
  <si>
    <t>Muk-Alola</t>
  </si>
  <si>
    <t>orbeetle-gmax</t>
  </si>
  <si>
    <t>103-1</t>
  </si>
  <si>
    <t>Exeggutor-Alola</t>
  </si>
  <si>
    <t>105-1</t>
  </si>
  <si>
    <t>Marowak-Alola</t>
  </si>
  <si>
    <t>52-2</t>
  </si>
  <si>
    <t>77-1</t>
  </si>
  <si>
    <t>Ponyta-Galar</t>
  </si>
  <si>
    <t>78-1</t>
  </si>
  <si>
    <t>Rapidash-Galar</t>
  </si>
  <si>
    <t>79-1</t>
  </si>
  <si>
    <t>80-2</t>
  </si>
  <si>
    <t>Slowbro-Galar</t>
  </si>
  <si>
    <t>83-1</t>
  </si>
  <si>
    <t>110-1</t>
  </si>
  <si>
    <t>Weezing-Galar</t>
  </si>
  <si>
    <t>drednaw-gmax</t>
  </si>
  <si>
    <t>122-1</t>
  </si>
  <si>
    <t>Mr. Mime-Galar</t>
  </si>
  <si>
    <t>144-1</t>
  </si>
  <si>
    <t>Articuno-Galar</t>
  </si>
  <si>
    <t>145-1</t>
  </si>
  <si>
    <t>Zapdos-Galar</t>
  </si>
  <si>
    <t>146-1</t>
  </si>
  <si>
    <t>Moltres-Galar</t>
  </si>
  <si>
    <t>199-1</t>
  </si>
  <si>
    <t>Slowking-Galar</t>
  </si>
  <si>
    <t>222-1</t>
  </si>
  <si>
    <t>coalossal-gmax</t>
  </si>
  <si>
    <t>263-1</t>
  </si>
  <si>
    <t>Zigzagoon-Galar</t>
  </si>
  <si>
    <t>264-1</t>
  </si>
  <si>
    <t>Linoone-Galar</t>
  </si>
  <si>
    <t>554-1</t>
  </si>
  <si>
    <t>flapple-gmax</t>
  </si>
  <si>
    <t>555-1</t>
  </si>
  <si>
    <t>Darmanitan-Galar</t>
  </si>
  <si>
    <t>562-1</t>
  </si>
  <si>
    <t>appletun-gmax</t>
  </si>
  <si>
    <t>618-1</t>
  </si>
  <si>
    <t>58-1</t>
  </si>
  <si>
    <t>59-1</t>
  </si>
  <si>
    <t>Arcanine-Hisui</t>
  </si>
  <si>
    <t>sandaconda-gmax</t>
  </si>
  <si>
    <t>100-1</t>
  </si>
  <si>
    <t>101-1</t>
  </si>
  <si>
    <t>Electrode-Hisui</t>
  </si>
  <si>
    <t>157-1</t>
  </si>
  <si>
    <t>Typhlosion-Hisui</t>
  </si>
  <si>
    <t>211-1</t>
  </si>
  <si>
    <t>215-1</t>
  </si>
  <si>
    <t>503-1</t>
  </si>
  <si>
    <t>Samurott-Hisui</t>
  </si>
  <si>
    <t>549-1</t>
  </si>
  <si>
    <t>Lilligant-Hisui</t>
  </si>
  <si>
    <t>570-1</t>
  </si>
  <si>
    <t>toxtricity-lowkey</t>
  </si>
  <si>
    <t>571-1</t>
  </si>
  <si>
    <t>Zoroark-Hisui</t>
  </si>
  <si>
    <t>toxtricity-gmax</t>
  </si>
  <si>
    <t>628-1</t>
  </si>
  <si>
    <t>Braviary-Hisui</t>
  </si>
  <si>
    <t>705-1</t>
  </si>
  <si>
    <t>Sliggoo-Hisui</t>
  </si>
  <si>
    <t>706-1</t>
  </si>
  <si>
    <t>Goodra-Hisui</t>
  </si>
  <si>
    <t>centiskorch-gmax</t>
  </si>
  <si>
    <t>713-1</t>
  </si>
  <si>
    <t>Avalugg-Hisui</t>
  </si>
  <si>
    <t>724-1</t>
  </si>
  <si>
    <t>Decidueye-Hisui</t>
  </si>
  <si>
    <t>128-1</t>
  </si>
  <si>
    <t>Tauros-Paldea</t>
  </si>
  <si>
    <t>128-2</t>
  </si>
  <si>
    <t>128-3</t>
  </si>
  <si>
    <t>194-1</t>
  </si>
  <si>
    <t>https://i.ibb.co/YfJK75p/blitzle.png</t>
  </si>
  <si>
    <t>https://i.ibb.co/L9cQ1C9/zebstrika.png</t>
  </si>
  <si>
    <t>Zebstrika-Sevii</t>
  </si>
  <si>
    <t>https://i.ibb.co/7nn1kwY/sizzli.png</t>
  </si>
  <si>
    <t>https://i.ibb.co/DRYBrLP/centi.png</t>
  </si>
  <si>
    <t>Centiskorch-Sevii</t>
  </si>
  <si>
    <t>https://i.ibb.co/p6q42b6/dhelmise.png</t>
  </si>
  <si>
    <t>https://i.ibb.co/Qb9rXzq/wishismall.png</t>
  </si>
  <si>
    <t>https://i.ibb.co/8MLW6ZL/wishibig.png</t>
  </si>
  <si>
    <t>Wishiwashi-School-Sevii</t>
  </si>
  <si>
    <t>https://i.ibb.co/7zF1Xb9/clauncher.png</t>
  </si>
  <si>
    <t>https://i.ibb.co/h1HJKdf/clawitzer.png</t>
  </si>
  <si>
    <t>Clawitzer-Sevii</t>
  </si>
  <si>
    <t>https://i.ibb.co/JvcPpPk/feebas.png</t>
  </si>
  <si>
    <t>sirfetchd</t>
  </si>
  <si>
    <t>https://i.ibb.co/bdr5Wkf/milotic.png</t>
  </si>
  <si>
    <t>Milotic-Sevii</t>
  </si>
  <si>
    <t>mrrime</t>
  </si>
  <si>
    <t>https://i.ibb.co/44gwSdt/carnivine.png</t>
  </si>
  <si>
    <t>https://i.ibb.co/dMd6QqS/Doduo.png</t>
  </si>
  <si>
    <t>https://i.ibb.co/tB3McC4/Dodrio.png</t>
  </si>
  <si>
    <t>Dodrio-Sevii</t>
  </si>
  <si>
    <t>https://i.ibb.co/x532jKD/mantyke.png</t>
  </si>
  <si>
    <t>alcremie-gmax</t>
  </si>
  <si>
    <t>https://i.ibb.co/TvMpZXK/mantine.png</t>
  </si>
  <si>
    <t>Mantine-Sevii</t>
  </si>
  <si>
    <t>https://i.ibb.co/3yGyb11/teddi.png</t>
  </si>
  <si>
    <t>https://i.ibb.co/mT2SprD/ursaring.png</t>
  </si>
  <si>
    <t>Ursaring-Sevii</t>
  </si>
  <si>
    <t>https://i.ibb.co/t8b3wR3/noibat.png</t>
  </si>
  <si>
    <t>https://i.ibb.co/wL4cSTF/noivern.png</t>
  </si>
  <si>
    <t>Noivern-Sevii</t>
  </si>
  <si>
    <t>https://i.ibb.co/5F4PCgs/nymble.png</t>
  </si>
  <si>
    <t>https://i.ibb.co/y82vzrm/lokix.png</t>
  </si>
  <si>
    <t>Lokix-Sevii</t>
  </si>
  <si>
    <t>eiscue-noice</t>
  </si>
  <si>
    <t>https://raw.githubusercontent.com/msikma/pokesprite/master/icons/pokemon/regular/pikachu-cosplay.png</t>
  </si>
  <si>
    <t>Pikachu-Cosplay</t>
  </si>
  <si>
    <t>https://raw.githubusercontent.com/msikma/pokesprite/master/icons/pokemon/regular/pikachu-rock-star.png</t>
  </si>
  <si>
    <t>Pikachu-Rockstar</t>
  </si>
  <si>
    <t>https://raw.githubusercontent.com/msikma/pokesprite/master/icons/pokemon/regular/pikachu-belle.png</t>
  </si>
  <si>
    <t>Pikachu-Belle</t>
  </si>
  <si>
    <t>https://raw.githubusercontent.com/msikma/pokesprite/master/icons/pokemon/regular/pikachu-pop-star.png</t>
  </si>
  <si>
    <t>Pikachu-Popstar</t>
  </si>
  <si>
    <t>https://raw.githubusercontent.com/msikma/pokesprite/master/icons/pokemon/regular/pikachu-phd.png</t>
  </si>
  <si>
    <t>Pikachu-Phd</t>
  </si>
  <si>
    <t>https://raw.githubusercontent.com/msikma/pokesprite/master/icons/pokemon/regular/pikachu-libre.png</t>
  </si>
  <si>
    <t>Pikachu-Libre</t>
  </si>
  <si>
    <t>https://raw.githubusercontent.com/msikma/pokesprite/master/icons/pokemon/regular/pikachu-original-cap.png</t>
  </si>
  <si>
    <t>Pikachu-Original</t>
  </si>
  <si>
    <t>https://raw.githubusercontent.com/msikma/pokesprite/master/icons/pokemon/regular/pikachu-hoenn-cap.png</t>
  </si>
  <si>
    <t>Pikachu-Hoenn</t>
  </si>
  <si>
    <t>https://raw.githubusercontent.com/msikma/pokesprite/master/icons/pokemon/regular/pikachu-sinnoh-cap.png</t>
  </si>
  <si>
    <t>Pikachu-Sinnoh</t>
  </si>
  <si>
    <t>https://raw.githubusercontent.com/msikma/pokesprite/master/icons/pokemon/regular/pikachu-unova-cap.png</t>
  </si>
  <si>
    <t>Pikachu-Unova</t>
  </si>
  <si>
    <t>https://raw.githubusercontent.com/msikma/pokesprite/master/icons/pokemon/regular/pikachu-kalos-cap.png</t>
  </si>
  <si>
    <t>Pikachu-Kalos</t>
  </si>
  <si>
    <t>https://raw.githubusercontent.com/msikma/pokesprite/master/icons/pokemon/regular/pikachu-alola-cap.png</t>
  </si>
  <si>
    <t>Pikachu-Alola</t>
  </si>
  <si>
    <t>https://i.ibb.co/WHKZ3hL/pikachu-flying.png</t>
  </si>
  <si>
    <t>Pikachu-Flying</t>
  </si>
  <si>
    <t>https://i.ibb.co/HNrK2Xh/pikachu-surfing.png</t>
  </si>
  <si>
    <t>Pikachu-Surfing</t>
  </si>
  <si>
    <t>386-1</t>
  </si>
  <si>
    <t>Deoxys-A</t>
  </si>
  <si>
    <t>386-2</t>
  </si>
  <si>
    <t>Deoxys-D</t>
  </si>
  <si>
    <t>386-3</t>
  </si>
  <si>
    <t>Deoxys-S</t>
  </si>
  <si>
    <t>412-1</t>
  </si>
  <si>
    <t>Burmy-Sandy</t>
  </si>
  <si>
    <t>zacian-crowned</t>
  </si>
  <si>
    <t>412-2</t>
  </si>
  <si>
    <t>Burmy-Trash</t>
  </si>
  <si>
    <t>413-1</t>
  </si>
  <si>
    <t>Wormadam-Sandy</t>
  </si>
  <si>
    <t>zamazenta-crowned</t>
  </si>
  <si>
    <t>413-2</t>
  </si>
  <si>
    <t>Wormadam-Trash</t>
  </si>
  <si>
    <t>422-1</t>
  </si>
  <si>
    <t>423-1</t>
  </si>
  <si>
    <t>Gastrodon-East</t>
  </si>
  <si>
    <t>479-1</t>
  </si>
  <si>
    <t>Rotom-Heat</t>
  </si>
  <si>
    <t>urshifu</t>
  </si>
  <si>
    <t>479-2</t>
  </si>
  <si>
    <t>Rotom-Wash</t>
  </si>
  <si>
    <t>urshifu-gmax</t>
  </si>
  <si>
    <t>479-3</t>
  </si>
  <si>
    <t>Rotom-Frost</t>
  </si>
  <si>
    <t>urshifu-rapidstrike</t>
  </si>
  <si>
    <t>479-4</t>
  </si>
  <si>
    <t>Rotom-Fan</t>
  </si>
  <si>
    <t>urshifu-rapidstrikegmax</t>
  </si>
  <si>
    <t>479-5</t>
  </si>
  <si>
    <t>Rotom-Mow</t>
  </si>
  <si>
    <t>483-1</t>
  </si>
  <si>
    <t>Dialga-Origin</t>
  </si>
  <si>
    <t>484-1</t>
  </si>
  <si>
    <t>Palkia-Origin</t>
  </si>
  <si>
    <t>487-1</t>
  </si>
  <si>
    <t>Giratina-O</t>
  </si>
  <si>
    <t>492-1</t>
  </si>
  <si>
    <t>Shaymin-Sky</t>
  </si>
  <si>
    <t>550-1</t>
  </si>
  <si>
    <t>Basculin-Blue-Striped</t>
  </si>
  <si>
    <t>585-1</t>
  </si>
  <si>
    <t>Deerling-Summer</t>
  </si>
  <si>
    <t>585-2</t>
  </si>
  <si>
    <t>Deerling-Autumn</t>
  </si>
  <si>
    <t>585-3</t>
  </si>
  <si>
    <t>641-1</t>
  </si>
  <si>
    <t>Tornadus-T</t>
  </si>
  <si>
    <t>642-1</t>
  </si>
  <si>
    <t>Thundurus-T</t>
  </si>
  <si>
    <t>645-1</t>
  </si>
  <si>
    <t>Landorus-T</t>
  </si>
  <si>
    <t>646-1</t>
  </si>
  <si>
    <t>Kyurem-B</t>
  </si>
  <si>
    <t>646-2</t>
  </si>
  <si>
    <t>Kyurem-W</t>
  </si>
  <si>
    <t>basculin-whitestriped</t>
  </si>
  <si>
    <t>658-2</t>
  </si>
  <si>
    <t>Greninja-Ash</t>
  </si>
  <si>
    <t>670-5</t>
  </si>
  <si>
    <t>678-1</t>
  </si>
  <si>
    <t>Meowstic-F</t>
  </si>
  <si>
    <t>710-1</t>
  </si>
  <si>
    <t>Pumpkaboo-Small</t>
  </si>
  <si>
    <t>710-2</t>
  </si>
  <si>
    <t>Pumpkaboo-Large</t>
  </si>
  <si>
    <t>710-3</t>
  </si>
  <si>
    <t>Pumpkaboo-Super</t>
  </si>
  <si>
    <t>711-1</t>
  </si>
  <si>
    <t>Gourgeist-Small</t>
  </si>
  <si>
    <t>711-2</t>
  </si>
  <si>
    <t>Gourgeist-Large</t>
  </si>
  <si>
    <t>711-3</t>
  </si>
  <si>
    <t>Gourgeist-Super</t>
  </si>
  <si>
    <t>718-1</t>
  </si>
  <si>
    <t>Zygarde-10</t>
  </si>
  <si>
    <t>720-1</t>
  </si>
  <si>
    <t>Hoopa-U</t>
  </si>
  <si>
    <t>741-1</t>
  </si>
  <si>
    <t>Oricorio-Pompom</t>
  </si>
  <si>
    <t>741-2</t>
  </si>
  <si>
    <t>Oricorio-Pau</t>
  </si>
  <si>
    <t>741-3</t>
  </si>
  <si>
    <t>Oricorio-Sensu</t>
  </si>
  <si>
    <t>745-1</t>
  </si>
  <si>
    <t>Lycanroc-Night</t>
  </si>
  <si>
    <t>745-2</t>
  </si>
  <si>
    <t>Lycanroc-Dusk</t>
  </si>
  <si>
    <t>800-1</t>
  </si>
  <si>
    <t>Necrozma-DM</t>
  </si>
  <si>
    <t>800-2</t>
  </si>
  <si>
    <t>Necrozma-DW</t>
  </si>
  <si>
    <t>801-1</t>
  </si>
  <si>
    <t>Magearna-Original</t>
  </si>
  <si>
    <t>enamorus</t>
  </si>
  <si>
    <t>869-1</t>
  </si>
  <si>
    <t>Alcremie-Strawberry</t>
  </si>
  <si>
    <t>enamorus-therian</t>
  </si>
  <si>
    <t>876-1</t>
  </si>
  <si>
    <t>888-1</t>
  </si>
  <si>
    <t>Zacian-C</t>
  </si>
  <si>
    <t>889-1</t>
  </si>
  <si>
    <t>Zamazenta-C</t>
  </si>
  <si>
    <t>Urshifu-Rapid</t>
  </si>
  <si>
    <t>898-1</t>
  </si>
  <si>
    <t>Calyrex-Ice</t>
  </si>
  <si>
    <t>898-2</t>
  </si>
  <si>
    <t>Calyrex-Shadow</t>
  </si>
  <si>
    <t>902-1</t>
  </si>
  <si>
    <t>Basculegion-F</t>
  </si>
  <si>
    <t>905-1</t>
  </si>
  <si>
    <t>Enamorus-T</t>
  </si>
  <si>
    <t>931-3</t>
  </si>
  <si>
    <t>Squawkabilly-White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</si>
</sst>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5.0"/>
      <color theme="1"/>
      <name val="Exo 2"/>
    </font>
    <font/>
    <font>
      <b/>
      <sz val="13.0"/>
      <color theme="1"/>
      <name val="Exo 2"/>
    </font>
    <font>
      <b/>
      <u/>
      <sz val="13.0"/>
      <color rgb="FF0000FF"/>
      <name val="Exo 2"/>
    </font>
    <font>
      <color theme="1"/>
      <name val="Sofia Sans Semi Condensed"/>
    </font>
    <font>
      <sz val="13.0"/>
      <color theme="1"/>
      <name val="Sofia Sans Semi Condensed"/>
    </font>
    <font>
      <b/>
      <sz val="18.0"/>
      <color theme="1"/>
      <name val="Sofia Sans Semi Condensed"/>
    </font>
    <font>
      <b/>
      <sz val="13.0"/>
      <color theme="1"/>
      <name val="Sofia Sans Semi Condensed"/>
    </font>
    <font>
      <i/>
      <sz val="12.0"/>
      <color theme="1"/>
      <name val="Sofia Sans Semi Condensed"/>
    </font>
    <font>
      <sz val="12.0"/>
      <color theme="1"/>
      <name val="Sofia Sans Semi Condensed"/>
    </font>
    <font>
      <i/>
      <color theme="1"/>
      <name val="Sofia Sans Semi Condensed"/>
    </font>
    <font>
      <color theme="1"/>
      <name val="Fjalla One"/>
    </font>
    <font>
      <sz val="11.0"/>
      <color theme="1"/>
      <name val="Fjalla One"/>
    </font>
    <font>
      <sz val="10.0"/>
      <color theme="1"/>
      <name val="Fjalla One"/>
    </font>
    <font>
      <u/>
      <sz val="11.0"/>
      <color theme="1"/>
      <name val="Fjalla One"/>
    </font>
    <font>
      <u/>
      <sz val="11.0"/>
      <color theme="1"/>
      <name val="Fjalla One"/>
    </font>
    <font>
      <u/>
      <color rgb="FF0000FF"/>
      <name val="Fjalla One"/>
    </font>
    <font>
      <u/>
      <color rgb="FF0000FF"/>
      <name val="Fjalla One"/>
    </font>
    <font>
      <u/>
      <color rgb="FF0000FF"/>
      <name val="Fjalla One"/>
    </font>
    <font>
      <u/>
      <color rgb="FF0000FF"/>
      <name val="Fjalla One"/>
    </font>
    <font>
      <u/>
      <color rgb="FF0000FF"/>
      <name val="Fjalla One"/>
    </font>
    <font>
      <u/>
      <color rgb="FF0000FF"/>
      <name val="Fjalla One"/>
    </font>
    <font>
      <u/>
      <color theme="1"/>
      <name val="Fjalla One"/>
    </font>
    <font>
      <u/>
      <color theme="1"/>
      <name val="Fjalla One"/>
    </font>
    <font>
      <u/>
      <color rgb="FF0000FF"/>
      <name val="Fjalla One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FFFFFF"/>
      </left>
    </border>
    <border>
      <left style="double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double">
        <color rgb="FF000000"/>
      </right>
      <top style="thin">
        <color rgb="FFEFEFEF"/>
      </top>
      <bottom style="thin">
        <color rgb="FFEFEFEF"/>
      </bottom>
    </border>
    <border>
      <right style="thin">
        <color rgb="FFFFFFFF"/>
      </right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FFFFFF"/>
      </left>
      <bottom style="thin">
        <color rgb="FFFFFFFF"/>
      </bottom>
    </border>
    <border>
      <left style="double">
        <color rgb="FF000000"/>
      </left>
      <top style="thin">
        <color rgb="FFEFEFEF"/>
      </top>
      <bottom style="double">
        <color rgb="FF000000"/>
      </bottom>
    </border>
    <border>
      <top style="thin">
        <color rgb="FFEFEFEF"/>
      </top>
      <bottom style="double">
        <color rgb="FF000000"/>
      </bottom>
    </border>
    <border>
      <right style="double">
        <color rgb="FF000000"/>
      </right>
      <top style="thin">
        <color rgb="FFEFEFEF"/>
      </top>
      <bottom style="double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top style="thin">
        <color rgb="FFEFEFEF"/>
      </top>
    </border>
    <border>
      <left style="double">
        <color rgb="FF000000"/>
      </left>
      <top style="double">
        <color rgb="FF000000"/>
      </top>
      <bottom style="thin">
        <color rgb="FFEFEFEF"/>
      </bottom>
    </border>
    <border>
      <top style="double">
        <color rgb="FF000000"/>
      </top>
      <bottom style="thin">
        <color rgb="FFEFEFEF"/>
      </bottom>
    </border>
    <border>
      <right style="double">
        <color rgb="FF000000"/>
      </right>
      <top style="double">
        <color rgb="FF000000"/>
      </top>
      <bottom style="thin">
        <color rgb="FFEFEFE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000000"/>
      </left>
      <right style="thin">
        <color rgb="FFEFEFEF"/>
      </right>
      <top style="thick">
        <color rgb="FF000000"/>
      </top>
      <bottom style="thin">
        <color rgb="FF000000"/>
      </bottom>
    </border>
    <border>
      <left style="thin">
        <color rgb="FFEFEFEF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EFEFEF"/>
      </right>
      <bottom style="thin">
        <color rgb="FF000000"/>
      </bottom>
    </border>
    <border>
      <left style="thin">
        <color rgb="FFEFEFEF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double">
        <color rgb="FF000000"/>
      </right>
      <top style="thin">
        <color rgb="FFEFEFEF"/>
      </top>
      <bottom style="thin">
        <color rgb="FFEFEFEF"/>
      </bottom>
    </border>
    <border>
      <left style="thick">
        <color rgb="FF000000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CCCCCC"/>
      </right>
      <top style="thin">
        <color rgb="FF000000"/>
      </top>
      <bottom style="thick">
        <color rgb="FF000000"/>
      </bottom>
    </border>
    <border>
      <left style="thin">
        <color rgb="FFCCCCCC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double">
        <color rgb="FF000000"/>
      </left>
      <right style="thin">
        <color rgb="FFEFEFEF"/>
      </right>
      <top style="thin">
        <color rgb="FFEFEFEF"/>
      </top>
    </border>
    <border>
      <left style="double">
        <color rgb="FF000000"/>
      </left>
      <right style="thin">
        <color rgb="FFEFEFEF"/>
      </right>
    </border>
    <border>
      <left style="double">
        <color rgb="FF000000"/>
      </left>
      <right style="thin">
        <color rgb="FFEFEFEF"/>
      </right>
      <bottom style="thin">
        <color rgb="FFEFEFEF"/>
      </bottom>
    </border>
    <border>
      <left style="thick">
        <color rgb="FF000000"/>
      </left>
      <right style="thin">
        <color rgb="FFEFEFEF"/>
      </right>
      <top style="thin">
        <color rgb="FF000000"/>
      </top>
      <bottom style="thick">
        <color rgb="FF000000"/>
      </bottom>
    </border>
    <border>
      <bottom style="thin">
        <color rgb="FFEFEFEF"/>
      </bottom>
    </border>
    <border>
      <right style="thin">
        <color rgb="FFEFEFEF"/>
      </right>
      <top style="thin">
        <color rgb="FFEFEFEF"/>
      </top>
      <bottom style="double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double">
        <color rgb="FF000000"/>
      </bottom>
    </border>
    <border>
      <left style="thin">
        <color rgb="FFEFEFEF"/>
      </left>
      <right style="double">
        <color rgb="FF000000"/>
      </right>
      <top style="thin">
        <color rgb="FFEFEFEF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2" fontId="3" numFmtId="0" xfId="0" applyAlignment="1" applyBorder="1" applyFont="1">
      <alignment horizontal="left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8" fillId="2" fontId="4" numFmtId="0" xfId="0" applyAlignment="1" applyBorder="1" applyFont="1">
      <alignment horizontal="left" readingOrder="0" shrinkToFit="0" vertical="center" wrapText="1"/>
    </xf>
    <xf borderId="12" fillId="2" fontId="3" numFmtId="0" xfId="0" applyAlignment="1" applyBorder="1" applyFont="1">
      <alignment horizontal="left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2" fontId="3" numFmtId="0" xfId="0" applyAlignment="1" applyBorder="1" applyFont="1">
      <alignment horizontal="left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4" fillId="0" fontId="1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0" fillId="2" fontId="5" numFmtId="0" xfId="0" applyAlignment="1" applyFont="1">
      <alignment vertical="center"/>
    </xf>
    <xf borderId="20" fillId="2" fontId="5" numFmtId="0" xfId="0" applyAlignment="1" applyBorder="1" applyFont="1">
      <alignment vertical="center"/>
    </xf>
    <xf borderId="21" fillId="2" fontId="5" numFmtId="0" xfId="0" applyAlignment="1" applyBorder="1" applyFont="1">
      <alignment vertical="center"/>
    </xf>
    <xf borderId="22" fillId="0" fontId="2" numFmtId="0" xfId="0" applyBorder="1" applyFont="1"/>
    <xf borderId="23" fillId="0" fontId="2" numFmtId="0" xfId="0" applyBorder="1" applyFont="1"/>
    <xf borderId="8" fillId="2" fontId="6" numFmtId="0" xfId="0" applyAlignment="1" applyBorder="1" applyFont="1">
      <alignment vertical="center"/>
    </xf>
    <xf borderId="24" fillId="2" fontId="7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2" fontId="6" numFmtId="0" xfId="0" applyAlignment="1" applyBorder="1" applyFont="1">
      <alignment vertical="center"/>
    </xf>
    <xf borderId="24" fillId="2" fontId="8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vertical="center"/>
    </xf>
    <xf borderId="8" fillId="2" fontId="5" numFmtId="0" xfId="0" applyAlignment="1" applyBorder="1" applyFont="1">
      <alignment vertical="center"/>
    </xf>
    <xf borderId="27" fillId="2" fontId="5" numFmtId="0" xfId="0" applyAlignment="1" applyBorder="1" applyFont="1">
      <alignment horizontal="center" readingOrder="0" vertical="center"/>
    </xf>
    <xf borderId="28" fillId="2" fontId="9" numFmtId="0" xfId="0" applyAlignment="1" applyBorder="1" applyFont="1">
      <alignment readingOrder="0" vertical="center"/>
    </xf>
    <xf borderId="26" fillId="2" fontId="5" numFmtId="0" xfId="0" applyAlignment="1" applyBorder="1" applyFont="1">
      <alignment vertical="center"/>
    </xf>
    <xf borderId="29" fillId="2" fontId="5" numFmtId="0" xfId="0" applyAlignment="1" applyBorder="1" applyFont="1">
      <alignment horizontal="center" vertical="top"/>
    </xf>
    <xf borderId="30" fillId="2" fontId="9" numFmtId="0" xfId="0" applyAlignment="1" applyBorder="1" applyFont="1">
      <alignment readingOrder="0" vertical="center"/>
    </xf>
    <xf borderId="29" fillId="2" fontId="5" numFmtId="0" xfId="0" applyAlignment="1" applyBorder="1" applyFont="1">
      <alignment horizontal="center" vertical="center"/>
    </xf>
    <xf borderId="30" fillId="2" fontId="9" numFmtId="0" xfId="0" applyAlignment="1" applyBorder="1" applyFont="1">
      <alignment readingOrder="0" vertical="center"/>
    </xf>
    <xf borderId="10" fillId="2" fontId="5" numFmtId="0" xfId="0" applyAlignment="1" applyBorder="1" applyFont="1">
      <alignment vertical="center"/>
    </xf>
    <xf borderId="31" fillId="3" fontId="5" numFmtId="0" xfId="0" applyAlignment="1" applyBorder="1" applyFill="1" applyFont="1">
      <alignment horizontal="center" vertical="center"/>
    </xf>
    <xf borderId="32" fillId="3" fontId="9" numFmtId="0" xfId="0" applyAlignment="1" applyBorder="1" applyFont="1">
      <alignment horizontal="left" readingOrder="0" vertical="center"/>
    </xf>
    <xf borderId="33" fillId="2" fontId="5" numFmtId="0" xfId="0" applyAlignment="1" applyBorder="1" applyFont="1">
      <alignment vertical="center"/>
    </xf>
    <xf borderId="31" fillId="3" fontId="5" numFmtId="0" xfId="0" applyAlignment="1" applyBorder="1" applyFont="1">
      <alignment horizontal="center" vertical="center"/>
    </xf>
    <xf borderId="32" fillId="3" fontId="9" numFmtId="0" xfId="0" applyAlignment="1" applyBorder="1" applyFont="1">
      <alignment horizontal="left" readingOrder="0" vertical="center"/>
    </xf>
    <xf borderId="34" fillId="2" fontId="5" numFmtId="0" xfId="0" applyAlignment="1" applyBorder="1" applyFont="1">
      <alignment vertical="center"/>
    </xf>
    <xf borderId="35" fillId="2" fontId="5" numFmtId="0" xfId="0" applyAlignment="1" applyBorder="1" applyFont="1">
      <alignment horizontal="center" vertical="center"/>
    </xf>
    <xf borderId="36" fillId="2" fontId="9" numFmtId="0" xfId="0" applyAlignment="1" applyBorder="1" applyFont="1">
      <alignment vertical="center"/>
    </xf>
    <xf borderId="35" fillId="2" fontId="5" numFmtId="0" xfId="0" applyAlignment="1" applyBorder="1" applyFont="1">
      <alignment horizontal="center" vertical="center"/>
    </xf>
    <xf borderId="36" fillId="2" fontId="9" numFmtId="0" xfId="0" applyAlignment="1" applyBorder="1" applyFont="1">
      <alignment vertical="center"/>
    </xf>
    <xf borderId="37" fillId="3" fontId="5" numFmtId="0" xfId="0" applyAlignment="1" applyBorder="1" applyFont="1">
      <alignment horizontal="center" vertical="center"/>
    </xf>
    <xf borderId="38" fillId="3" fontId="9" numFmtId="0" xfId="0" applyAlignment="1" applyBorder="1" applyFont="1">
      <alignment horizontal="left" readingOrder="0" vertical="center"/>
    </xf>
    <xf borderId="39" fillId="2" fontId="5" numFmtId="0" xfId="0" applyAlignment="1" applyBorder="1" applyFont="1">
      <alignment horizontal="center" vertical="center"/>
    </xf>
    <xf borderId="39" fillId="2" fontId="10" numFmtId="0" xfId="0" applyAlignment="1" applyBorder="1" applyFont="1">
      <alignment horizontal="left" readingOrder="0" vertical="center"/>
    </xf>
    <xf borderId="33" fillId="2" fontId="5" numFmtId="0" xfId="0" applyAlignment="1" applyBorder="1" applyFont="1">
      <alignment horizontal="center" vertical="center"/>
    </xf>
    <xf borderId="33" fillId="2" fontId="10" numFmtId="0" xfId="0" applyAlignment="1" applyBorder="1" applyFont="1">
      <alignment horizontal="left" readingOrder="0" vertical="center"/>
    </xf>
    <xf borderId="40" fillId="2" fontId="5" numFmtId="0" xfId="0" applyAlignment="1" applyBorder="1" applyFont="1">
      <alignment vertical="center"/>
    </xf>
    <xf borderId="35" fillId="3" fontId="5" numFmtId="0" xfId="0" applyAlignment="1" applyBorder="1" applyFont="1">
      <alignment horizontal="center" vertical="center"/>
    </xf>
    <xf borderId="41" fillId="3" fontId="9" numFmtId="0" xfId="0" applyAlignment="1" applyBorder="1" applyFont="1">
      <alignment horizontal="left" readingOrder="0" vertical="center"/>
    </xf>
    <xf borderId="31" fillId="2" fontId="5" numFmtId="0" xfId="0" applyAlignment="1" applyBorder="1" applyFont="1">
      <alignment horizontal="center" vertical="center"/>
    </xf>
    <xf borderId="41" fillId="2" fontId="9" numFmtId="0" xfId="0" applyAlignment="1" applyBorder="1" applyFont="1">
      <alignment vertical="center"/>
    </xf>
    <xf borderId="37" fillId="2" fontId="5" numFmtId="0" xfId="0" applyAlignment="1" applyBorder="1" applyFont="1">
      <alignment horizontal="center" vertical="center"/>
    </xf>
    <xf borderId="42" fillId="2" fontId="9" numFmtId="0" xfId="0" applyAlignment="1" applyBorder="1" applyFont="1">
      <alignment vertical="center"/>
    </xf>
    <xf borderId="33" fillId="2" fontId="9" numFmtId="0" xfId="0" applyAlignment="1" applyBorder="1" applyFont="1">
      <alignment horizontal="left" readingOrder="0" vertical="center"/>
    </xf>
    <xf borderId="36" fillId="3" fontId="9" numFmtId="0" xfId="0" applyAlignment="1" applyBorder="1" applyFont="1">
      <alignment horizontal="left" readingOrder="0" vertical="center"/>
    </xf>
    <xf borderId="9" fillId="2" fontId="5" numFmtId="0" xfId="0" applyAlignment="1" applyBorder="1" applyFont="1">
      <alignment vertical="center"/>
    </xf>
    <xf borderId="41" fillId="2" fontId="9" numFmtId="0" xfId="0" applyAlignment="1" applyBorder="1" applyFont="1">
      <alignment horizontal="left" readingOrder="0" vertical="center"/>
    </xf>
    <xf borderId="41" fillId="3" fontId="9" numFmtId="0" xfId="0" applyAlignment="1" applyBorder="1" applyFont="1">
      <alignment vertical="center"/>
    </xf>
    <xf borderId="43" fillId="2" fontId="5" numFmtId="0" xfId="0" applyAlignment="1" applyBorder="1" applyFont="1">
      <alignment vertical="center"/>
    </xf>
    <xf borderId="44" fillId="2" fontId="5" numFmtId="0" xfId="0" applyAlignment="1" applyBorder="1" applyFont="1">
      <alignment vertical="center"/>
    </xf>
    <xf borderId="37" fillId="3" fontId="5" numFmtId="0" xfId="0" applyAlignment="1" applyBorder="1" applyFont="1">
      <alignment horizontal="center" vertical="center"/>
    </xf>
    <xf borderId="42" fillId="3" fontId="9" numFmtId="0" xfId="0" applyAlignment="1" applyBorder="1" applyFont="1">
      <alignment horizontal="left" readingOrder="0" vertical="center"/>
    </xf>
    <xf borderId="45" fillId="0" fontId="2" numFmtId="0" xfId="0" applyBorder="1" applyFont="1"/>
    <xf borderId="33" fillId="2" fontId="11" numFmtId="0" xfId="0" applyAlignment="1" applyBorder="1" applyFont="1">
      <alignment vertical="center"/>
    </xf>
    <xf borderId="46" fillId="0" fontId="2" numFmtId="0" xfId="0" applyBorder="1" applyFont="1"/>
    <xf borderId="47" fillId="3" fontId="5" numFmtId="0" xfId="0" applyAlignment="1" applyBorder="1" applyFont="1">
      <alignment horizontal="center" vertical="center"/>
    </xf>
    <xf borderId="42" fillId="3" fontId="9" numFmtId="0" xfId="0" applyAlignment="1" applyBorder="1" applyFont="1">
      <alignment vertical="center"/>
    </xf>
    <xf borderId="48" fillId="0" fontId="2" numFmtId="0" xfId="0" applyBorder="1" applyFont="1"/>
    <xf borderId="15" fillId="2" fontId="5" numFmtId="0" xfId="0" applyAlignment="1" applyBorder="1" applyFont="1">
      <alignment vertical="center"/>
    </xf>
    <xf borderId="49" fillId="0" fontId="2" numFmtId="0" xfId="0" applyBorder="1" applyFont="1"/>
    <xf borderId="50" fillId="2" fontId="5" numFmtId="0" xfId="0" applyAlignment="1" applyBorder="1" applyFont="1">
      <alignment vertical="center"/>
    </xf>
    <xf borderId="51" fillId="2" fontId="5" numFmtId="0" xfId="0" applyAlignment="1" applyBorder="1" applyFont="1">
      <alignment vertical="center"/>
    </xf>
    <xf borderId="52" fillId="4" fontId="12" numFmtId="1" xfId="0" applyAlignment="1" applyBorder="1" applyFill="1" applyFont="1" applyNumberFormat="1">
      <alignment horizontal="center" readingOrder="0" vertical="center"/>
    </xf>
    <xf borderId="52" fillId="4" fontId="13" numFmtId="49" xfId="0" applyAlignment="1" applyBorder="1" applyFont="1" applyNumberFormat="1">
      <alignment horizontal="center" readingOrder="0" vertical="center"/>
    </xf>
    <xf borderId="52" fillId="4" fontId="13" numFmtId="1" xfId="0" applyAlignment="1" applyBorder="1" applyFont="1" applyNumberFormat="1">
      <alignment horizontal="center" readingOrder="0" vertical="center"/>
    </xf>
    <xf borderId="53" fillId="4" fontId="13" numFmtId="1" xfId="0" applyAlignment="1" applyBorder="1" applyFont="1" applyNumberFormat="1">
      <alignment horizontal="center" readingOrder="0" vertical="center"/>
    </xf>
    <xf borderId="54" fillId="5" fontId="2" numFmtId="0" xfId="0" applyBorder="1" applyFill="1" applyFont="1"/>
    <xf borderId="55" fillId="6" fontId="2" numFmtId="0" xfId="0" applyBorder="1" applyFill="1" applyFont="1"/>
    <xf borderId="56" fillId="6" fontId="2" numFmtId="0" xfId="0" applyBorder="1" applyFont="1"/>
    <xf borderId="57" fillId="6" fontId="2" numFmtId="0" xfId="0" applyBorder="1" applyFont="1"/>
    <xf borderId="58" fillId="4" fontId="12" numFmtId="1" xfId="0" applyAlignment="1" applyBorder="1" applyFont="1" applyNumberFormat="1">
      <alignment horizontal="center" readingOrder="0" vertical="center"/>
    </xf>
    <xf borderId="58" fillId="4" fontId="14" numFmtId="49" xfId="0" applyAlignment="1" applyBorder="1" applyFont="1" applyNumberFormat="1">
      <alignment horizontal="center" readingOrder="0" vertical="center"/>
    </xf>
    <xf borderId="58" fillId="4" fontId="15" numFmtId="1" xfId="0" applyAlignment="1" applyBorder="1" applyFont="1" applyNumberFormat="1">
      <alignment horizontal="center" readingOrder="0" vertical="center"/>
    </xf>
    <xf borderId="58" fillId="4" fontId="14" numFmtId="1" xfId="0" applyAlignment="1" applyBorder="1" applyFont="1" applyNumberFormat="1">
      <alignment horizontal="center" readingOrder="0" vertical="center"/>
    </xf>
    <xf borderId="58" fillId="6" fontId="12" numFmtId="1" xfId="0" applyAlignment="1" applyBorder="1" applyFont="1" applyNumberFormat="1">
      <alignment horizontal="center" readingOrder="0" vertical="center"/>
    </xf>
    <xf borderId="58" fillId="6" fontId="14" numFmtId="49" xfId="0" applyAlignment="1" applyBorder="1" applyFont="1" applyNumberFormat="1">
      <alignment horizontal="center" vertical="center"/>
    </xf>
    <xf borderId="58" fillId="6" fontId="14" numFmtId="1" xfId="0" applyAlignment="1" applyBorder="1" applyFont="1" applyNumberFormat="1">
      <alignment horizontal="center" vertical="center"/>
    </xf>
    <xf borderId="58" fillId="6" fontId="14" numFmtId="1" xfId="0" applyAlignment="1" applyBorder="1" applyFont="1" applyNumberFormat="1">
      <alignment horizontal="center" readingOrder="0" vertical="center"/>
    </xf>
    <xf borderId="58" fillId="4" fontId="12" numFmtId="1" xfId="0" applyAlignment="1" applyBorder="1" applyFont="1" applyNumberFormat="1">
      <alignment horizontal="center" readingOrder="0" vertical="center"/>
    </xf>
    <xf borderId="58" fillId="4" fontId="14" numFmtId="49" xfId="0" applyAlignment="1" applyBorder="1" applyFont="1" applyNumberFormat="1">
      <alignment horizontal="center" vertical="center"/>
    </xf>
    <xf borderId="58" fillId="4" fontId="14" numFmtId="1" xfId="0" applyAlignment="1" applyBorder="1" applyFont="1" applyNumberFormat="1">
      <alignment horizontal="center" vertical="center"/>
    </xf>
    <xf borderId="58" fillId="6" fontId="12" numFmtId="1" xfId="0" applyAlignment="1" applyBorder="1" applyFont="1" applyNumberFormat="1">
      <alignment horizontal="center" readingOrder="0" vertical="center"/>
    </xf>
    <xf borderId="58" fillId="6" fontId="14" numFmtId="49" xfId="0" applyAlignment="1" applyBorder="1" applyFont="1" applyNumberFormat="1">
      <alignment horizontal="center" readingOrder="0" vertical="center"/>
    </xf>
    <xf borderId="58" fillId="6" fontId="16" numFmtId="1" xfId="0" applyAlignment="1" applyBorder="1" applyFont="1" applyNumberFormat="1">
      <alignment horizontal="center" readingOrder="0" vertical="center"/>
    </xf>
    <xf borderId="0" fillId="6" fontId="14" numFmtId="49" xfId="0" applyAlignment="1" applyFont="1" applyNumberFormat="1">
      <alignment horizontal="center" readingOrder="0" vertical="center"/>
    </xf>
    <xf borderId="58" fillId="4" fontId="17" numFmtId="1" xfId="0" applyAlignment="1" applyBorder="1" applyFont="1" applyNumberFormat="1">
      <alignment horizontal="center" readingOrder="0" vertical="center"/>
    </xf>
    <xf borderId="58" fillId="6" fontId="18" numFmtId="1" xfId="0" applyAlignment="1" applyBorder="1" applyFont="1" applyNumberFormat="1">
      <alignment horizontal="center" readingOrder="0" vertical="center"/>
    </xf>
    <xf borderId="58" fillId="4" fontId="19" numFmtId="1" xfId="0" applyAlignment="1" applyBorder="1" applyFont="1" applyNumberFormat="1">
      <alignment horizontal="center" readingOrder="0" vertical="center"/>
    </xf>
    <xf borderId="58" fillId="6" fontId="20" numFmtId="1" xfId="0" applyAlignment="1" applyBorder="1" applyFont="1" applyNumberFormat="1">
      <alignment horizontal="center" readingOrder="0" vertical="center"/>
    </xf>
    <xf borderId="58" fillId="4" fontId="21" numFmtId="1" xfId="0" applyAlignment="1" applyBorder="1" applyFont="1" applyNumberFormat="1">
      <alignment horizontal="center" readingOrder="0" vertical="center"/>
    </xf>
    <xf borderId="58" fillId="4" fontId="22" numFmtId="1" xfId="0" applyAlignment="1" applyBorder="1" applyFont="1" applyNumberFormat="1">
      <alignment horizontal="center" readingOrder="0" vertical="center"/>
    </xf>
    <xf borderId="58" fillId="6" fontId="23" numFmtId="1" xfId="0" applyAlignment="1" applyBorder="1" applyFont="1" applyNumberFormat="1">
      <alignment horizontal="center" vertical="center"/>
    </xf>
    <xf borderId="58" fillId="4" fontId="24" numFmtId="1" xfId="0" applyAlignment="1" applyBorder="1" applyFont="1" applyNumberFormat="1">
      <alignment horizontal="center" vertical="center"/>
    </xf>
    <xf borderId="58" fillId="4" fontId="14" numFmtId="1" xfId="0" applyAlignment="1" applyBorder="1" applyFont="1" applyNumberFormat="1">
      <alignment horizontal="center" vertical="bottom"/>
    </xf>
    <xf borderId="58" fillId="6" fontId="25" numFmtId="1" xfId="0" applyAlignment="1" applyBorder="1" applyFont="1" applyNumberFormat="1">
      <alignment horizontal="center" readingOrder="0" vertical="center"/>
    </xf>
    <xf borderId="58" fillId="6" fontId="14" numFmtId="1" xfId="0" applyAlignment="1" applyBorder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3">
    <tableStyle count="2" pivot="0" name="List of Pokémon-style">
      <tableStyleElement dxfId="1" type="firstRowStripe"/>
      <tableStyleElement dxfId="2" type="secondRowStripe"/>
    </tableStyle>
    <tableStyle count="2" pivot="0" name="List of Pokémon-style 2">
      <tableStyleElement dxfId="1" type="firstRowStripe"/>
      <tableStyleElement dxfId="2" type="secondRowStripe"/>
    </tableStyle>
    <tableStyle count="2" pivot="0" name="List of Pokémon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4:D259" displayName="Table_1" name="Table_1" id="1">
  <tableColumns count="2">
    <tableColumn name="Column1" id="1"/>
    <tableColumn name="Column2" id="2"/>
  </tableColumns>
  <tableStyleInfo name="List of Pokémon-style" showColumnStripes="0" showFirstColumn="1" showLastColumn="1" showRowStripes="1"/>
</table>
</file>

<file path=xl/tables/table2.xml><?xml version="1.0" encoding="utf-8"?>
<table xmlns="http://schemas.openxmlformats.org/spreadsheetml/2006/main" headerRowCount="0" ref="F4:G342" displayName="Table_2" name="Table_2" id="2">
  <tableColumns count="2">
    <tableColumn name="Column1" id="1"/>
    <tableColumn name="Column2" id="2"/>
  </tableColumns>
  <tableStyleInfo name="List of Pokém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I4:J45" displayName="Table_3" name="Table_3" id="3">
  <tableColumns count="2">
    <tableColumn name="Column1" id="1"/>
    <tableColumn name="Column2" id="2"/>
  </tableColumns>
  <tableStyleInfo name="List of Pokém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i.ibb.co/wL4cSTF/noivern.png" TargetMode="External"/><Relationship Id="rId22" Type="http://schemas.openxmlformats.org/officeDocument/2006/relationships/hyperlink" Target="https://i.ibb.co/y82vzrm/lokix.png" TargetMode="External"/><Relationship Id="rId21" Type="http://schemas.openxmlformats.org/officeDocument/2006/relationships/hyperlink" Target="https://i.ibb.co/5F4PCgs/nymble.png" TargetMode="External"/><Relationship Id="rId24" Type="http://schemas.openxmlformats.org/officeDocument/2006/relationships/hyperlink" Target="https://raw.githubusercontent.com/msikma/pokesprite/master/icons/pokemon/regular/pikachu-A-cap.png" TargetMode="External"/><Relationship Id="rId23" Type="http://schemas.openxmlformats.org/officeDocument/2006/relationships/hyperlink" Target="https://raw.githubusercontent.com/msikma/pokesprite/master/icons/pokemon/regular/pikachu-cosplay.png" TargetMode="External"/><Relationship Id="rId1" Type="http://schemas.openxmlformats.org/officeDocument/2006/relationships/hyperlink" Target="https://i.ibb.co/YfJK75p/blitzle.png" TargetMode="External"/><Relationship Id="rId2" Type="http://schemas.openxmlformats.org/officeDocument/2006/relationships/hyperlink" Target="https://i.ibb.co/L9cQ1C9/zebstrika.png" TargetMode="External"/><Relationship Id="rId3" Type="http://schemas.openxmlformats.org/officeDocument/2006/relationships/hyperlink" Target="https://i.ibb.co/7nn1kwY/sizzli.png" TargetMode="External"/><Relationship Id="rId4" Type="http://schemas.openxmlformats.org/officeDocument/2006/relationships/hyperlink" Target="https://i.ibb.co/DRYBrLP/centi.png" TargetMode="External"/><Relationship Id="rId9" Type="http://schemas.openxmlformats.org/officeDocument/2006/relationships/hyperlink" Target="https://i.ibb.co/h1HJKdf/clawitzer.png" TargetMode="External"/><Relationship Id="rId26" Type="http://schemas.openxmlformats.org/officeDocument/2006/relationships/hyperlink" Target="https://i.ibb.co/HNrK2Xh/pikachu-surfing.png" TargetMode="External"/><Relationship Id="rId25" Type="http://schemas.openxmlformats.org/officeDocument/2006/relationships/hyperlink" Target="https://i.ibb.co/WHKZ3hL/pikachu-flying.png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i.ibb.co/p6q42b6/dhelmise.png" TargetMode="External"/><Relationship Id="rId6" Type="http://schemas.openxmlformats.org/officeDocument/2006/relationships/hyperlink" Target="https://i.ibb.co/Qb9rXzq/wishismall.png" TargetMode="External"/><Relationship Id="rId7" Type="http://schemas.openxmlformats.org/officeDocument/2006/relationships/hyperlink" Target="https://i.ibb.co/8MLW6ZL/wishibig.png" TargetMode="External"/><Relationship Id="rId8" Type="http://schemas.openxmlformats.org/officeDocument/2006/relationships/hyperlink" Target="https://i.ibb.co/7zF1Xb9/clauncher.png" TargetMode="External"/><Relationship Id="rId11" Type="http://schemas.openxmlformats.org/officeDocument/2006/relationships/hyperlink" Target="https://i.ibb.co/bdr5Wkf/milotic.png" TargetMode="External"/><Relationship Id="rId10" Type="http://schemas.openxmlformats.org/officeDocument/2006/relationships/hyperlink" Target="https://i.ibb.co/JvcPpPk/feebas.png" TargetMode="External"/><Relationship Id="rId13" Type="http://schemas.openxmlformats.org/officeDocument/2006/relationships/hyperlink" Target="https://i.ibb.co/dMd6QqS/Doduo.png" TargetMode="External"/><Relationship Id="rId12" Type="http://schemas.openxmlformats.org/officeDocument/2006/relationships/hyperlink" Target="https://i.ibb.co/44gwSdt/carnivine.png" TargetMode="External"/><Relationship Id="rId15" Type="http://schemas.openxmlformats.org/officeDocument/2006/relationships/hyperlink" Target="https://i.ibb.co/x532jKD/mantyke.png" TargetMode="External"/><Relationship Id="rId14" Type="http://schemas.openxmlformats.org/officeDocument/2006/relationships/hyperlink" Target="https://i.ibb.co/tB3McC4/Dodrio.png" TargetMode="External"/><Relationship Id="rId17" Type="http://schemas.openxmlformats.org/officeDocument/2006/relationships/hyperlink" Target="https://i.ibb.co/3yGyb11/teddi.png" TargetMode="External"/><Relationship Id="rId16" Type="http://schemas.openxmlformats.org/officeDocument/2006/relationships/hyperlink" Target="https://i.ibb.co/TvMpZXK/mantine.png" TargetMode="External"/><Relationship Id="rId19" Type="http://schemas.openxmlformats.org/officeDocument/2006/relationships/hyperlink" Target="https://i.ibb.co/t8b3wR3/noibat.png" TargetMode="External"/><Relationship Id="rId18" Type="http://schemas.openxmlformats.org/officeDocument/2006/relationships/hyperlink" Target="https://i.ibb.co/mT2SprD/ursari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7" width="14.25"/>
    <col customWidth="1" min="8" max="8" width="1.13"/>
  </cols>
  <sheetData>
    <row r="1" ht="6.0" customHeight="1">
      <c r="A1" s="1"/>
      <c r="B1" s="2"/>
      <c r="C1" s="2"/>
      <c r="D1" s="2"/>
      <c r="E1" s="2"/>
      <c r="F1" s="2"/>
      <c r="G1" s="2"/>
      <c r="H1" s="3"/>
    </row>
    <row r="2" ht="7.5" customHeight="1">
      <c r="A2" s="1"/>
      <c r="B2" s="4"/>
      <c r="C2" s="5"/>
      <c r="D2" s="5"/>
      <c r="E2" s="5"/>
      <c r="F2" s="5"/>
      <c r="G2" s="6"/>
      <c r="H2" s="7"/>
    </row>
    <row r="3" ht="41.25" customHeight="1">
      <c r="A3" s="8"/>
      <c r="B3" s="9" t="s">
        <v>0</v>
      </c>
      <c r="C3" s="10"/>
      <c r="D3" s="10"/>
      <c r="E3" s="10"/>
      <c r="F3" s="10"/>
      <c r="G3" s="11"/>
      <c r="H3" s="12"/>
    </row>
    <row r="4" ht="41.25" customHeight="1">
      <c r="A4" s="8"/>
      <c r="B4" s="9" t="s">
        <v>1</v>
      </c>
      <c r="C4" s="10"/>
      <c r="D4" s="10"/>
      <c r="E4" s="10"/>
      <c r="F4" s="10"/>
      <c r="G4" s="11"/>
      <c r="H4" s="12"/>
    </row>
    <row r="5" ht="41.25" customHeight="1">
      <c r="A5" s="8"/>
      <c r="B5" s="13" t="s">
        <v>2</v>
      </c>
      <c r="C5" s="10"/>
      <c r="D5" s="10"/>
      <c r="E5" s="10"/>
      <c r="F5" s="10"/>
      <c r="G5" s="11"/>
      <c r="H5" s="12"/>
    </row>
    <row r="6" ht="56.25" customHeight="1">
      <c r="A6" s="8"/>
      <c r="B6" s="14" t="s">
        <v>3</v>
      </c>
      <c r="G6" s="15"/>
      <c r="H6" s="12"/>
    </row>
    <row r="7" ht="41.25" customHeight="1">
      <c r="A7" s="8"/>
      <c r="B7" s="9" t="s">
        <v>4</v>
      </c>
      <c r="C7" s="10"/>
      <c r="D7" s="10"/>
      <c r="E7" s="10"/>
      <c r="F7" s="10"/>
      <c r="G7" s="11"/>
      <c r="H7" s="12"/>
    </row>
    <row r="8" ht="41.25" customHeight="1">
      <c r="A8" s="8"/>
      <c r="B8" s="14" t="s">
        <v>5</v>
      </c>
      <c r="G8" s="15"/>
      <c r="H8" s="12"/>
    </row>
    <row r="9" ht="7.5" customHeight="1">
      <c r="A9" s="16"/>
      <c r="B9" s="17"/>
      <c r="C9" s="18"/>
      <c r="D9" s="18"/>
      <c r="E9" s="18"/>
      <c r="F9" s="18"/>
      <c r="G9" s="19"/>
      <c r="H9" s="20"/>
    </row>
    <row r="10" ht="6.0" customHeight="1">
      <c r="A10" s="21"/>
      <c r="B10" s="22"/>
      <c r="C10" s="22"/>
      <c r="D10" s="22"/>
      <c r="E10" s="22"/>
      <c r="F10" s="22"/>
      <c r="G10" s="22"/>
      <c r="H10" s="20"/>
    </row>
  </sheetData>
  <mergeCells count="12">
    <mergeCell ref="B6:G6"/>
    <mergeCell ref="B7:G7"/>
    <mergeCell ref="B8:G8"/>
    <mergeCell ref="B9:G9"/>
    <mergeCell ref="A1:H1"/>
    <mergeCell ref="A2:A9"/>
    <mergeCell ref="B2:G2"/>
    <mergeCell ref="H2:H9"/>
    <mergeCell ref="B3:G3"/>
    <mergeCell ref="B4:G4"/>
    <mergeCell ref="B5:G5"/>
    <mergeCell ref="A10:H10"/>
  </mergeCells>
  <hyperlinks>
    <hyperlink display="Select the &quot;List of Pokémon&quot; tab below to check the list of Pokémon available in each pool, sorted in alphabetical order, or click/tap the link inside that box." location="'List of Pokémon'!A1" ref="B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37D4"/>
    <outlinePr summaryBelow="0" summaryRight="0"/>
  </sheetPr>
  <sheetViews>
    <sheetView workbookViewId="0"/>
  </sheetViews>
  <sheetFormatPr customHeight="1" defaultColWidth="12.63" defaultRowHeight="15.75"/>
  <cols>
    <col customWidth="1" min="1" max="2" width="1.13"/>
    <col customWidth="1" min="3" max="3" width="5.0"/>
    <col customWidth="1" min="4" max="4" width="18.25"/>
    <col customWidth="1" min="5" max="5" width="1.63"/>
    <col customWidth="1" min="6" max="6" width="5.0"/>
    <col customWidth="1" min="7" max="7" width="18.25"/>
    <col customWidth="1" min="8" max="8" width="1.38"/>
    <col customWidth="1" min="9" max="9" width="5.0"/>
    <col customWidth="1" min="10" max="10" width="18.25"/>
    <col customWidth="1" min="11" max="11" width="1.38"/>
    <col customWidth="1" min="12" max="12" width="5.25"/>
    <col customWidth="1" min="13" max="13" width="18.25"/>
    <col customWidth="1" min="14" max="14" width="1.13"/>
    <col customWidth="1" min="15" max="15" width="0.75"/>
  </cols>
  <sheetData>
    <row r="1" ht="6.0" customHeight="1">
      <c r="A1" s="23"/>
    </row>
    <row r="2" ht="6.0" customHeight="1">
      <c r="A2" s="24"/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4"/>
    </row>
    <row r="3" ht="33.75" customHeight="1">
      <c r="B3" s="28"/>
      <c r="C3" s="29" t="s">
        <v>6</v>
      </c>
      <c r="D3" s="30"/>
      <c r="E3" s="31"/>
      <c r="F3" s="32" t="s">
        <v>7</v>
      </c>
      <c r="G3" s="30"/>
      <c r="H3" s="31"/>
      <c r="I3" s="29" t="s">
        <v>8</v>
      </c>
      <c r="J3" s="30"/>
      <c r="K3" s="31"/>
      <c r="L3" s="29" t="s">
        <v>9</v>
      </c>
      <c r="M3" s="30"/>
      <c r="N3" s="33"/>
    </row>
    <row r="4" ht="22.5" customHeight="1">
      <c r="B4" s="34"/>
      <c r="C4" s="35" t="str">
        <f t="array" ref="C4:C265">IFERROR(VLOOKUP(D4:D265,Dex!$B$3:$N344,2,FALSE),"")</f>
        <v/>
      </c>
      <c r="D4" s="36" t="s">
        <v>10</v>
      </c>
      <c r="E4" s="37"/>
      <c r="F4" s="35" t="str">
        <f t="array" ref="F4:F342">IFERROR(VLOOKUP(G4:G342,Dex!$B$3:$N344,2,FALSE),"")</f>
        <v/>
      </c>
      <c r="G4" s="36" t="s">
        <v>10</v>
      </c>
      <c r="H4" s="37"/>
      <c r="I4" s="38" t="str">
        <f t="array" ref="I4:I340">IFERROR(VLOOKUP(J4:J340,Dex!$B$3:$N344,2,FALSE),"")</f>
        <v/>
      </c>
      <c r="J4" s="39" t="s">
        <v>11</v>
      </c>
      <c r="K4" s="37"/>
      <c r="L4" s="40" t="str">
        <f t="array" ref="L4:L340">IFERROR(VLOOKUP(M4:M340,Dex!$B$3:$N344,2,FALSE),"")</f>
        <v/>
      </c>
      <c r="M4" s="41" t="s">
        <v>12</v>
      </c>
      <c r="N4" s="42"/>
    </row>
    <row r="5" ht="23.25" customHeight="1">
      <c r="B5" s="34"/>
      <c r="C5" s="43"/>
      <c r="D5" s="44" t="s">
        <v>13</v>
      </c>
      <c r="E5" s="37"/>
      <c r="F5" s="43"/>
      <c r="G5" s="44" t="s">
        <v>14</v>
      </c>
      <c r="H5" s="45"/>
      <c r="I5" s="43"/>
      <c r="J5" s="44" t="s">
        <v>15</v>
      </c>
      <c r="K5" s="45"/>
      <c r="L5" s="46"/>
      <c r="M5" s="47" t="s">
        <v>16</v>
      </c>
      <c r="N5" s="48"/>
    </row>
    <row r="6" ht="23.25" customHeight="1">
      <c r="B6" s="34"/>
      <c r="C6" s="49"/>
      <c r="D6" s="50" t="s">
        <v>17</v>
      </c>
      <c r="E6" s="37"/>
      <c r="F6" s="49"/>
      <c r="G6" s="50" t="s">
        <v>13</v>
      </c>
      <c r="H6" s="45"/>
      <c r="I6" s="49"/>
      <c r="J6" s="50" t="s">
        <v>18</v>
      </c>
      <c r="K6" s="45"/>
      <c r="L6" s="51"/>
      <c r="M6" s="52" t="s">
        <v>19</v>
      </c>
      <c r="N6" s="48"/>
    </row>
    <row r="7" ht="23.25" customHeight="1">
      <c r="B7" s="34"/>
      <c r="C7" s="43"/>
      <c r="D7" s="44" t="s">
        <v>20</v>
      </c>
      <c r="E7" s="37"/>
      <c r="F7" s="43"/>
      <c r="G7" s="44" t="s">
        <v>17</v>
      </c>
      <c r="H7" s="45"/>
      <c r="I7" s="43"/>
      <c r="J7" s="44" t="s">
        <v>21</v>
      </c>
      <c r="K7" s="45"/>
      <c r="L7" s="46"/>
      <c r="M7" s="47" t="s">
        <v>22</v>
      </c>
      <c r="N7" s="48"/>
    </row>
    <row r="8" ht="23.25" customHeight="1">
      <c r="B8" s="34"/>
      <c r="C8" s="49"/>
      <c r="D8" s="50" t="s">
        <v>23</v>
      </c>
      <c r="E8" s="37"/>
      <c r="F8" s="49"/>
      <c r="G8" s="50" t="s">
        <v>20</v>
      </c>
      <c r="H8" s="45"/>
      <c r="I8" s="49"/>
      <c r="J8" s="50" t="s">
        <v>24</v>
      </c>
      <c r="K8" s="45"/>
      <c r="L8" s="51"/>
      <c r="M8" s="52" t="s">
        <v>25</v>
      </c>
      <c r="N8" s="48"/>
    </row>
    <row r="9" ht="23.25" customHeight="1">
      <c r="B9" s="34"/>
      <c r="C9" s="43"/>
      <c r="D9" s="44" t="s">
        <v>26</v>
      </c>
      <c r="E9" s="37"/>
      <c r="F9" s="43"/>
      <c r="G9" s="44" t="s">
        <v>23</v>
      </c>
      <c r="H9" s="45"/>
      <c r="I9" s="43"/>
      <c r="J9" s="44" t="s">
        <v>27</v>
      </c>
      <c r="K9" s="45"/>
      <c r="L9" s="46"/>
      <c r="M9" s="47" t="s">
        <v>28</v>
      </c>
      <c r="N9" s="48"/>
    </row>
    <row r="10" ht="23.25" customHeight="1">
      <c r="B10" s="34"/>
      <c r="C10" s="49"/>
      <c r="D10" s="50" t="s">
        <v>29</v>
      </c>
      <c r="E10" s="37"/>
      <c r="F10" s="49"/>
      <c r="G10" s="50" t="s">
        <v>26</v>
      </c>
      <c r="H10" s="45"/>
      <c r="I10" s="49"/>
      <c r="J10" s="50" t="s">
        <v>30</v>
      </c>
      <c r="K10" s="45"/>
      <c r="L10" s="51"/>
      <c r="M10" s="52" t="s">
        <v>31</v>
      </c>
      <c r="N10" s="48"/>
    </row>
    <row r="11" ht="23.25" customHeight="1">
      <c r="B11" s="34"/>
      <c r="C11" s="43"/>
      <c r="D11" s="44" t="s">
        <v>32</v>
      </c>
      <c r="E11" s="37"/>
      <c r="F11" s="43"/>
      <c r="G11" s="44" t="s">
        <v>29</v>
      </c>
      <c r="H11" s="45"/>
      <c r="I11" s="43"/>
      <c r="J11" s="44" t="s">
        <v>33</v>
      </c>
      <c r="K11" s="45"/>
      <c r="L11" s="46"/>
      <c r="M11" s="47" t="s">
        <v>34</v>
      </c>
      <c r="N11" s="48"/>
    </row>
    <row r="12" ht="23.25" customHeight="1">
      <c r="B12" s="34"/>
      <c r="C12" s="49"/>
      <c r="D12" s="50" t="s">
        <v>35</v>
      </c>
      <c r="E12" s="37"/>
      <c r="F12" s="49"/>
      <c r="G12" s="50" t="s">
        <v>32</v>
      </c>
      <c r="H12" s="45"/>
      <c r="I12" s="49"/>
      <c r="J12" s="50" t="s">
        <v>36</v>
      </c>
      <c r="K12" s="45"/>
      <c r="L12" s="51"/>
      <c r="M12" s="52" t="s">
        <v>37</v>
      </c>
      <c r="N12" s="48"/>
    </row>
    <row r="13" ht="23.25" customHeight="1">
      <c r="B13" s="34"/>
      <c r="C13" s="43"/>
      <c r="D13" s="44" t="s">
        <v>38</v>
      </c>
      <c r="E13" s="37"/>
      <c r="F13" s="43"/>
      <c r="G13" s="44" t="s">
        <v>35</v>
      </c>
      <c r="H13" s="45"/>
      <c r="I13" s="43"/>
      <c r="J13" s="44" t="s">
        <v>39</v>
      </c>
      <c r="K13" s="45"/>
      <c r="L13" s="46"/>
      <c r="M13" s="47" t="s">
        <v>40</v>
      </c>
      <c r="N13" s="48"/>
    </row>
    <row r="14" ht="23.25" customHeight="1">
      <c r="B14" s="34"/>
      <c r="C14" s="49"/>
      <c r="D14" s="50" t="s">
        <v>41</v>
      </c>
      <c r="E14" s="37"/>
      <c r="F14" s="49"/>
      <c r="G14" s="50" t="s">
        <v>38</v>
      </c>
      <c r="H14" s="45"/>
      <c r="I14" s="49"/>
      <c r="J14" s="50" t="s">
        <v>42</v>
      </c>
      <c r="K14" s="45"/>
      <c r="L14" s="51"/>
      <c r="M14" s="52" t="s">
        <v>43</v>
      </c>
      <c r="N14" s="48"/>
    </row>
    <row r="15" ht="23.25" customHeight="1">
      <c r="B15" s="34"/>
      <c r="C15" s="43"/>
      <c r="D15" s="44" t="s">
        <v>44</v>
      </c>
      <c r="E15" s="37"/>
      <c r="F15" s="43"/>
      <c r="G15" s="44" t="s">
        <v>41</v>
      </c>
      <c r="H15" s="45"/>
      <c r="I15" s="43"/>
      <c r="J15" s="44" t="s">
        <v>45</v>
      </c>
      <c r="K15" s="45"/>
      <c r="L15" s="53"/>
      <c r="M15" s="54" t="s">
        <v>46</v>
      </c>
      <c r="N15" s="48"/>
    </row>
    <row r="16" ht="23.25" customHeight="1">
      <c r="B16" s="34"/>
      <c r="C16" s="49"/>
      <c r="D16" s="50" t="s">
        <v>47</v>
      </c>
      <c r="E16" s="37"/>
      <c r="F16" s="49"/>
      <c r="G16" s="50" t="s">
        <v>48</v>
      </c>
      <c r="H16" s="45"/>
      <c r="I16" s="49"/>
      <c r="J16" s="50" t="s">
        <v>49</v>
      </c>
      <c r="K16" s="45"/>
      <c r="L16" s="55"/>
      <c r="M16" s="56"/>
      <c r="N16" s="48"/>
    </row>
    <row r="17" ht="23.25" customHeight="1">
      <c r="B17" s="34"/>
      <c r="C17" s="43"/>
      <c r="D17" s="44" t="s">
        <v>50</v>
      </c>
      <c r="E17" s="37"/>
      <c r="F17" s="43"/>
      <c r="G17" s="44" t="s">
        <v>44</v>
      </c>
      <c r="H17" s="45"/>
      <c r="I17" s="43"/>
      <c r="J17" s="44" t="s">
        <v>51</v>
      </c>
      <c r="K17" s="45"/>
      <c r="L17" s="57"/>
      <c r="M17" s="58"/>
      <c r="N17" s="48"/>
    </row>
    <row r="18" ht="23.25" customHeight="1">
      <c r="B18" s="34"/>
      <c r="C18" s="49"/>
      <c r="D18" s="50" t="s">
        <v>52</v>
      </c>
      <c r="E18" s="37"/>
      <c r="F18" s="49"/>
      <c r="G18" s="50" t="s">
        <v>47</v>
      </c>
      <c r="H18" s="45"/>
      <c r="I18" s="49"/>
      <c r="J18" s="50" t="s">
        <v>53</v>
      </c>
      <c r="K18" s="45"/>
      <c r="L18" s="57"/>
      <c r="M18" s="58"/>
      <c r="N18" s="48"/>
    </row>
    <row r="19" ht="23.25" customHeight="1">
      <c r="B19" s="34"/>
      <c r="C19" s="43"/>
      <c r="D19" s="44" t="s">
        <v>54</v>
      </c>
      <c r="E19" s="37"/>
      <c r="F19" s="43"/>
      <c r="G19" s="44" t="s">
        <v>50</v>
      </c>
      <c r="H19" s="45"/>
      <c r="I19" s="43"/>
      <c r="J19" s="44" t="s">
        <v>55</v>
      </c>
      <c r="K19" s="45"/>
      <c r="L19" s="57"/>
      <c r="M19" s="58"/>
      <c r="N19" s="48"/>
    </row>
    <row r="20" ht="23.25" customHeight="1">
      <c r="B20" s="34"/>
      <c r="C20" s="49"/>
      <c r="D20" s="50" t="s">
        <v>12</v>
      </c>
      <c r="E20" s="37"/>
      <c r="F20" s="49"/>
      <c r="G20" s="50" t="s">
        <v>52</v>
      </c>
      <c r="H20" s="45"/>
      <c r="I20" s="49"/>
      <c r="J20" s="50" t="s">
        <v>56</v>
      </c>
      <c r="K20" s="45"/>
      <c r="L20" s="57"/>
      <c r="M20" s="58"/>
      <c r="N20" s="48"/>
    </row>
    <row r="21" ht="23.25" customHeight="1">
      <c r="B21" s="34"/>
      <c r="C21" s="43"/>
      <c r="D21" s="44" t="s">
        <v>57</v>
      </c>
      <c r="E21" s="37"/>
      <c r="F21" s="43"/>
      <c r="G21" s="44" t="s">
        <v>54</v>
      </c>
      <c r="H21" s="45"/>
      <c r="I21" s="43"/>
      <c r="J21" s="44" t="s">
        <v>58</v>
      </c>
      <c r="K21" s="45"/>
      <c r="L21" s="57"/>
      <c r="M21" s="58"/>
      <c r="N21" s="48"/>
    </row>
    <row r="22" ht="23.25" customHeight="1">
      <c r="B22" s="34"/>
      <c r="C22" s="49"/>
      <c r="D22" s="50" t="s">
        <v>59</v>
      </c>
      <c r="E22" s="37"/>
      <c r="F22" s="49"/>
      <c r="G22" s="50" t="s">
        <v>12</v>
      </c>
      <c r="H22" s="45"/>
      <c r="I22" s="49"/>
      <c r="J22" s="50" t="s">
        <v>60</v>
      </c>
      <c r="K22" s="45"/>
      <c r="L22" s="57"/>
      <c r="M22" s="58"/>
      <c r="N22" s="48"/>
    </row>
    <row r="23" ht="23.25" customHeight="1">
      <c r="B23" s="34"/>
      <c r="C23" s="43"/>
      <c r="D23" s="44" t="s">
        <v>15</v>
      </c>
      <c r="E23" s="37"/>
      <c r="F23" s="43"/>
      <c r="G23" s="44" t="s">
        <v>11</v>
      </c>
      <c r="H23" s="45"/>
      <c r="I23" s="43"/>
      <c r="J23" s="44" t="s">
        <v>61</v>
      </c>
      <c r="K23" s="45"/>
      <c r="L23" s="57"/>
      <c r="M23" s="58"/>
      <c r="N23" s="48"/>
    </row>
    <row r="24" ht="23.25" customHeight="1">
      <c r="B24" s="34"/>
      <c r="C24" s="49"/>
      <c r="D24" s="50" t="s">
        <v>62</v>
      </c>
      <c r="E24" s="37"/>
      <c r="F24" s="49"/>
      <c r="G24" s="50" t="s">
        <v>57</v>
      </c>
      <c r="H24" s="45"/>
      <c r="I24" s="49"/>
      <c r="J24" s="50" t="s">
        <v>63</v>
      </c>
      <c r="K24" s="45"/>
      <c r="L24" s="57"/>
      <c r="M24" s="58"/>
      <c r="N24" s="48"/>
    </row>
    <row r="25" ht="23.25" customHeight="1">
      <c r="B25" s="34"/>
      <c r="C25" s="43"/>
      <c r="D25" s="44" t="s">
        <v>64</v>
      </c>
      <c r="E25" s="37"/>
      <c r="F25" s="43"/>
      <c r="G25" s="44" t="s">
        <v>65</v>
      </c>
      <c r="H25" s="45"/>
      <c r="I25" s="43"/>
      <c r="J25" s="44" t="s">
        <v>66</v>
      </c>
      <c r="K25" s="45"/>
      <c r="L25" s="57"/>
      <c r="M25" s="58"/>
      <c r="N25" s="48"/>
    </row>
    <row r="26" ht="23.25" customHeight="1">
      <c r="B26" s="34"/>
      <c r="C26" s="49"/>
      <c r="D26" s="50" t="s">
        <v>67</v>
      </c>
      <c r="E26" s="37"/>
      <c r="F26" s="49"/>
      <c r="G26" s="50" t="s">
        <v>59</v>
      </c>
      <c r="H26" s="59"/>
      <c r="I26" s="60"/>
      <c r="J26" s="61" t="s">
        <v>68</v>
      </c>
      <c r="K26" s="37"/>
      <c r="L26" s="57"/>
      <c r="M26" s="58"/>
      <c r="N26" s="48"/>
    </row>
    <row r="27" ht="23.25" customHeight="1">
      <c r="B27" s="34"/>
      <c r="C27" s="43"/>
      <c r="D27" s="44" t="s">
        <v>69</v>
      </c>
      <c r="E27" s="37"/>
      <c r="F27" s="43"/>
      <c r="G27" s="44" t="s">
        <v>15</v>
      </c>
      <c r="H27" s="45"/>
      <c r="I27" s="62"/>
      <c r="J27" s="63" t="s">
        <v>70</v>
      </c>
      <c r="K27" s="45"/>
      <c r="L27" s="57"/>
      <c r="M27" s="58"/>
      <c r="N27" s="48"/>
    </row>
    <row r="28" ht="23.25" customHeight="1">
      <c r="B28" s="34"/>
      <c r="C28" s="49"/>
      <c r="D28" s="50" t="s">
        <v>71</v>
      </c>
      <c r="E28" s="37"/>
      <c r="F28" s="49"/>
      <c r="G28" s="50" t="s">
        <v>62</v>
      </c>
      <c r="H28" s="45"/>
      <c r="I28" s="60"/>
      <c r="J28" s="61" t="s">
        <v>72</v>
      </c>
      <c r="K28" s="45"/>
      <c r="L28" s="57"/>
      <c r="M28" s="58"/>
      <c r="N28" s="48"/>
    </row>
    <row r="29" ht="23.25" customHeight="1">
      <c r="B29" s="34"/>
      <c r="C29" s="43"/>
      <c r="D29" s="44" t="s">
        <v>73</v>
      </c>
      <c r="E29" s="37"/>
      <c r="F29" s="43"/>
      <c r="G29" s="44" t="s">
        <v>74</v>
      </c>
      <c r="H29" s="45"/>
      <c r="I29" s="62"/>
      <c r="J29" s="63" t="s">
        <v>75</v>
      </c>
      <c r="K29" s="45"/>
      <c r="L29" s="57"/>
      <c r="M29" s="58"/>
      <c r="N29" s="48"/>
    </row>
    <row r="30" ht="23.25" customHeight="1">
      <c r="B30" s="34"/>
      <c r="C30" s="49"/>
      <c r="D30" s="50" t="s">
        <v>18</v>
      </c>
      <c r="E30" s="37"/>
      <c r="F30" s="49"/>
      <c r="G30" s="50" t="s">
        <v>64</v>
      </c>
      <c r="H30" s="45"/>
      <c r="I30" s="60"/>
      <c r="J30" s="61" t="s">
        <v>76</v>
      </c>
      <c r="K30" s="45"/>
      <c r="L30" s="57"/>
      <c r="M30" s="58"/>
      <c r="N30" s="48"/>
    </row>
    <row r="31" ht="23.25" customHeight="1">
      <c r="B31" s="34"/>
      <c r="C31" s="43"/>
      <c r="D31" s="44" t="s">
        <v>77</v>
      </c>
      <c r="E31" s="37"/>
      <c r="F31" s="43"/>
      <c r="G31" s="44" t="s">
        <v>67</v>
      </c>
      <c r="H31" s="45"/>
      <c r="I31" s="62"/>
      <c r="J31" s="63" t="s">
        <v>78</v>
      </c>
      <c r="K31" s="45"/>
      <c r="L31" s="57"/>
      <c r="M31" s="58"/>
      <c r="N31" s="48"/>
    </row>
    <row r="32" ht="23.25" customHeight="1">
      <c r="B32" s="34"/>
      <c r="C32" s="49"/>
      <c r="D32" s="50" t="s">
        <v>21</v>
      </c>
      <c r="E32" s="37"/>
      <c r="F32" s="49"/>
      <c r="G32" s="50" t="s">
        <v>69</v>
      </c>
      <c r="H32" s="45"/>
      <c r="I32" s="60"/>
      <c r="J32" s="61" t="s">
        <v>79</v>
      </c>
      <c r="K32" s="45"/>
      <c r="L32" s="57"/>
      <c r="M32" s="58"/>
      <c r="N32" s="48"/>
    </row>
    <row r="33" ht="23.25" customHeight="1">
      <c r="B33" s="34"/>
      <c r="C33" s="43"/>
      <c r="D33" s="44" t="s">
        <v>24</v>
      </c>
      <c r="E33" s="37"/>
      <c r="F33" s="43"/>
      <c r="G33" s="44" t="s">
        <v>71</v>
      </c>
      <c r="H33" s="45"/>
      <c r="I33" s="62"/>
      <c r="J33" s="63" t="s">
        <v>80</v>
      </c>
      <c r="K33" s="45"/>
      <c r="L33" s="57"/>
      <c r="M33" s="58"/>
      <c r="N33" s="48"/>
    </row>
    <row r="34" ht="23.25" customHeight="1">
      <c r="B34" s="34"/>
      <c r="C34" s="49"/>
      <c r="D34" s="50" t="s">
        <v>81</v>
      </c>
      <c r="E34" s="37"/>
      <c r="F34" s="49"/>
      <c r="G34" s="50" t="s">
        <v>73</v>
      </c>
      <c r="H34" s="45"/>
      <c r="I34" s="60"/>
      <c r="J34" s="61" t="s">
        <v>82</v>
      </c>
      <c r="K34" s="45"/>
      <c r="L34" s="57"/>
      <c r="M34" s="58"/>
      <c r="N34" s="48"/>
    </row>
    <row r="35" ht="23.25" customHeight="1">
      <c r="B35" s="34"/>
      <c r="C35" s="43"/>
      <c r="D35" s="44" t="s">
        <v>83</v>
      </c>
      <c r="E35" s="37"/>
      <c r="F35" s="43"/>
      <c r="G35" s="44" t="s">
        <v>18</v>
      </c>
      <c r="H35" s="45"/>
      <c r="I35" s="62"/>
      <c r="J35" s="63" t="s">
        <v>84</v>
      </c>
      <c r="K35" s="45"/>
      <c r="L35" s="57"/>
      <c r="M35" s="58"/>
      <c r="N35" s="48"/>
    </row>
    <row r="36" ht="23.25" customHeight="1">
      <c r="B36" s="34"/>
      <c r="C36" s="49"/>
      <c r="D36" s="50" t="s">
        <v>85</v>
      </c>
      <c r="E36" s="37"/>
      <c r="F36" s="49"/>
      <c r="G36" s="50" t="s">
        <v>86</v>
      </c>
      <c r="H36" s="45"/>
      <c r="I36" s="60"/>
      <c r="J36" s="61" t="s">
        <v>87</v>
      </c>
      <c r="K36" s="45"/>
      <c r="L36" s="57"/>
      <c r="M36" s="58"/>
      <c r="N36" s="48"/>
    </row>
    <row r="37" ht="23.25" customHeight="1">
      <c r="B37" s="34"/>
      <c r="C37" s="43"/>
      <c r="D37" s="44" t="s">
        <v>88</v>
      </c>
      <c r="E37" s="37"/>
      <c r="F37" s="43"/>
      <c r="G37" s="44" t="s">
        <v>89</v>
      </c>
      <c r="H37" s="45"/>
      <c r="I37" s="62"/>
      <c r="J37" s="63" t="s">
        <v>90</v>
      </c>
      <c r="K37" s="45"/>
      <c r="L37" s="57"/>
      <c r="M37" s="58"/>
      <c r="N37" s="48"/>
    </row>
    <row r="38" ht="23.25" customHeight="1">
      <c r="B38" s="34"/>
      <c r="C38" s="49"/>
      <c r="D38" s="50" t="s">
        <v>91</v>
      </c>
      <c r="E38" s="37"/>
      <c r="F38" s="49"/>
      <c r="G38" s="50" t="s">
        <v>77</v>
      </c>
      <c r="H38" s="45"/>
      <c r="I38" s="60"/>
      <c r="J38" s="61" t="s">
        <v>92</v>
      </c>
      <c r="K38" s="45"/>
      <c r="L38" s="57"/>
      <c r="M38" s="58"/>
      <c r="N38" s="48"/>
    </row>
    <row r="39" ht="23.25" customHeight="1">
      <c r="B39" s="34"/>
      <c r="C39" s="43"/>
      <c r="D39" s="44" t="s">
        <v>93</v>
      </c>
      <c r="E39" s="37"/>
      <c r="F39" s="43"/>
      <c r="G39" s="44" t="s">
        <v>94</v>
      </c>
      <c r="H39" s="45"/>
      <c r="I39" s="62"/>
      <c r="J39" s="63" t="s">
        <v>95</v>
      </c>
      <c r="K39" s="45"/>
      <c r="L39" s="57"/>
      <c r="M39" s="58"/>
      <c r="N39" s="48"/>
    </row>
    <row r="40" ht="23.25" customHeight="1">
      <c r="B40" s="34"/>
      <c r="C40" s="49"/>
      <c r="D40" s="50" t="s">
        <v>96</v>
      </c>
      <c r="E40" s="37"/>
      <c r="F40" s="49"/>
      <c r="G40" s="50" t="s">
        <v>21</v>
      </c>
      <c r="H40" s="45"/>
      <c r="I40" s="60"/>
      <c r="J40" s="61" t="s">
        <v>97</v>
      </c>
      <c r="K40" s="45"/>
      <c r="L40" s="57"/>
      <c r="M40" s="58"/>
      <c r="N40" s="48"/>
    </row>
    <row r="41" ht="23.25" customHeight="1">
      <c r="B41" s="34"/>
      <c r="C41" s="43"/>
      <c r="D41" s="44" t="s">
        <v>98</v>
      </c>
      <c r="E41" s="37"/>
      <c r="F41" s="43"/>
      <c r="G41" s="44" t="s">
        <v>24</v>
      </c>
      <c r="H41" s="45"/>
      <c r="I41" s="62"/>
      <c r="J41" s="63" t="s">
        <v>99</v>
      </c>
      <c r="K41" s="45"/>
      <c r="L41" s="57"/>
      <c r="M41" s="58"/>
      <c r="N41" s="48"/>
    </row>
    <row r="42" ht="23.25" customHeight="1">
      <c r="B42" s="34"/>
      <c r="C42" s="49"/>
      <c r="D42" s="50" t="s">
        <v>19</v>
      </c>
      <c r="E42" s="37"/>
      <c r="F42" s="49"/>
      <c r="G42" s="50" t="s">
        <v>81</v>
      </c>
      <c r="H42" s="45"/>
      <c r="I42" s="60"/>
      <c r="J42" s="61" t="s">
        <v>100</v>
      </c>
      <c r="K42" s="45"/>
      <c r="L42" s="57"/>
      <c r="M42" s="58"/>
      <c r="N42" s="48"/>
    </row>
    <row r="43" ht="23.25" customHeight="1">
      <c r="B43" s="34"/>
      <c r="C43" s="43"/>
      <c r="D43" s="44" t="s">
        <v>101</v>
      </c>
      <c r="E43" s="37"/>
      <c r="F43" s="43"/>
      <c r="G43" s="44" t="s">
        <v>102</v>
      </c>
      <c r="H43" s="45"/>
      <c r="I43" s="62"/>
      <c r="J43" s="63" t="s">
        <v>103</v>
      </c>
      <c r="K43" s="45"/>
      <c r="L43" s="57"/>
      <c r="M43" s="58"/>
      <c r="N43" s="48"/>
    </row>
    <row r="44" ht="23.25" customHeight="1">
      <c r="B44" s="34"/>
      <c r="C44" s="49"/>
      <c r="D44" s="50" t="s">
        <v>104</v>
      </c>
      <c r="E44" s="37"/>
      <c r="F44" s="49"/>
      <c r="G44" s="50" t="s">
        <v>83</v>
      </c>
      <c r="H44" s="45"/>
      <c r="I44" s="60"/>
      <c r="J44" s="61" t="s">
        <v>105</v>
      </c>
      <c r="K44" s="45"/>
      <c r="L44" s="57"/>
      <c r="M44" s="58"/>
      <c r="N44" s="48"/>
    </row>
    <row r="45" ht="23.25" customHeight="1">
      <c r="B45" s="34"/>
      <c r="C45" s="43"/>
      <c r="D45" s="44" t="s">
        <v>106</v>
      </c>
      <c r="E45" s="37"/>
      <c r="F45" s="43"/>
      <c r="G45" s="44" t="s">
        <v>85</v>
      </c>
      <c r="H45" s="45"/>
      <c r="I45" s="64"/>
      <c r="J45" s="65" t="s">
        <v>107</v>
      </c>
      <c r="K45" s="45"/>
      <c r="L45" s="57"/>
      <c r="M45" s="58"/>
      <c r="N45" s="48"/>
    </row>
    <row r="46" ht="23.25" customHeight="1">
      <c r="B46" s="34"/>
      <c r="C46" s="49"/>
      <c r="D46" s="50" t="s">
        <v>108</v>
      </c>
      <c r="E46" s="37"/>
      <c r="F46" s="49"/>
      <c r="G46" s="50" t="s">
        <v>88</v>
      </c>
      <c r="H46" s="45"/>
      <c r="I46" s="57"/>
      <c r="J46" s="66"/>
      <c r="K46" s="45"/>
      <c r="L46" s="57"/>
      <c r="M46" s="58"/>
      <c r="N46" s="48"/>
    </row>
    <row r="47" ht="23.25" customHeight="1">
      <c r="B47" s="34"/>
      <c r="C47" s="43"/>
      <c r="D47" s="44" t="s">
        <v>109</v>
      </c>
      <c r="E47" s="37"/>
      <c r="F47" s="43"/>
      <c r="G47" s="44" t="s">
        <v>91</v>
      </c>
      <c r="H47" s="45"/>
      <c r="I47" s="57"/>
      <c r="J47" s="66"/>
      <c r="K47" s="45"/>
      <c r="L47" s="57"/>
      <c r="M47" s="58"/>
      <c r="N47" s="48"/>
    </row>
    <row r="48" ht="23.25" customHeight="1">
      <c r="B48" s="34"/>
      <c r="C48" s="49"/>
      <c r="D48" s="50" t="s">
        <v>110</v>
      </c>
      <c r="E48" s="37"/>
      <c r="F48" s="49"/>
      <c r="G48" s="50" t="s">
        <v>93</v>
      </c>
      <c r="H48" s="45"/>
      <c r="I48" s="57"/>
      <c r="J48" s="66"/>
      <c r="K48" s="45"/>
      <c r="L48" s="57"/>
      <c r="M48" s="58"/>
      <c r="N48" s="48"/>
    </row>
    <row r="49" ht="23.25" customHeight="1">
      <c r="B49" s="34"/>
      <c r="C49" s="43"/>
      <c r="D49" s="44" t="s">
        <v>111</v>
      </c>
      <c r="E49" s="37"/>
      <c r="F49" s="43"/>
      <c r="G49" s="44" t="s">
        <v>96</v>
      </c>
      <c r="H49" s="45"/>
      <c r="I49" s="57"/>
      <c r="J49" s="66"/>
      <c r="K49" s="45"/>
      <c r="L49" s="57"/>
      <c r="M49" s="58"/>
      <c r="N49" s="48"/>
    </row>
    <row r="50" ht="23.25" customHeight="1">
      <c r="B50" s="34"/>
      <c r="C50" s="49"/>
      <c r="D50" s="50" t="s">
        <v>112</v>
      </c>
      <c r="E50" s="37"/>
      <c r="F50" s="49"/>
      <c r="G50" s="50" t="s">
        <v>98</v>
      </c>
      <c r="H50" s="45"/>
      <c r="I50" s="57"/>
      <c r="J50" s="66"/>
      <c r="K50" s="45"/>
      <c r="L50" s="57"/>
      <c r="M50" s="58"/>
      <c r="N50" s="48"/>
    </row>
    <row r="51" ht="23.25" customHeight="1">
      <c r="B51" s="34"/>
      <c r="C51" s="43"/>
      <c r="D51" s="44" t="s">
        <v>113</v>
      </c>
      <c r="E51" s="37"/>
      <c r="F51" s="43"/>
      <c r="G51" s="44" t="s">
        <v>19</v>
      </c>
      <c r="H51" s="45"/>
      <c r="I51" s="57"/>
      <c r="J51" s="66"/>
      <c r="K51" s="45"/>
      <c r="L51" s="57"/>
      <c r="M51" s="58"/>
      <c r="N51" s="48"/>
    </row>
    <row r="52" ht="23.25" customHeight="1">
      <c r="B52" s="34"/>
      <c r="C52" s="49"/>
      <c r="D52" s="50" t="s">
        <v>114</v>
      </c>
      <c r="E52" s="37"/>
      <c r="F52" s="49"/>
      <c r="G52" s="50" t="s">
        <v>101</v>
      </c>
      <c r="H52" s="45"/>
      <c r="I52" s="57"/>
      <c r="J52" s="66"/>
      <c r="K52" s="45"/>
      <c r="L52" s="57"/>
      <c r="M52" s="58"/>
      <c r="N52" s="48"/>
    </row>
    <row r="53" ht="23.25" customHeight="1">
      <c r="B53" s="34"/>
      <c r="C53" s="43"/>
      <c r="D53" s="44" t="s">
        <v>115</v>
      </c>
      <c r="E53" s="37"/>
      <c r="F53" s="43"/>
      <c r="G53" s="44" t="s">
        <v>116</v>
      </c>
      <c r="H53" s="45"/>
      <c r="I53" s="57"/>
      <c r="J53" s="66"/>
      <c r="K53" s="45"/>
      <c r="L53" s="57"/>
      <c r="M53" s="58"/>
      <c r="N53" s="48"/>
    </row>
    <row r="54" ht="23.25" customHeight="1">
      <c r="B54" s="34"/>
      <c r="C54" s="49"/>
      <c r="D54" s="50" t="s">
        <v>117</v>
      </c>
      <c r="E54" s="37"/>
      <c r="F54" s="49"/>
      <c r="G54" s="50" t="s">
        <v>104</v>
      </c>
      <c r="H54" s="45"/>
      <c r="I54" s="57"/>
      <c r="J54" s="66"/>
      <c r="K54" s="45"/>
      <c r="L54" s="57"/>
      <c r="M54" s="58"/>
      <c r="N54" s="48"/>
    </row>
    <row r="55" ht="23.25" customHeight="1">
      <c r="B55" s="34"/>
      <c r="C55" s="43"/>
      <c r="D55" s="44" t="s">
        <v>118</v>
      </c>
      <c r="E55" s="37"/>
      <c r="F55" s="43"/>
      <c r="G55" s="44" t="s">
        <v>106</v>
      </c>
      <c r="H55" s="45"/>
      <c r="I55" s="57"/>
      <c r="J55" s="66"/>
      <c r="K55" s="45"/>
      <c r="L55" s="57"/>
      <c r="M55" s="58"/>
      <c r="N55" s="48"/>
    </row>
    <row r="56" ht="23.25" customHeight="1">
      <c r="B56" s="34"/>
      <c r="C56" s="49"/>
      <c r="D56" s="50" t="s">
        <v>119</v>
      </c>
      <c r="E56" s="37"/>
      <c r="F56" s="49"/>
      <c r="G56" s="50" t="s">
        <v>108</v>
      </c>
      <c r="H56" s="45"/>
      <c r="I56" s="57"/>
      <c r="J56" s="66"/>
      <c r="K56" s="45"/>
      <c r="L56" s="57"/>
      <c r="M56" s="58"/>
      <c r="N56" s="48"/>
    </row>
    <row r="57" ht="23.25" customHeight="1">
      <c r="B57" s="34"/>
      <c r="C57" s="43"/>
      <c r="D57" s="44" t="s">
        <v>120</v>
      </c>
      <c r="E57" s="37"/>
      <c r="F57" s="43"/>
      <c r="G57" s="44" t="s">
        <v>109</v>
      </c>
      <c r="H57" s="45"/>
      <c r="I57" s="57"/>
      <c r="J57" s="66"/>
      <c r="K57" s="45"/>
      <c r="L57" s="57"/>
      <c r="M57" s="58"/>
      <c r="N57" s="48"/>
    </row>
    <row r="58" ht="23.25" customHeight="1">
      <c r="B58" s="34"/>
      <c r="C58" s="49"/>
      <c r="D58" s="50" t="s">
        <v>121</v>
      </c>
      <c r="E58" s="37"/>
      <c r="F58" s="49"/>
      <c r="G58" s="50" t="s">
        <v>122</v>
      </c>
      <c r="H58" s="45"/>
      <c r="I58" s="57"/>
      <c r="J58" s="66"/>
      <c r="K58" s="45"/>
      <c r="L58" s="57"/>
      <c r="M58" s="58"/>
      <c r="N58" s="48"/>
    </row>
    <row r="59" ht="23.25" customHeight="1">
      <c r="B59" s="34"/>
      <c r="C59" s="43"/>
      <c r="D59" s="44" t="s">
        <v>123</v>
      </c>
      <c r="E59" s="37"/>
      <c r="F59" s="43"/>
      <c r="G59" s="44" t="s">
        <v>110</v>
      </c>
      <c r="H59" s="45"/>
      <c r="I59" s="57"/>
      <c r="J59" s="66"/>
      <c r="K59" s="45"/>
      <c r="L59" s="57"/>
      <c r="M59" s="58"/>
      <c r="N59" s="48"/>
    </row>
    <row r="60" ht="23.25" customHeight="1">
      <c r="B60" s="34"/>
      <c r="C60" s="49"/>
      <c r="D60" s="50" t="s">
        <v>124</v>
      </c>
      <c r="E60" s="37"/>
      <c r="F60" s="49"/>
      <c r="G60" s="50" t="s">
        <v>111</v>
      </c>
      <c r="H60" s="45"/>
      <c r="I60" s="57"/>
      <c r="J60" s="66"/>
      <c r="K60" s="45"/>
      <c r="L60" s="57"/>
      <c r="M60" s="58"/>
      <c r="N60" s="48"/>
    </row>
    <row r="61" ht="23.25" customHeight="1">
      <c r="B61" s="34"/>
      <c r="C61" s="43"/>
      <c r="D61" s="44" t="s">
        <v>25</v>
      </c>
      <c r="E61" s="37"/>
      <c r="F61" s="43"/>
      <c r="G61" s="44" t="s">
        <v>125</v>
      </c>
      <c r="H61" s="45"/>
      <c r="I61" s="57"/>
      <c r="J61" s="66"/>
      <c r="K61" s="45"/>
      <c r="L61" s="57"/>
      <c r="M61" s="58"/>
      <c r="N61" s="48"/>
    </row>
    <row r="62" ht="23.25" customHeight="1">
      <c r="B62" s="34"/>
      <c r="C62" s="49"/>
      <c r="D62" s="50" t="s">
        <v>126</v>
      </c>
      <c r="E62" s="37"/>
      <c r="F62" s="49"/>
      <c r="G62" s="50" t="s">
        <v>112</v>
      </c>
      <c r="H62" s="45"/>
      <c r="I62" s="57"/>
      <c r="J62" s="66"/>
      <c r="K62" s="45"/>
      <c r="L62" s="57"/>
      <c r="M62" s="58"/>
      <c r="N62" s="48"/>
    </row>
    <row r="63" ht="23.25" customHeight="1">
      <c r="B63" s="34"/>
      <c r="C63" s="43"/>
      <c r="D63" s="44" t="s">
        <v>127</v>
      </c>
      <c r="E63" s="37"/>
      <c r="F63" s="43"/>
      <c r="G63" s="44" t="s">
        <v>113</v>
      </c>
      <c r="H63" s="45"/>
      <c r="I63" s="57"/>
      <c r="J63" s="66"/>
      <c r="K63" s="45"/>
      <c r="L63" s="57"/>
      <c r="M63" s="58"/>
      <c r="N63" s="48"/>
    </row>
    <row r="64" ht="23.25" customHeight="1">
      <c r="B64" s="34"/>
      <c r="C64" s="49"/>
      <c r="D64" s="50" t="s">
        <v>128</v>
      </c>
      <c r="E64" s="37"/>
      <c r="F64" s="49"/>
      <c r="G64" s="50" t="s">
        <v>114</v>
      </c>
      <c r="H64" s="45"/>
      <c r="I64" s="57"/>
      <c r="J64" s="66"/>
      <c r="K64" s="45"/>
      <c r="L64" s="57"/>
      <c r="M64" s="58"/>
      <c r="N64" s="48"/>
    </row>
    <row r="65" ht="23.25" customHeight="1">
      <c r="B65" s="34"/>
      <c r="C65" s="43"/>
      <c r="D65" s="44" t="s">
        <v>129</v>
      </c>
      <c r="E65" s="37"/>
      <c r="F65" s="43"/>
      <c r="G65" s="44" t="s">
        <v>27</v>
      </c>
      <c r="H65" s="45"/>
      <c r="I65" s="57"/>
      <c r="J65" s="66"/>
      <c r="K65" s="45"/>
      <c r="L65" s="57"/>
      <c r="M65" s="58"/>
      <c r="N65" s="48"/>
    </row>
    <row r="66" ht="23.25" customHeight="1">
      <c r="B66" s="34"/>
      <c r="C66" s="49"/>
      <c r="D66" s="50" t="s">
        <v>130</v>
      </c>
      <c r="E66" s="37"/>
      <c r="F66" s="49"/>
      <c r="G66" s="50" t="s">
        <v>115</v>
      </c>
      <c r="H66" s="45"/>
      <c r="I66" s="57"/>
      <c r="J66" s="66"/>
      <c r="K66" s="45"/>
      <c r="L66" s="57"/>
      <c r="M66" s="58"/>
      <c r="N66" s="48"/>
    </row>
    <row r="67" ht="23.25" customHeight="1">
      <c r="B67" s="34"/>
      <c r="C67" s="43"/>
      <c r="D67" s="44" t="s">
        <v>131</v>
      </c>
      <c r="E67" s="37"/>
      <c r="F67" s="43"/>
      <c r="G67" s="44" t="s">
        <v>117</v>
      </c>
      <c r="H67" s="45"/>
      <c r="I67" s="57"/>
      <c r="J67" s="66"/>
      <c r="K67" s="45"/>
      <c r="L67" s="57"/>
      <c r="M67" s="58"/>
      <c r="N67" s="48"/>
    </row>
    <row r="68" ht="23.25" customHeight="1">
      <c r="B68" s="34"/>
      <c r="C68" s="49"/>
      <c r="D68" s="50" t="s">
        <v>132</v>
      </c>
      <c r="E68" s="37"/>
      <c r="F68" s="49"/>
      <c r="G68" s="50" t="s">
        <v>118</v>
      </c>
      <c r="H68" s="45"/>
      <c r="I68" s="57"/>
      <c r="J68" s="66"/>
      <c r="K68" s="45"/>
      <c r="L68" s="57"/>
      <c r="M68" s="58"/>
      <c r="N68" s="48"/>
    </row>
    <row r="69" ht="23.25" customHeight="1">
      <c r="B69" s="34"/>
      <c r="C69" s="43"/>
      <c r="D69" s="44" t="s">
        <v>133</v>
      </c>
      <c r="E69" s="37"/>
      <c r="F69" s="43"/>
      <c r="G69" s="44" t="s">
        <v>134</v>
      </c>
      <c r="H69" s="45"/>
      <c r="I69" s="57"/>
      <c r="J69" s="66"/>
      <c r="K69" s="45"/>
      <c r="L69" s="57"/>
      <c r="M69" s="58"/>
      <c r="N69" s="48"/>
    </row>
    <row r="70" ht="23.25" customHeight="1">
      <c r="B70" s="34"/>
      <c r="C70" s="49"/>
      <c r="D70" s="50" t="s">
        <v>135</v>
      </c>
      <c r="E70" s="37"/>
      <c r="F70" s="49"/>
      <c r="G70" s="50" t="s">
        <v>119</v>
      </c>
      <c r="H70" s="45"/>
      <c r="I70" s="57"/>
      <c r="J70" s="66"/>
      <c r="K70" s="45"/>
      <c r="L70" s="57"/>
      <c r="M70" s="58"/>
      <c r="N70" s="48"/>
    </row>
    <row r="71" ht="23.25" customHeight="1">
      <c r="B71" s="34"/>
      <c r="C71" s="43"/>
      <c r="D71" s="44" t="s">
        <v>136</v>
      </c>
      <c r="E71" s="37"/>
      <c r="F71" s="43"/>
      <c r="G71" s="44" t="s">
        <v>120</v>
      </c>
      <c r="H71" s="45"/>
      <c r="I71" s="57"/>
      <c r="J71" s="66"/>
      <c r="K71" s="45"/>
      <c r="L71" s="57"/>
      <c r="M71" s="58"/>
      <c r="N71" s="48"/>
    </row>
    <row r="72" ht="23.25" customHeight="1">
      <c r="B72" s="34"/>
      <c r="C72" s="49"/>
      <c r="D72" s="50" t="s">
        <v>137</v>
      </c>
      <c r="E72" s="37"/>
      <c r="F72" s="49"/>
      <c r="G72" s="50" t="s">
        <v>138</v>
      </c>
      <c r="H72" s="45"/>
      <c r="I72" s="57"/>
      <c r="J72" s="66"/>
      <c r="K72" s="45"/>
      <c r="L72" s="57"/>
      <c r="M72" s="58"/>
      <c r="N72" s="48"/>
    </row>
    <row r="73" ht="23.25" customHeight="1">
      <c r="B73" s="34"/>
      <c r="C73" s="43"/>
      <c r="D73" s="44" t="s">
        <v>139</v>
      </c>
      <c r="E73" s="37"/>
      <c r="F73" s="43"/>
      <c r="G73" s="44" t="s">
        <v>121</v>
      </c>
      <c r="H73" s="45"/>
      <c r="I73" s="57"/>
      <c r="J73" s="66"/>
      <c r="K73" s="45"/>
      <c r="L73" s="57"/>
      <c r="M73" s="58"/>
      <c r="N73" s="48"/>
    </row>
    <row r="74" ht="23.25" customHeight="1">
      <c r="B74" s="34"/>
      <c r="C74" s="49"/>
      <c r="D74" s="50" t="s">
        <v>140</v>
      </c>
      <c r="E74" s="37"/>
      <c r="F74" s="49"/>
      <c r="G74" s="50" t="s">
        <v>22</v>
      </c>
      <c r="H74" s="45"/>
      <c r="I74" s="57"/>
      <c r="J74" s="66"/>
      <c r="K74" s="45"/>
      <c r="L74" s="57"/>
      <c r="M74" s="58"/>
      <c r="N74" s="48"/>
    </row>
    <row r="75" ht="23.25" customHeight="1">
      <c r="B75" s="34"/>
      <c r="C75" s="43"/>
      <c r="D75" s="44" t="s">
        <v>141</v>
      </c>
      <c r="E75" s="37"/>
      <c r="F75" s="43"/>
      <c r="G75" s="44" t="s">
        <v>123</v>
      </c>
      <c r="H75" s="45"/>
      <c r="I75" s="57"/>
      <c r="J75" s="66"/>
      <c r="K75" s="45"/>
      <c r="L75" s="57"/>
      <c r="M75" s="58"/>
      <c r="N75" s="48"/>
    </row>
    <row r="76" ht="23.25" customHeight="1">
      <c r="B76" s="34"/>
      <c r="C76" s="49"/>
      <c r="D76" s="50" t="s">
        <v>142</v>
      </c>
      <c r="E76" s="37"/>
      <c r="F76" s="49"/>
      <c r="G76" s="50" t="s">
        <v>124</v>
      </c>
      <c r="H76" s="45"/>
      <c r="I76" s="57"/>
      <c r="J76" s="66"/>
      <c r="K76" s="45"/>
      <c r="L76" s="57"/>
      <c r="M76" s="58"/>
      <c r="N76" s="48"/>
    </row>
    <row r="77" ht="23.25" customHeight="1">
      <c r="B77" s="34"/>
      <c r="C77" s="43"/>
      <c r="D77" s="44" t="s">
        <v>28</v>
      </c>
      <c r="E77" s="37"/>
      <c r="F77" s="43"/>
      <c r="G77" s="44" t="s">
        <v>25</v>
      </c>
      <c r="H77" s="45"/>
      <c r="I77" s="57"/>
      <c r="J77" s="66"/>
      <c r="K77" s="45"/>
      <c r="L77" s="57"/>
      <c r="M77" s="58"/>
      <c r="N77" s="48"/>
    </row>
    <row r="78" ht="23.25" customHeight="1">
      <c r="B78" s="34"/>
      <c r="C78" s="49"/>
      <c r="D78" s="50" t="s">
        <v>143</v>
      </c>
      <c r="E78" s="37"/>
      <c r="F78" s="49"/>
      <c r="G78" s="50" t="s">
        <v>30</v>
      </c>
      <c r="H78" s="45"/>
      <c r="I78" s="57"/>
      <c r="J78" s="66"/>
      <c r="K78" s="45"/>
      <c r="L78" s="57"/>
      <c r="M78" s="58"/>
      <c r="N78" s="48"/>
    </row>
    <row r="79" ht="23.25" customHeight="1">
      <c r="B79" s="34"/>
      <c r="C79" s="43"/>
      <c r="D79" s="44" t="s">
        <v>144</v>
      </c>
      <c r="E79" s="37"/>
      <c r="F79" s="43"/>
      <c r="G79" s="44" t="s">
        <v>126</v>
      </c>
      <c r="H79" s="45"/>
      <c r="I79" s="57"/>
      <c r="J79" s="66"/>
      <c r="K79" s="45"/>
      <c r="L79" s="57"/>
      <c r="M79" s="58"/>
      <c r="N79" s="48"/>
    </row>
    <row r="80" ht="23.25" customHeight="1">
      <c r="B80" s="34"/>
      <c r="C80" s="49"/>
      <c r="D80" s="50" t="s">
        <v>33</v>
      </c>
      <c r="E80" s="37"/>
      <c r="F80" s="49"/>
      <c r="G80" s="50" t="s">
        <v>127</v>
      </c>
      <c r="H80" s="45"/>
      <c r="I80" s="57"/>
      <c r="J80" s="66"/>
      <c r="K80" s="45"/>
      <c r="L80" s="57"/>
      <c r="M80" s="58"/>
      <c r="N80" s="48"/>
    </row>
    <row r="81" ht="23.25" customHeight="1">
      <c r="B81" s="34"/>
      <c r="C81" s="43"/>
      <c r="D81" s="44" t="s">
        <v>36</v>
      </c>
      <c r="E81" s="37"/>
      <c r="F81" s="43"/>
      <c r="G81" s="44" t="s">
        <v>128</v>
      </c>
      <c r="H81" s="45"/>
      <c r="I81" s="57"/>
      <c r="J81" s="66"/>
      <c r="K81" s="45"/>
      <c r="L81" s="57"/>
      <c r="M81" s="58"/>
      <c r="N81" s="48"/>
    </row>
    <row r="82" ht="23.25" customHeight="1">
      <c r="B82" s="34"/>
      <c r="C82" s="49"/>
      <c r="D82" s="50" t="s">
        <v>145</v>
      </c>
      <c r="E82" s="37"/>
      <c r="F82" s="49"/>
      <c r="G82" s="50" t="s">
        <v>129</v>
      </c>
      <c r="H82" s="45"/>
      <c r="I82" s="57"/>
      <c r="J82" s="66"/>
      <c r="K82" s="45"/>
      <c r="L82" s="57"/>
      <c r="M82" s="58"/>
      <c r="N82" s="48"/>
    </row>
    <row r="83" ht="23.25" customHeight="1">
      <c r="B83" s="34"/>
      <c r="C83" s="43"/>
      <c r="D83" s="44" t="s">
        <v>146</v>
      </c>
      <c r="E83" s="37"/>
      <c r="F83" s="43"/>
      <c r="G83" s="44" t="s">
        <v>147</v>
      </c>
      <c r="H83" s="45"/>
      <c r="I83" s="57"/>
      <c r="J83" s="66"/>
      <c r="K83" s="45"/>
      <c r="L83" s="57"/>
      <c r="M83" s="58"/>
      <c r="N83" s="48"/>
    </row>
    <row r="84" ht="23.25" customHeight="1">
      <c r="B84" s="34"/>
      <c r="C84" s="49"/>
      <c r="D84" s="50" t="s">
        <v>148</v>
      </c>
      <c r="E84" s="37"/>
      <c r="F84" s="49"/>
      <c r="G84" s="50" t="s">
        <v>130</v>
      </c>
      <c r="H84" s="45"/>
      <c r="I84" s="57"/>
      <c r="J84" s="66"/>
      <c r="K84" s="45"/>
      <c r="L84" s="57"/>
      <c r="M84" s="58"/>
      <c r="N84" s="48"/>
    </row>
    <row r="85" ht="23.25" customHeight="1">
      <c r="B85" s="34"/>
      <c r="C85" s="43"/>
      <c r="D85" s="44" t="s">
        <v>42</v>
      </c>
      <c r="E85" s="37"/>
      <c r="F85" s="43"/>
      <c r="G85" s="44" t="s">
        <v>149</v>
      </c>
      <c r="H85" s="45"/>
      <c r="I85" s="57"/>
      <c r="J85" s="66"/>
      <c r="K85" s="45"/>
      <c r="L85" s="57"/>
      <c r="M85" s="58"/>
      <c r="N85" s="48"/>
    </row>
    <row r="86" ht="23.25" customHeight="1">
      <c r="B86" s="34"/>
      <c r="C86" s="49"/>
      <c r="D86" s="50" t="s">
        <v>150</v>
      </c>
      <c r="E86" s="37"/>
      <c r="F86" s="49"/>
      <c r="G86" s="50" t="s">
        <v>151</v>
      </c>
      <c r="H86" s="45"/>
      <c r="I86" s="57"/>
      <c r="J86" s="66"/>
      <c r="K86" s="45"/>
      <c r="L86" s="57"/>
      <c r="M86" s="58"/>
      <c r="N86" s="48"/>
    </row>
    <row r="87" ht="23.25" customHeight="1">
      <c r="B87" s="34"/>
      <c r="C87" s="43"/>
      <c r="D87" s="44" t="s">
        <v>152</v>
      </c>
      <c r="E87" s="37"/>
      <c r="F87" s="43"/>
      <c r="G87" s="44" t="s">
        <v>131</v>
      </c>
      <c r="H87" s="45"/>
      <c r="I87" s="57"/>
      <c r="J87" s="66"/>
      <c r="K87" s="45"/>
      <c r="L87" s="57"/>
      <c r="M87" s="58"/>
      <c r="N87" s="48"/>
    </row>
    <row r="88" ht="23.25" customHeight="1">
      <c r="B88" s="34"/>
      <c r="C88" s="49"/>
      <c r="D88" s="50" t="s">
        <v>45</v>
      </c>
      <c r="E88" s="37"/>
      <c r="F88" s="49"/>
      <c r="G88" s="50" t="s">
        <v>132</v>
      </c>
      <c r="H88" s="45"/>
      <c r="I88" s="57"/>
      <c r="J88" s="66"/>
      <c r="K88" s="45"/>
      <c r="L88" s="57"/>
      <c r="M88" s="58"/>
      <c r="N88" s="48"/>
    </row>
    <row r="89" ht="23.25" customHeight="1">
      <c r="B89" s="34"/>
      <c r="C89" s="43"/>
      <c r="D89" s="44" t="s">
        <v>153</v>
      </c>
      <c r="E89" s="37"/>
      <c r="F89" s="43"/>
      <c r="G89" s="44" t="s">
        <v>133</v>
      </c>
      <c r="H89" s="45"/>
      <c r="I89" s="57"/>
      <c r="J89" s="66"/>
      <c r="K89" s="45"/>
      <c r="L89" s="57"/>
      <c r="M89" s="58"/>
      <c r="N89" s="48"/>
    </row>
    <row r="90" ht="23.25" customHeight="1">
      <c r="B90" s="34"/>
      <c r="C90" s="49"/>
      <c r="D90" s="50" t="s">
        <v>154</v>
      </c>
      <c r="E90" s="37"/>
      <c r="F90" s="49"/>
      <c r="G90" s="50" t="s">
        <v>155</v>
      </c>
      <c r="H90" s="45"/>
      <c r="I90" s="57"/>
      <c r="J90" s="66"/>
      <c r="K90" s="45"/>
      <c r="L90" s="57"/>
      <c r="M90" s="58"/>
      <c r="N90" s="48"/>
    </row>
    <row r="91" ht="23.25" customHeight="1">
      <c r="B91" s="34"/>
      <c r="C91" s="43"/>
      <c r="D91" s="44" t="s">
        <v>49</v>
      </c>
      <c r="E91" s="37"/>
      <c r="F91" s="43"/>
      <c r="G91" s="44" t="s">
        <v>135</v>
      </c>
      <c r="H91" s="45"/>
      <c r="I91" s="57"/>
      <c r="J91" s="66"/>
      <c r="K91" s="45"/>
      <c r="L91" s="57"/>
      <c r="M91" s="58"/>
      <c r="N91" s="48"/>
    </row>
    <row r="92" ht="23.25" customHeight="1">
      <c r="B92" s="34"/>
      <c r="C92" s="49"/>
      <c r="D92" s="50" t="s">
        <v>156</v>
      </c>
      <c r="E92" s="37"/>
      <c r="F92" s="49"/>
      <c r="G92" s="50" t="s">
        <v>136</v>
      </c>
      <c r="H92" s="45"/>
      <c r="I92" s="57"/>
      <c r="J92" s="66"/>
      <c r="K92" s="45"/>
      <c r="L92" s="57"/>
      <c r="M92" s="58"/>
      <c r="N92" s="48"/>
    </row>
    <row r="93" ht="23.25" customHeight="1">
      <c r="B93" s="34"/>
      <c r="C93" s="43"/>
      <c r="D93" s="44" t="s">
        <v>157</v>
      </c>
      <c r="E93" s="37"/>
      <c r="F93" s="43"/>
      <c r="G93" s="44" t="s">
        <v>137</v>
      </c>
      <c r="H93" s="45"/>
      <c r="I93" s="57"/>
      <c r="J93" s="66"/>
      <c r="K93" s="45"/>
      <c r="L93" s="57"/>
      <c r="M93" s="58"/>
      <c r="N93" s="48"/>
    </row>
    <row r="94" ht="23.25" customHeight="1">
      <c r="B94" s="34"/>
      <c r="C94" s="49"/>
      <c r="D94" s="50" t="s">
        <v>51</v>
      </c>
      <c r="E94" s="37"/>
      <c r="F94" s="49"/>
      <c r="G94" s="50" t="s">
        <v>139</v>
      </c>
      <c r="H94" s="45"/>
      <c r="I94" s="57"/>
      <c r="J94" s="66"/>
      <c r="K94" s="45"/>
      <c r="L94" s="57"/>
      <c r="M94" s="58"/>
      <c r="N94" s="48"/>
    </row>
    <row r="95" ht="23.25" customHeight="1">
      <c r="B95" s="34"/>
      <c r="C95" s="43"/>
      <c r="D95" s="44" t="s">
        <v>53</v>
      </c>
      <c r="E95" s="37"/>
      <c r="F95" s="43"/>
      <c r="G95" s="44" t="s">
        <v>140</v>
      </c>
      <c r="H95" s="45"/>
      <c r="I95" s="57"/>
      <c r="J95" s="66"/>
      <c r="K95" s="45"/>
      <c r="L95" s="57"/>
      <c r="M95" s="58"/>
      <c r="N95" s="48"/>
    </row>
    <row r="96" ht="23.25" customHeight="1">
      <c r="B96" s="34"/>
      <c r="C96" s="49"/>
      <c r="D96" s="50" t="s">
        <v>158</v>
      </c>
      <c r="E96" s="37"/>
      <c r="F96" s="49"/>
      <c r="G96" s="50" t="s">
        <v>159</v>
      </c>
      <c r="H96" s="45"/>
      <c r="I96" s="57"/>
      <c r="J96" s="66"/>
      <c r="K96" s="45"/>
      <c r="L96" s="57"/>
      <c r="M96" s="58"/>
      <c r="N96" s="48"/>
    </row>
    <row r="97" ht="23.25" customHeight="1">
      <c r="B97" s="34"/>
      <c r="C97" s="43"/>
      <c r="D97" s="44" t="s">
        <v>160</v>
      </c>
      <c r="E97" s="37"/>
      <c r="F97" s="43"/>
      <c r="G97" s="44" t="s">
        <v>141</v>
      </c>
      <c r="H97" s="45"/>
      <c r="I97" s="57"/>
      <c r="J97" s="66"/>
      <c r="K97" s="45"/>
      <c r="L97" s="57"/>
      <c r="M97" s="58"/>
      <c r="N97" s="48"/>
    </row>
    <row r="98" ht="23.25" customHeight="1">
      <c r="B98" s="34"/>
      <c r="C98" s="49"/>
      <c r="D98" s="50" t="s">
        <v>161</v>
      </c>
      <c r="E98" s="37"/>
      <c r="F98" s="49"/>
      <c r="G98" s="50" t="s">
        <v>142</v>
      </c>
      <c r="H98" s="45"/>
      <c r="I98" s="57"/>
      <c r="J98" s="66"/>
      <c r="K98" s="45"/>
      <c r="L98" s="57"/>
      <c r="M98" s="58"/>
      <c r="N98" s="48"/>
    </row>
    <row r="99" ht="23.25" customHeight="1">
      <c r="B99" s="34"/>
      <c r="C99" s="43"/>
      <c r="D99" s="44" t="s">
        <v>55</v>
      </c>
      <c r="E99" s="37"/>
      <c r="F99" s="43"/>
      <c r="G99" s="44" t="s">
        <v>28</v>
      </c>
      <c r="H99" s="45"/>
      <c r="I99" s="57"/>
      <c r="J99" s="66"/>
      <c r="K99" s="45"/>
      <c r="L99" s="57"/>
      <c r="M99" s="58"/>
      <c r="N99" s="48"/>
    </row>
    <row r="100" ht="23.25" customHeight="1">
      <c r="B100" s="34"/>
      <c r="C100" s="49"/>
      <c r="D100" s="50" t="s">
        <v>162</v>
      </c>
      <c r="E100" s="37"/>
      <c r="F100" s="49"/>
      <c r="G100" s="50" t="s">
        <v>143</v>
      </c>
      <c r="H100" s="45"/>
      <c r="I100" s="57"/>
      <c r="J100" s="66"/>
      <c r="K100" s="45"/>
      <c r="L100" s="57"/>
      <c r="M100" s="58"/>
      <c r="N100" s="48"/>
    </row>
    <row r="101" ht="23.25" customHeight="1">
      <c r="B101" s="34"/>
      <c r="C101" s="43"/>
      <c r="D101" s="44" t="s">
        <v>163</v>
      </c>
      <c r="E101" s="37"/>
      <c r="F101" s="43"/>
      <c r="G101" s="44" t="s">
        <v>144</v>
      </c>
      <c r="H101" s="45"/>
      <c r="I101" s="57"/>
      <c r="J101" s="66"/>
      <c r="K101" s="45"/>
      <c r="L101" s="57"/>
      <c r="M101" s="58"/>
      <c r="N101" s="48"/>
    </row>
    <row r="102" ht="23.25" customHeight="1">
      <c r="B102" s="34"/>
      <c r="C102" s="49"/>
      <c r="D102" s="50" t="s">
        <v>164</v>
      </c>
      <c r="E102" s="37"/>
      <c r="F102" s="49"/>
      <c r="G102" s="50" t="s">
        <v>33</v>
      </c>
      <c r="H102" s="45"/>
      <c r="I102" s="57"/>
      <c r="J102" s="66"/>
      <c r="K102" s="45"/>
      <c r="L102" s="57"/>
      <c r="M102" s="58"/>
      <c r="N102" s="48"/>
    </row>
    <row r="103" ht="23.25" customHeight="1">
      <c r="B103" s="34"/>
      <c r="C103" s="43"/>
      <c r="D103" s="44" t="s">
        <v>165</v>
      </c>
      <c r="E103" s="37"/>
      <c r="F103" s="43"/>
      <c r="G103" s="44" t="s">
        <v>36</v>
      </c>
      <c r="H103" s="45"/>
      <c r="I103" s="57"/>
      <c r="J103" s="66"/>
      <c r="K103" s="45"/>
      <c r="L103" s="57"/>
      <c r="M103" s="58"/>
      <c r="N103" s="48"/>
    </row>
    <row r="104" ht="23.25" customHeight="1">
      <c r="B104" s="34"/>
      <c r="C104" s="49"/>
      <c r="D104" s="50" t="s">
        <v>166</v>
      </c>
      <c r="E104" s="37"/>
      <c r="F104" s="49"/>
      <c r="G104" s="50" t="s">
        <v>145</v>
      </c>
      <c r="H104" s="45"/>
      <c r="I104" s="57"/>
      <c r="J104" s="66"/>
      <c r="K104" s="45"/>
      <c r="L104" s="57"/>
      <c r="M104" s="58"/>
      <c r="N104" s="48"/>
    </row>
    <row r="105" ht="23.25" customHeight="1">
      <c r="B105" s="34"/>
      <c r="C105" s="43"/>
      <c r="D105" s="44" t="s">
        <v>167</v>
      </c>
      <c r="E105" s="37"/>
      <c r="F105" s="43"/>
      <c r="G105" s="44" t="s">
        <v>146</v>
      </c>
      <c r="H105" s="45"/>
      <c r="I105" s="57"/>
      <c r="J105" s="66"/>
      <c r="K105" s="45"/>
      <c r="L105" s="57"/>
      <c r="M105" s="58"/>
      <c r="N105" s="48"/>
    </row>
    <row r="106" ht="23.25" customHeight="1">
      <c r="B106" s="34"/>
      <c r="C106" s="49"/>
      <c r="D106" s="50" t="s">
        <v>168</v>
      </c>
      <c r="E106" s="37"/>
      <c r="F106" s="49"/>
      <c r="G106" s="50" t="s">
        <v>39</v>
      </c>
      <c r="H106" s="45"/>
      <c r="I106" s="57"/>
      <c r="J106" s="66"/>
      <c r="K106" s="45"/>
      <c r="L106" s="57"/>
      <c r="M106" s="58"/>
      <c r="N106" s="48"/>
    </row>
    <row r="107" ht="23.25" customHeight="1">
      <c r="B107" s="34"/>
      <c r="C107" s="43"/>
      <c r="D107" s="44" t="s">
        <v>169</v>
      </c>
      <c r="E107" s="37"/>
      <c r="F107" s="43"/>
      <c r="G107" s="44" t="s">
        <v>148</v>
      </c>
      <c r="H107" s="45"/>
      <c r="I107" s="57"/>
      <c r="J107" s="66"/>
      <c r="K107" s="45"/>
      <c r="L107" s="57"/>
      <c r="M107" s="58"/>
      <c r="N107" s="48"/>
    </row>
    <row r="108" ht="23.25" customHeight="1">
      <c r="B108" s="34"/>
      <c r="C108" s="49"/>
      <c r="D108" s="50" t="s">
        <v>170</v>
      </c>
      <c r="E108" s="37"/>
      <c r="F108" s="49"/>
      <c r="G108" s="50" t="s">
        <v>42</v>
      </c>
      <c r="H108" s="45"/>
      <c r="I108" s="57"/>
      <c r="J108" s="66"/>
      <c r="K108" s="45"/>
      <c r="L108" s="57"/>
      <c r="M108" s="58"/>
      <c r="N108" s="48"/>
    </row>
    <row r="109" ht="23.25" customHeight="1">
      <c r="B109" s="34"/>
      <c r="C109" s="43"/>
      <c r="D109" s="44" t="s">
        <v>171</v>
      </c>
      <c r="E109" s="37"/>
      <c r="F109" s="43"/>
      <c r="G109" s="44" t="s">
        <v>172</v>
      </c>
      <c r="H109" s="45"/>
      <c r="I109" s="57"/>
      <c r="J109" s="66"/>
      <c r="K109" s="45"/>
      <c r="L109" s="57"/>
      <c r="M109" s="58"/>
      <c r="N109" s="48"/>
    </row>
    <row r="110" ht="23.25" customHeight="1">
      <c r="B110" s="34"/>
      <c r="C110" s="49"/>
      <c r="D110" s="50" t="s">
        <v>173</v>
      </c>
      <c r="E110" s="37"/>
      <c r="F110" s="49"/>
      <c r="G110" s="50" t="s">
        <v>150</v>
      </c>
      <c r="H110" s="45"/>
      <c r="I110" s="57"/>
      <c r="J110" s="66"/>
      <c r="K110" s="45"/>
      <c r="L110" s="57"/>
      <c r="M110" s="58"/>
      <c r="N110" s="48"/>
    </row>
    <row r="111" ht="23.25" customHeight="1">
      <c r="B111" s="34"/>
      <c r="C111" s="43"/>
      <c r="D111" s="44" t="s">
        <v>174</v>
      </c>
      <c r="E111" s="37"/>
      <c r="F111" s="43"/>
      <c r="G111" s="44" t="s">
        <v>152</v>
      </c>
      <c r="H111" s="45"/>
      <c r="I111" s="57"/>
      <c r="J111" s="66"/>
      <c r="K111" s="45"/>
      <c r="L111" s="57"/>
      <c r="M111" s="58"/>
      <c r="N111" s="48"/>
    </row>
    <row r="112" ht="23.25" customHeight="1">
      <c r="B112" s="34"/>
      <c r="C112" s="49"/>
      <c r="D112" s="50" t="s">
        <v>175</v>
      </c>
      <c r="E112" s="37"/>
      <c r="F112" s="49"/>
      <c r="G112" s="50" t="s">
        <v>45</v>
      </c>
      <c r="H112" s="45"/>
      <c r="I112" s="57"/>
      <c r="J112" s="66"/>
      <c r="K112" s="45"/>
      <c r="L112" s="57"/>
      <c r="M112" s="58"/>
      <c r="N112" s="48"/>
    </row>
    <row r="113" ht="23.25" customHeight="1">
      <c r="B113" s="34"/>
      <c r="C113" s="43"/>
      <c r="D113" s="44" t="s">
        <v>176</v>
      </c>
      <c r="E113" s="37"/>
      <c r="F113" s="43"/>
      <c r="G113" s="44" t="s">
        <v>153</v>
      </c>
      <c r="H113" s="45"/>
      <c r="I113" s="57"/>
      <c r="J113" s="66"/>
      <c r="K113" s="45"/>
      <c r="L113" s="57"/>
      <c r="M113" s="58"/>
      <c r="N113" s="48"/>
    </row>
    <row r="114" ht="23.25" customHeight="1">
      <c r="B114" s="34"/>
      <c r="C114" s="49"/>
      <c r="D114" s="50" t="s">
        <v>177</v>
      </c>
      <c r="E114" s="37"/>
      <c r="F114" s="49"/>
      <c r="G114" s="50" t="s">
        <v>154</v>
      </c>
      <c r="H114" s="45"/>
      <c r="I114" s="57"/>
      <c r="J114" s="66"/>
      <c r="K114" s="45"/>
      <c r="L114" s="57"/>
      <c r="M114" s="58"/>
      <c r="N114" s="48"/>
    </row>
    <row r="115" ht="23.25" customHeight="1">
      <c r="B115" s="34"/>
      <c r="C115" s="43"/>
      <c r="D115" s="44" t="s">
        <v>178</v>
      </c>
      <c r="E115" s="37"/>
      <c r="F115" s="43"/>
      <c r="G115" s="44" t="s">
        <v>49</v>
      </c>
      <c r="H115" s="45"/>
      <c r="I115" s="57"/>
      <c r="J115" s="66"/>
      <c r="K115" s="45"/>
      <c r="L115" s="57"/>
      <c r="M115" s="58"/>
      <c r="N115" s="48"/>
    </row>
    <row r="116" ht="23.25" customHeight="1">
      <c r="B116" s="34"/>
      <c r="C116" s="49"/>
      <c r="D116" s="50" t="s">
        <v>179</v>
      </c>
      <c r="E116" s="37"/>
      <c r="F116" s="49"/>
      <c r="G116" s="50" t="s">
        <v>180</v>
      </c>
      <c r="H116" s="45"/>
      <c r="I116" s="57"/>
      <c r="J116" s="66"/>
      <c r="K116" s="45"/>
      <c r="L116" s="57"/>
      <c r="M116" s="58"/>
      <c r="N116" s="48"/>
    </row>
    <row r="117" ht="23.25" customHeight="1">
      <c r="B117" s="34"/>
      <c r="C117" s="43"/>
      <c r="D117" s="44" t="s">
        <v>181</v>
      </c>
      <c r="E117" s="37"/>
      <c r="F117" s="43"/>
      <c r="G117" s="44" t="s">
        <v>156</v>
      </c>
      <c r="H117" s="45"/>
      <c r="I117" s="57"/>
      <c r="J117" s="66"/>
      <c r="K117" s="45"/>
      <c r="L117" s="57"/>
      <c r="M117" s="58"/>
      <c r="N117" s="48"/>
    </row>
    <row r="118" ht="23.25" customHeight="1">
      <c r="B118" s="34"/>
      <c r="C118" s="49"/>
      <c r="D118" s="50" t="s">
        <v>182</v>
      </c>
      <c r="E118" s="37"/>
      <c r="F118" s="49"/>
      <c r="G118" s="50" t="s">
        <v>157</v>
      </c>
      <c r="H118" s="45"/>
      <c r="I118" s="57"/>
      <c r="J118" s="66"/>
      <c r="K118" s="45"/>
      <c r="L118" s="57"/>
      <c r="M118" s="58"/>
      <c r="N118" s="48"/>
    </row>
    <row r="119" ht="23.25" customHeight="1">
      <c r="B119" s="34"/>
      <c r="C119" s="43"/>
      <c r="D119" s="44" t="s">
        <v>183</v>
      </c>
      <c r="E119" s="37"/>
      <c r="F119" s="43"/>
      <c r="G119" s="44" t="s">
        <v>51</v>
      </c>
      <c r="H119" s="45"/>
      <c r="I119" s="57"/>
      <c r="J119" s="66"/>
      <c r="K119" s="45"/>
      <c r="L119" s="57"/>
      <c r="M119" s="58"/>
      <c r="N119" s="48"/>
    </row>
    <row r="120" ht="23.25" customHeight="1">
      <c r="B120" s="34"/>
      <c r="C120" s="49"/>
      <c r="D120" s="50" t="s">
        <v>184</v>
      </c>
      <c r="E120" s="37"/>
      <c r="F120" s="49"/>
      <c r="G120" s="50" t="s">
        <v>185</v>
      </c>
      <c r="H120" s="45"/>
      <c r="I120" s="57"/>
      <c r="J120" s="66"/>
      <c r="K120" s="45"/>
      <c r="L120" s="57"/>
      <c r="M120" s="58"/>
      <c r="N120" s="48"/>
    </row>
    <row r="121" ht="23.25" customHeight="1">
      <c r="B121" s="34"/>
      <c r="C121" s="43"/>
      <c r="D121" s="44" t="s">
        <v>186</v>
      </c>
      <c r="E121" s="37"/>
      <c r="F121" s="43"/>
      <c r="G121" s="44" t="s">
        <v>53</v>
      </c>
      <c r="H121" s="45"/>
      <c r="I121" s="57"/>
      <c r="J121" s="66"/>
      <c r="K121" s="45"/>
      <c r="L121" s="57"/>
      <c r="M121" s="58"/>
      <c r="N121" s="48"/>
    </row>
    <row r="122" ht="23.25" customHeight="1">
      <c r="B122" s="34"/>
      <c r="C122" s="49"/>
      <c r="D122" s="50" t="s">
        <v>56</v>
      </c>
      <c r="E122" s="37"/>
      <c r="F122" s="49"/>
      <c r="G122" s="50" t="s">
        <v>158</v>
      </c>
      <c r="H122" s="45"/>
      <c r="I122" s="57"/>
      <c r="J122" s="66"/>
      <c r="K122" s="45"/>
      <c r="L122" s="57"/>
      <c r="M122" s="58"/>
      <c r="N122" s="48"/>
    </row>
    <row r="123" ht="23.25" customHeight="1">
      <c r="B123" s="34"/>
      <c r="C123" s="43"/>
      <c r="D123" s="44" t="s">
        <v>187</v>
      </c>
      <c r="E123" s="37"/>
      <c r="F123" s="43"/>
      <c r="G123" s="44" t="s">
        <v>160</v>
      </c>
      <c r="H123" s="45"/>
      <c r="I123" s="57"/>
      <c r="J123" s="66"/>
      <c r="K123" s="45"/>
      <c r="L123" s="57"/>
      <c r="M123" s="58"/>
      <c r="N123" s="48"/>
    </row>
    <row r="124" ht="23.25" customHeight="1">
      <c r="B124" s="34"/>
      <c r="C124" s="49"/>
      <c r="D124" s="50" t="s">
        <v>188</v>
      </c>
      <c r="E124" s="37"/>
      <c r="F124" s="49"/>
      <c r="G124" s="50" t="s">
        <v>161</v>
      </c>
      <c r="H124" s="45"/>
      <c r="I124" s="57"/>
      <c r="J124" s="66"/>
      <c r="K124" s="45"/>
      <c r="L124" s="57"/>
      <c r="M124" s="58"/>
      <c r="N124" s="48"/>
    </row>
    <row r="125" ht="23.25" customHeight="1">
      <c r="B125" s="34"/>
      <c r="C125" s="43"/>
      <c r="D125" s="44" t="s">
        <v>189</v>
      </c>
      <c r="E125" s="37"/>
      <c r="F125" s="43"/>
      <c r="G125" s="44" t="s">
        <v>55</v>
      </c>
      <c r="H125" s="45"/>
      <c r="I125" s="57"/>
      <c r="J125" s="66"/>
      <c r="K125" s="45"/>
      <c r="L125" s="57"/>
      <c r="M125" s="58"/>
      <c r="N125" s="48"/>
    </row>
    <row r="126" ht="23.25" customHeight="1">
      <c r="B126" s="34"/>
      <c r="C126" s="49"/>
      <c r="D126" s="50" t="s">
        <v>190</v>
      </c>
      <c r="E126" s="37"/>
      <c r="F126" s="49"/>
      <c r="G126" s="50" t="s">
        <v>162</v>
      </c>
      <c r="H126" s="45"/>
      <c r="I126" s="57"/>
      <c r="J126" s="66"/>
      <c r="K126" s="45"/>
      <c r="L126" s="57"/>
      <c r="M126" s="58"/>
      <c r="N126" s="48"/>
    </row>
    <row r="127" ht="23.25" customHeight="1">
      <c r="B127" s="34"/>
      <c r="C127" s="43"/>
      <c r="D127" s="44" t="s">
        <v>191</v>
      </c>
      <c r="E127" s="37"/>
      <c r="F127" s="43"/>
      <c r="G127" s="44" t="s">
        <v>163</v>
      </c>
      <c r="H127" s="45"/>
      <c r="I127" s="57"/>
      <c r="J127" s="66"/>
      <c r="K127" s="45"/>
      <c r="L127" s="57"/>
      <c r="M127" s="58"/>
      <c r="N127" s="48"/>
    </row>
    <row r="128" ht="23.25" customHeight="1">
      <c r="B128" s="34"/>
      <c r="C128" s="49"/>
      <c r="D128" s="50" t="s">
        <v>192</v>
      </c>
      <c r="E128" s="37"/>
      <c r="F128" s="49"/>
      <c r="G128" s="50" t="s">
        <v>164</v>
      </c>
      <c r="H128" s="45"/>
      <c r="I128" s="57"/>
      <c r="J128" s="66"/>
      <c r="K128" s="45"/>
      <c r="L128" s="57"/>
      <c r="M128" s="58"/>
      <c r="N128" s="48"/>
    </row>
    <row r="129" ht="23.25" customHeight="1">
      <c r="B129" s="34"/>
      <c r="C129" s="43"/>
      <c r="D129" s="44" t="s">
        <v>193</v>
      </c>
      <c r="E129" s="37"/>
      <c r="F129" s="43"/>
      <c r="G129" s="44" t="s">
        <v>165</v>
      </c>
      <c r="H129" s="45"/>
      <c r="I129" s="57"/>
      <c r="J129" s="66"/>
      <c r="K129" s="45"/>
      <c r="L129" s="57"/>
      <c r="M129" s="58"/>
      <c r="N129" s="48"/>
    </row>
    <row r="130" ht="23.25" customHeight="1">
      <c r="B130" s="34"/>
      <c r="C130" s="49"/>
      <c r="D130" s="50" t="s">
        <v>194</v>
      </c>
      <c r="E130" s="37"/>
      <c r="F130" s="49"/>
      <c r="G130" s="50" t="s">
        <v>166</v>
      </c>
      <c r="H130" s="45"/>
      <c r="I130" s="57"/>
      <c r="J130" s="66"/>
      <c r="K130" s="45"/>
      <c r="L130" s="57"/>
      <c r="M130" s="58"/>
      <c r="N130" s="48"/>
    </row>
    <row r="131" ht="23.25" customHeight="1">
      <c r="B131" s="34"/>
      <c r="C131" s="43"/>
      <c r="D131" s="44" t="s">
        <v>31</v>
      </c>
      <c r="E131" s="37"/>
      <c r="F131" s="43"/>
      <c r="G131" s="44" t="s">
        <v>167</v>
      </c>
      <c r="H131" s="45"/>
      <c r="I131" s="57"/>
      <c r="J131" s="66"/>
      <c r="K131" s="45"/>
      <c r="L131" s="57"/>
      <c r="M131" s="58"/>
      <c r="N131" s="48"/>
    </row>
    <row r="132" ht="23.25" customHeight="1">
      <c r="B132" s="34"/>
      <c r="C132" s="49"/>
      <c r="D132" s="50" t="s">
        <v>58</v>
      </c>
      <c r="E132" s="37"/>
      <c r="F132" s="49"/>
      <c r="G132" s="50" t="s">
        <v>168</v>
      </c>
      <c r="H132" s="45"/>
      <c r="I132" s="57"/>
      <c r="J132" s="66"/>
      <c r="K132" s="45"/>
      <c r="L132" s="57"/>
      <c r="M132" s="58"/>
      <c r="N132" s="48"/>
    </row>
    <row r="133" ht="23.25" customHeight="1">
      <c r="B133" s="34"/>
      <c r="C133" s="43"/>
      <c r="D133" s="44" t="s">
        <v>195</v>
      </c>
      <c r="E133" s="37"/>
      <c r="F133" s="43"/>
      <c r="G133" s="44" t="s">
        <v>169</v>
      </c>
      <c r="H133" s="45"/>
      <c r="I133" s="57"/>
      <c r="J133" s="66"/>
      <c r="K133" s="45"/>
      <c r="L133" s="57"/>
      <c r="M133" s="58"/>
      <c r="N133" s="48"/>
    </row>
    <row r="134" ht="23.25" customHeight="1">
      <c r="B134" s="34"/>
      <c r="C134" s="49"/>
      <c r="D134" s="50" t="s">
        <v>196</v>
      </c>
      <c r="E134" s="37"/>
      <c r="F134" s="49"/>
      <c r="G134" s="50" t="s">
        <v>197</v>
      </c>
      <c r="H134" s="45"/>
      <c r="I134" s="57"/>
      <c r="J134" s="66"/>
      <c r="K134" s="45"/>
      <c r="L134" s="57"/>
      <c r="M134" s="58"/>
      <c r="N134" s="48"/>
    </row>
    <row r="135" ht="23.25" customHeight="1">
      <c r="B135" s="34"/>
      <c r="C135" s="43"/>
      <c r="D135" s="44" t="s">
        <v>198</v>
      </c>
      <c r="E135" s="37"/>
      <c r="F135" s="43"/>
      <c r="G135" s="44" t="s">
        <v>199</v>
      </c>
      <c r="H135" s="45"/>
      <c r="I135" s="57"/>
      <c r="J135" s="66"/>
      <c r="K135" s="45"/>
      <c r="L135" s="57"/>
      <c r="M135" s="58"/>
      <c r="N135" s="48"/>
    </row>
    <row r="136" ht="23.25" customHeight="1">
      <c r="B136" s="34"/>
      <c r="C136" s="49"/>
      <c r="D136" s="50" t="s">
        <v>200</v>
      </c>
      <c r="E136" s="37"/>
      <c r="F136" s="49"/>
      <c r="G136" s="50" t="s">
        <v>170</v>
      </c>
      <c r="H136" s="45"/>
      <c r="I136" s="57"/>
      <c r="J136" s="66"/>
      <c r="K136" s="45"/>
      <c r="L136" s="57"/>
      <c r="M136" s="58"/>
      <c r="N136" s="48"/>
    </row>
    <row r="137" ht="23.25" customHeight="1">
      <c r="B137" s="34"/>
      <c r="C137" s="43"/>
      <c r="D137" s="44" t="s">
        <v>201</v>
      </c>
      <c r="E137" s="37"/>
      <c r="F137" s="43"/>
      <c r="G137" s="44" t="s">
        <v>202</v>
      </c>
      <c r="H137" s="45"/>
      <c r="I137" s="57"/>
      <c r="J137" s="66"/>
      <c r="K137" s="45"/>
      <c r="L137" s="57"/>
      <c r="M137" s="58"/>
      <c r="N137" s="48"/>
    </row>
    <row r="138" ht="23.25" customHeight="1">
      <c r="B138" s="34"/>
      <c r="C138" s="49"/>
      <c r="D138" s="50" t="s">
        <v>203</v>
      </c>
      <c r="E138" s="37"/>
      <c r="F138" s="49"/>
      <c r="G138" s="50" t="s">
        <v>171</v>
      </c>
      <c r="H138" s="45"/>
      <c r="I138" s="57"/>
      <c r="J138" s="66"/>
      <c r="K138" s="45"/>
      <c r="L138" s="57"/>
      <c r="M138" s="58"/>
      <c r="N138" s="48"/>
    </row>
    <row r="139" ht="23.25" customHeight="1">
      <c r="B139" s="34"/>
      <c r="C139" s="43"/>
      <c r="D139" s="44" t="s">
        <v>204</v>
      </c>
      <c r="E139" s="37"/>
      <c r="F139" s="43"/>
      <c r="G139" s="44" t="s">
        <v>173</v>
      </c>
      <c r="H139" s="45"/>
      <c r="I139" s="57"/>
      <c r="J139" s="66"/>
      <c r="K139" s="45"/>
      <c r="L139" s="57"/>
      <c r="M139" s="58"/>
      <c r="N139" s="48"/>
    </row>
    <row r="140" ht="23.25" customHeight="1">
      <c r="B140" s="34"/>
      <c r="C140" s="49"/>
      <c r="D140" s="50" t="s">
        <v>205</v>
      </c>
      <c r="E140" s="37"/>
      <c r="F140" s="49"/>
      <c r="G140" s="50" t="s">
        <v>206</v>
      </c>
      <c r="H140" s="45"/>
      <c r="I140" s="57"/>
      <c r="J140" s="66"/>
      <c r="K140" s="45"/>
      <c r="L140" s="57"/>
      <c r="M140" s="58"/>
      <c r="N140" s="48"/>
    </row>
    <row r="141" ht="23.25" customHeight="1">
      <c r="B141" s="34"/>
      <c r="C141" s="43"/>
      <c r="D141" s="44" t="s">
        <v>207</v>
      </c>
      <c r="E141" s="37"/>
      <c r="F141" s="43"/>
      <c r="G141" s="44" t="s">
        <v>208</v>
      </c>
      <c r="H141" s="45"/>
      <c r="I141" s="57"/>
      <c r="J141" s="66"/>
      <c r="K141" s="45"/>
      <c r="L141" s="57"/>
      <c r="M141" s="58"/>
      <c r="N141" s="48"/>
    </row>
    <row r="142" ht="23.25" customHeight="1">
      <c r="B142" s="34"/>
      <c r="C142" s="49"/>
      <c r="D142" s="50" t="s">
        <v>209</v>
      </c>
      <c r="E142" s="37"/>
      <c r="F142" s="49"/>
      <c r="G142" s="50" t="s">
        <v>174</v>
      </c>
      <c r="H142" s="45"/>
      <c r="I142" s="57"/>
      <c r="J142" s="66"/>
      <c r="K142" s="45"/>
      <c r="L142" s="57"/>
      <c r="M142" s="58"/>
      <c r="N142" s="48"/>
    </row>
    <row r="143" ht="23.25" customHeight="1">
      <c r="B143" s="34"/>
      <c r="C143" s="43"/>
      <c r="D143" s="44" t="s">
        <v>210</v>
      </c>
      <c r="E143" s="37"/>
      <c r="F143" s="43"/>
      <c r="G143" s="44" t="s">
        <v>211</v>
      </c>
      <c r="H143" s="45"/>
      <c r="I143" s="57"/>
      <c r="J143" s="66"/>
      <c r="K143" s="45"/>
      <c r="L143" s="57"/>
      <c r="M143" s="58"/>
      <c r="N143" s="48"/>
    </row>
    <row r="144" ht="23.25" customHeight="1">
      <c r="B144" s="34"/>
      <c r="C144" s="49"/>
      <c r="D144" s="50" t="s">
        <v>212</v>
      </c>
      <c r="E144" s="37"/>
      <c r="F144" s="49"/>
      <c r="G144" s="50" t="s">
        <v>213</v>
      </c>
      <c r="H144" s="45"/>
      <c r="I144" s="57"/>
      <c r="J144" s="66"/>
      <c r="K144" s="45"/>
      <c r="L144" s="57"/>
      <c r="M144" s="58"/>
      <c r="N144" s="48"/>
    </row>
    <row r="145" ht="23.25" customHeight="1">
      <c r="B145" s="34"/>
      <c r="C145" s="43"/>
      <c r="D145" s="44" t="s">
        <v>214</v>
      </c>
      <c r="E145" s="37"/>
      <c r="F145" s="43"/>
      <c r="G145" s="44" t="s">
        <v>175</v>
      </c>
      <c r="H145" s="45"/>
      <c r="I145" s="57"/>
      <c r="J145" s="66"/>
      <c r="K145" s="45"/>
      <c r="L145" s="57"/>
      <c r="M145" s="58"/>
      <c r="N145" s="48"/>
    </row>
    <row r="146" ht="23.25" customHeight="1">
      <c r="B146" s="34"/>
      <c r="C146" s="49"/>
      <c r="D146" s="50" t="s">
        <v>215</v>
      </c>
      <c r="E146" s="37"/>
      <c r="F146" s="49"/>
      <c r="G146" s="50" t="s">
        <v>176</v>
      </c>
      <c r="H146" s="45"/>
      <c r="I146" s="57"/>
      <c r="J146" s="66"/>
      <c r="K146" s="45"/>
      <c r="L146" s="57"/>
      <c r="M146" s="58"/>
      <c r="N146" s="48"/>
    </row>
    <row r="147" ht="23.25" customHeight="1">
      <c r="B147" s="34"/>
      <c r="C147" s="43"/>
      <c r="D147" s="44" t="s">
        <v>60</v>
      </c>
      <c r="E147" s="37"/>
      <c r="F147" s="43"/>
      <c r="G147" s="44" t="s">
        <v>177</v>
      </c>
      <c r="H147" s="45"/>
      <c r="I147" s="57"/>
      <c r="J147" s="66"/>
      <c r="K147" s="45"/>
      <c r="L147" s="57"/>
      <c r="M147" s="58"/>
      <c r="N147" s="48"/>
    </row>
    <row r="148" ht="23.25" customHeight="1">
      <c r="B148" s="34"/>
      <c r="C148" s="49"/>
      <c r="D148" s="50" t="s">
        <v>216</v>
      </c>
      <c r="E148" s="37"/>
      <c r="F148" s="49"/>
      <c r="G148" s="50" t="s">
        <v>178</v>
      </c>
      <c r="H148" s="45"/>
      <c r="I148" s="57"/>
      <c r="J148" s="66"/>
      <c r="K148" s="45"/>
      <c r="L148" s="57"/>
      <c r="M148" s="58"/>
      <c r="N148" s="48"/>
    </row>
    <row r="149" ht="23.25" customHeight="1">
      <c r="B149" s="34"/>
      <c r="C149" s="43"/>
      <c r="D149" s="44" t="s">
        <v>217</v>
      </c>
      <c r="E149" s="37"/>
      <c r="F149" s="43"/>
      <c r="G149" s="44" t="s">
        <v>218</v>
      </c>
      <c r="H149" s="45"/>
      <c r="I149" s="57"/>
      <c r="J149" s="66"/>
      <c r="K149" s="45"/>
      <c r="L149" s="57"/>
      <c r="M149" s="58"/>
      <c r="N149" s="48"/>
    </row>
    <row r="150" ht="23.25" customHeight="1">
      <c r="B150" s="34"/>
      <c r="C150" s="49"/>
      <c r="D150" s="50" t="s">
        <v>219</v>
      </c>
      <c r="E150" s="37"/>
      <c r="F150" s="49"/>
      <c r="G150" s="50" t="s">
        <v>220</v>
      </c>
      <c r="H150" s="45"/>
      <c r="I150" s="57"/>
      <c r="J150" s="66"/>
      <c r="K150" s="45"/>
      <c r="L150" s="57"/>
      <c r="M150" s="58"/>
      <c r="N150" s="48"/>
    </row>
    <row r="151" ht="23.25" customHeight="1">
      <c r="B151" s="34"/>
      <c r="C151" s="43"/>
      <c r="D151" s="44" t="s">
        <v>34</v>
      </c>
      <c r="E151" s="37"/>
      <c r="F151" s="43"/>
      <c r="G151" s="44" t="s">
        <v>179</v>
      </c>
      <c r="H151" s="45"/>
      <c r="I151" s="57"/>
      <c r="J151" s="66"/>
      <c r="K151" s="45"/>
      <c r="L151" s="57"/>
      <c r="M151" s="58"/>
      <c r="N151" s="48"/>
    </row>
    <row r="152" ht="23.25" customHeight="1">
      <c r="B152" s="34"/>
      <c r="C152" s="49"/>
      <c r="D152" s="50" t="s">
        <v>61</v>
      </c>
      <c r="E152" s="37"/>
      <c r="F152" s="49"/>
      <c r="G152" s="50" t="s">
        <v>181</v>
      </c>
      <c r="H152" s="45"/>
      <c r="I152" s="57"/>
      <c r="J152" s="66"/>
      <c r="K152" s="45"/>
      <c r="L152" s="57"/>
      <c r="M152" s="58"/>
      <c r="N152" s="48"/>
    </row>
    <row r="153" ht="23.25" customHeight="1">
      <c r="B153" s="34"/>
      <c r="C153" s="43"/>
      <c r="D153" s="44" t="s">
        <v>221</v>
      </c>
      <c r="E153" s="37"/>
      <c r="F153" s="43"/>
      <c r="G153" s="44" t="s">
        <v>222</v>
      </c>
      <c r="H153" s="45"/>
      <c r="I153" s="57"/>
      <c r="J153" s="66"/>
      <c r="K153" s="45"/>
      <c r="L153" s="57"/>
      <c r="M153" s="58"/>
      <c r="N153" s="48"/>
    </row>
    <row r="154" ht="23.25" customHeight="1">
      <c r="B154" s="34"/>
      <c r="C154" s="49"/>
      <c r="D154" s="50" t="s">
        <v>223</v>
      </c>
      <c r="E154" s="37"/>
      <c r="F154" s="49"/>
      <c r="G154" s="50" t="s">
        <v>182</v>
      </c>
      <c r="H154" s="45"/>
      <c r="I154" s="57"/>
      <c r="J154" s="66"/>
      <c r="K154" s="45"/>
      <c r="L154" s="57"/>
      <c r="M154" s="58"/>
      <c r="N154" s="48"/>
    </row>
    <row r="155" ht="23.25" customHeight="1">
      <c r="B155" s="34"/>
      <c r="C155" s="43"/>
      <c r="D155" s="44" t="s">
        <v>224</v>
      </c>
      <c r="E155" s="37"/>
      <c r="F155" s="43"/>
      <c r="G155" s="44" t="s">
        <v>183</v>
      </c>
      <c r="H155" s="45"/>
      <c r="I155" s="57"/>
      <c r="J155" s="66"/>
      <c r="K155" s="45"/>
      <c r="L155" s="57"/>
      <c r="M155" s="58"/>
      <c r="N155" s="48"/>
    </row>
    <row r="156" ht="23.25" customHeight="1">
      <c r="B156" s="34"/>
      <c r="C156" s="49"/>
      <c r="D156" s="50" t="s">
        <v>66</v>
      </c>
      <c r="E156" s="37"/>
      <c r="F156" s="49"/>
      <c r="G156" s="50" t="s">
        <v>184</v>
      </c>
      <c r="H156" s="45"/>
      <c r="I156" s="57"/>
      <c r="J156" s="66"/>
      <c r="K156" s="45"/>
      <c r="L156" s="57"/>
      <c r="M156" s="58"/>
      <c r="N156" s="48"/>
    </row>
    <row r="157" ht="23.25" customHeight="1">
      <c r="B157" s="34"/>
      <c r="C157" s="43"/>
      <c r="D157" s="44" t="s">
        <v>225</v>
      </c>
      <c r="E157" s="37"/>
      <c r="F157" s="43"/>
      <c r="G157" s="44" t="s">
        <v>186</v>
      </c>
      <c r="H157" s="45"/>
      <c r="I157" s="57"/>
      <c r="J157" s="66"/>
      <c r="K157" s="45"/>
      <c r="L157" s="57"/>
      <c r="M157" s="58"/>
      <c r="N157" s="48"/>
    </row>
    <row r="158" ht="23.25" customHeight="1">
      <c r="B158" s="34"/>
      <c r="C158" s="49"/>
      <c r="D158" s="50" t="s">
        <v>226</v>
      </c>
      <c r="E158" s="37"/>
      <c r="F158" s="49"/>
      <c r="G158" s="50" t="s">
        <v>56</v>
      </c>
      <c r="H158" s="45"/>
      <c r="I158" s="57"/>
      <c r="J158" s="66"/>
      <c r="K158" s="45"/>
      <c r="L158" s="57"/>
      <c r="M158" s="58"/>
      <c r="N158" s="48"/>
    </row>
    <row r="159" ht="23.25" customHeight="1">
      <c r="B159" s="34"/>
      <c r="C159" s="43"/>
      <c r="D159" s="44" t="s">
        <v>227</v>
      </c>
      <c r="E159" s="37"/>
      <c r="F159" s="43"/>
      <c r="G159" s="44" t="s">
        <v>187</v>
      </c>
      <c r="H159" s="45"/>
      <c r="I159" s="57"/>
      <c r="J159" s="66"/>
      <c r="K159" s="45"/>
      <c r="L159" s="57"/>
      <c r="M159" s="58"/>
      <c r="N159" s="48"/>
    </row>
    <row r="160" ht="23.25" customHeight="1">
      <c r="B160" s="34"/>
      <c r="C160" s="49"/>
      <c r="D160" s="61" t="s">
        <v>228</v>
      </c>
      <c r="E160" s="37"/>
      <c r="F160" s="49"/>
      <c r="G160" s="50" t="s">
        <v>188</v>
      </c>
      <c r="H160" s="45"/>
      <c r="I160" s="57"/>
      <c r="J160" s="66"/>
      <c r="K160" s="45"/>
      <c r="L160" s="57"/>
      <c r="M160" s="58"/>
      <c r="N160" s="48"/>
    </row>
    <row r="161" ht="23.25" customHeight="1">
      <c r="B161" s="34"/>
      <c r="C161" s="62"/>
      <c r="D161" s="63" t="s">
        <v>229</v>
      </c>
      <c r="E161" s="37"/>
      <c r="F161" s="43"/>
      <c r="G161" s="44" t="s">
        <v>189</v>
      </c>
      <c r="H161" s="45"/>
      <c r="I161" s="57"/>
      <c r="J161" s="66"/>
      <c r="K161" s="45"/>
      <c r="L161" s="57"/>
      <c r="M161" s="58"/>
      <c r="N161" s="48"/>
    </row>
    <row r="162" ht="23.25" customHeight="1">
      <c r="B162" s="34"/>
      <c r="C162" s="49"/>
      <c r="D162" s="67" t="s">
        <v>230</v>
      </c>
      <c r="E162" s="37"/>
      <c r="F162" s="49"/>
      <c r="G162" s="50" t="s">
        <v>190</v>
      </c>
      <c r="H162" s="45"/>
      <c r="I162" s="57"/>
      <c r="J162" s="66"/>
      <c r="K162" s="45"/>
      <c r="L162" s="57"/>
      <c r="M162" s="58"/>
      <c r="N162" s="48"/>
    </row>
    <row r="163" ht="23.25" customHeight="1">
      <c r="B163" s="34"/>
      <c r="C163" s="62"/>
      <c r="D163" s="63" t="s">
        <v>231</v>
      </c>
      <c r="E163" s="37"/>
      <c r="F163" s="43"/>
      <c r="G163" s="44" t="s">
        <v>191</v>
      </c>
      <c r="H163" s="45"/>
      <c r="I163" s="57"/>
      <c r="J163" s="66"/>
      <c r="K163" s="45"/>
      <c r="L163" s="57"/>
      <c r="M163" s="58"/>
      <c r="N163" s="48"/>
    </row>
    <row r="164" ht="23.25" customHeight="1">
      <c r="B164" s="34"/>
      <c r="C164" s="49"/>
      <c r="D164" s="61" t="s">
        <v>232</v>
      </c>
      <c r="E164" s="37"/>
      <c r="F164" s="49"/>
      <c r="G164" s="50" t="s">
        <v>233</v>
      </c>
      <c r="H164" s="45"/>
      <c r="I164" s="57"/>
      <c r="J164" s="66"/>
      <c r="K164" s="45"/>
      <c r="L164" s="57"/>
      <c r="M164" s="58"/>
      <c r="N164" s="48"/>
    </row>
    <row r="165" ht="23.25" customHeight="1">
      <c r="B165" s="34"/>
      <c r="C165" s="43"/>
      <c r="D165" s="44" t="s">
        <v>68</v>
      </c>
      <c r="E165" s="37"/>
      <c r="F165" s="43"/>
      <c r="G165" s="44" t="s">
        <v>234</v>
      </c>
      <c r="H165" s="45"/>
      <c r="I165" s="57"/>
      <c r="J165" s="66"/>
      <c r="K165" s="45"/>
      <c r="L165" s="57"/>
      <c r="M165" s="58"/>
      <c r="N165" s="48"/>
    </row>
    <row r="166" ht="23.25" customHeight="1">
      <c r="B166" s="34"/>
      <c r="C166" s="60"/>
      <c r="D166" s="63" t="s">
        <v>235</v>
      </c>
      <c r="E166" s="37"/>
      <c r="F166" s="49"/>
      <c r="G166" s="50" t="s">
        <v>192</v>
      </c>
      <c r="H166" s="45"/>
      <c r="I166" s="57"/>
      <c r="J166" s="66"/>
      <c r="K166" s="45"/>
      <c r="L166" s="57"/>
      <c r="M166" s="58"/>
      <c r="N166" s="48"/>
    </row>
    <row r="167" ht="23.25" customHeight="1">
      <c r="B167" s="34"/>
      <c r="C167" s="43"/>
      <c r="D167" s="44" t="s">
        <v>236</v>
      </c>
      <c r="E167" s="37"/>
      <c r="F167" s="43"/>
      <c r="G167" s="44" t="s">
        <v>193</v>
      </c>
      <c r="H167" s="45"/>
      <c r="I167" s="57"/>
      <c r="J167" s="66"/>
      <c r="K167" s="45"/>
      <c r="L167" s="57"/>
      <c r="M167" s="58"/>
      <c r="N167" s="48"/>
    </row>
    <row r="168" ht="23.25" customHeight="1">
      <c r="B168" s="34"/>
      <c r="C168" s="60"/>
      <c r="D168" s="63" t="s">
        <v>237</v>
      </c>
      <c r="E168" s="37"/>
      <c r="F168" s="49"/>
      <c r="G168" s="50" t="s">
        <v>194</v>
      </c>
      <c r="H168" s="45"/>
      <c r="I168" s="57"/>
      <c r="J168" s="66"/>
      <c r="K168" s="45"/>
      <c r="L168" s="57"/>
      <c r="M168" s="58"/>
      <c r="N168" s="48"/>
    </row>
    <row r="169" ht="23.25" customHeight="1">
      <c r="B169" s="34"/>
      <c r="C169" s="43"/>
      <c r="D169" s="44" t="s">
        <v>70</v>
      </c>
      <c r="E169" s="37"/>
      <c r="F169" s="43"/>
      <c r="G169" s="44" t="s">
        <v>31</v>
      </c>
      <c r="H169" s="45"/>
      <c r="I169" s="57"/>
      <c r="J169" s="66"/>
      <c r="K169" s="45"/>
      <c r="L169" s="57"/>
      <c r="M169" s="58"/>
      <c r="N169" s="48"/>
    </row>
    <row r="170" ht="23.25" customHeight="1">
      <c r="B170" s="34"/>
      <c r="C170" s="60"/>
      <c r="D170" s="63" t="s">
        <v>238</v>
      </c>
      <c r="E170" s="37"/>
      <c r="F170" s="49"/>
      <c r="G170" s="50" t="s">
        <v>239</v>
      </c>
      <c r="H170" s="45"/>
      <c r="I170" s="57"/>
      <c r="J170" s="66"/>
      <c r="K170" s="45"/>
      <c r="L170" s="57"/>
      <c r="M170" s="58"/>
      <c r="N170" s="48"/>
    </row>
    <row r="171" ht="23.25" customHeight="1">
      <c r="B171" s="34"/>
      <c r="C171" s="43"/>
      <c r="D171" s="44" t="s">
        <v>72</v>
      </c>
      <c r="E171" s="37"/>
      <c r="F171" s="43"/>
      <c r="G171" s="44" t="s">
        <v>58</v>
      </c>
      <c r="H171" s="45"/>
      <c r="I171" s="57"/>
      <c r="J171" s="66"/>
      <c r="K171" s="45"/>
      <c r="L171" s="57"/>
      <c r="M171" s="58"/>
      <c r="N171" s="48"/>
    </row>
    <row r="172" ht="23.25" customHeight="1">
      <c r="B172" s="34"/>
      <c r="C172" s="60"/>
      <c r="D172" s="63" t="s">
        <v>240</v>
      </c>
      <c r="E172" s="37"/>
      <c r="F172" s="49"/>
      <c r="G172" s="50" t="s">
        <v>195</v>
      </c>
      <c r="H172" s="45"/>
      <c r="I172" s="57"/>
      <c r="J172" s="66"/>
      <c r="K172" s="45"/>
      <c r="L172" s="57"/>
      <c r="M172" s="58"/>
      <c r="N172" s="48"/>
    </row>
    <row r="173" ht="23.25" customHeight="1">
      <c r="B173" s="34"/>
      <c r="C173" s="43"/>
      <c r="D173" s="44" t="s">
        <v>241</v>
      </c>
      <c r="E173" s="37"/>
      <c r="F173" s="43"/>
      <c r="G173" s="44" t="s">
        <v>196</v>
      </c>
      <c r="H173" s="45"/>
      <c r="I173" s="57"/>
      <c r="J173" s="66"/>
      <c r="K173" s="45"/>
      <c r="L173" s="57"/>
      <c r="M173" s="58"/>
      <c r="N173" s="48"/>
    </row>
    <row r="174" ht="23.25" customHeight="1">
      <c r="B174" s="34"/>
      <c r="C174" s="60"/>
      <c r="D174" s="63" t="s">
        <v>242</v>
      </c>
      <c r="E174" s="37"/>
      <c r="F174" s="49"/>
      <c r="G174" s="50" t="s">
        <v>198</v>
      </c>
      <c r="H174" s="45"/>
      <c r="I174" s="57"/>
      <c r="J174" s="66"/>
      <c r="K174" s="45"/>
      <c r="L174" s="57"/>
      <c r="M174" s="58"/>
      <c r="N174" s="48"/>
    </row>
    <row r="175" ht="23.25" customHeight="1">
      <c r="B175" s="34"/>
      <c r="C175" s="43"/>
      <c r="D175" s="61" t="s">
        <v>243</v>
      </c>
      <c r="E175" s="37"/>
      <c r="F175" s="43"/>
      <c r="G175" s="44" t="s">
        <v>200</v>
      </c>
      <c r="H175" s="45"/>
      <c r="I175" s="57"/>
      <c r="J175" s="66"/>
      <c r="K175" s="45"/>
      <c r="L175" s="57"/>
      <c r="M175" s="58"/>
      <c r="N175" s="48"/>
    </row>
    <row r="176" ht="23.25" customHeight="1">
      <c r="B176" s="34"/>
      <c r="C176" s="60"/>
      <c r="D176" s="63" t="s">
        <v>244</v>
      </c>
      <c r="E176" s="37"/>
      <c r="F176" s="49"/>
      <c r="G176" s="50" t="s">
        <v>201</v>
      </c>
      <c r="H176" s="45"/>
      <c r="I176" s="57"/>
      <c r="J176" s="66"/>
      <c r="K176" s="45"/>
      <c r="L176" s="57"/>
      <c r="M176" s="58"/>
      <c r="N176" s="48"/>
    </row>
    <row r="177" ht="23.25" customHeight="1">
      <c r="B177" s="34"/>
      <c r="C177" s="43"/>
      <c r="D177" s="61" t="s">
        <v>245</v>
      </c>
      <c r="E177" s="37"/>
      <c r="F177" s="43"/>
      <c r="G177" s="44" t="s">
        <v>203</v>
      </c>
      <c r="H177" s="45"/>
      <c r="I177" s="57"/>
      <c r="J177" s="66"/>
      <c r="K177" s="45"/>
      <c r="L177" s="57"/>
      <c r="M177" s="58"/>
      <c r="N177" s="48"/>
    </row>
    <row r="178" ht="23.25" customHeight="1">
      <c r="B178" s="34"/>
      <c r="C178" s="60"/>
      <c r="D178" s="63" t="s">
        <v>246</v>
      </c>
      <c r="E178" s="37"/>
      <c r="F178" s="49"/>
      <c r="G178" s="50" t="s">
        <v>247</v>
      </c>
      <c r="H178" s="45"/>
      <c r="I178" s="57"/>
      <c r="J178" s="66"/>
      <c r="K178" s="45"/>
      <c r="L178" s="57"/>
      <c r="M178" s="58"/>
      <c r="N178" s="48"/>
    </row>
    <row r="179" ht="23.25" customHeight="1">
      <c r="B179" s="34"/>
      <c r="C179" s="43"/>
      <c r="D179" s="61" t="s">
        <v>248</v>
      </c>
      <c r="E179" s="37"/>
      <c r="F179" s="43"/>
      <c r="G179" s="44" t="s">
        <v>204</v>
      </c>
      <c r="H179" s="45"/>
      <c r="I179" s="57"/>
      <c r="J179" s="66"/>
      <c r="K179" s="45"/>
      <c r="L179" s="57"/>
      <c r="M179" s="58"/>
      <c r="N179" s="48"/>
    </row>
    <row r="180" ht="23.25" customHeight="1">
      <c r="B180" s="34"/>
      <c r="C180" s="60"/>
      <c r="D180" s="63" t="s">
        <v>249</v>
      </c>
      <c r="E180" s="37"/>
      <c r="F180" s="49"/>
      <c r="G180" s="50" t="s">
        <v>250</v>
      </c>
      <c r="H180" s="45"/>
      <c r="I180" s="57"/>
      <c r="J180" s="66"/>
      <c r="K180" s="45"/>
      <c r="L180" s="57"/>
      <c r="M180" s="58"/>
      <c r="N180" s="48"/>
    </row>
    <row r="181" ht="23.25" customHeight="1">
      <c r="B181" s="34"/>
      <c r="C181" s="43"/>
      <c r="D181" s="61" t="s">
        <v>251</v>
      </c>
      <c r="E181" s="37"/>
      <c r="F181" s="43"/>
      <c r="G181" s="44" t="s">
        <v>205</v>
      </c>
      <c r="H181" s="45"/>
      <c r="I181" s="57"/>
      <c r="J181" s="66"/>
      <c r="K181" s="45"/>
      <c r="L181" s="57"/>
      <c r="M181" s="58"/>
      <c r="N181" s="48"/>
    </row>
    <row r="182" ht="23.25" customHeight="1">
      <c r="B182" s="34"/>
      <c r="C182" s="60"/>
      <c r="D182" s="63" t="s">
        <v>252</v>
      </c>
      <c r="E182" s="37"/>
      <c r="F182" s="49"/>
      <c r="G182" s="50" t="s">
        <v>253</v>
      </c>
      <c r="H182" s="45"/>
      <c r="I182" s="57"/>
      <c r="J182" s="66"/>
      <c r="K182" s="45"/>
      <c r="L182" s="57"/>
      <c r="M182" s="58"/>
      <c r="N182" s="48"/>
    </row>
    <row r="183" ht="23.25" customHeight="1">
      <c r="B183" s="34"/>
      <c r="C183" s="43"/>
      <c r="D183" s="61" t="s">
        <v>254</v>
      </c>
      <c r="E183" s="37"/>
      <c r="F183" s="43"/>
      <c r="G183" s="44" t="s">
        <v>207</v>
      </c>
      <c r="H183" s="45"/>
      <c r="I183" s="57"/>
      <c r="J183" s="66"/>
      <c r="K183" s="45"/>
      <c r="L183" s="57"/>
      <c r="M183" s="58"/>
      <c r="N183" s="48"/>
    </row>
    <row r="184" ht="23.25" customHeight="1">
      <c r="B184" s="34"/>
      <c r="C184" s="60"/>
      <c r="D184" s="63" t="s">
        <v>255</v>
      </c>
      <c r="E184" s="37"/>
      <c r="F184" s="49"/>
      <c r="G184" s="50" t="s">
        <v>209</v>
      </c>
      <c r="H184" s="45"/>
      <c r="I184" s="57"/>
      <c r="J184" s="66"/>
      <c r="K184" s="45"/>
      <c r="L184" s="57"/>
      <c r="M184" s="58"/>
      <c r="N184" s="48"/>
    </row>
    <row r="185" ht="23.25" customHeight="1">
      <c r="B185" s="34"/>
      <c r="C185" s="43"/>
      <c r="D185" s="61" t="s">
        <v>256</v>
      </c>
      <c r="E185" s="37"/>
      <c r="F185" s="43"/>
      <c r="G185" s="44" t="s">
        <v>257</v>
      </c>
      <c r="H185" s="45"/>
      <c r="I185" s="57"/>
      <c r="J185" s="66"/>
      <c r="K185" s="45"/>
      <c r="L185" s="57"/>
      <c r="M185" s="58"/>
      <c r="N185" s="48"/>
    </row>
    <row r="186" ht="23.25" customHeight="1">
      <c r="B186" s="34"/>
      <c r="C186" s="60"/>
      <c r="D186" s="63" t="s">
        <v>258</v>
      </c>
      <c r="E186" s="37"/>
      <c r="F186" s="49"/>
      <c r="G186" s="50" t="s">
        <v>210</v>
      </c>
      <c r="H186" s="45"/>
      <c r="I186" s="57"/>
      <c r="J186" s="66"/>
      <c r="K186" s="45"/>
      <c r="L186" s="57"/>
      <c r="M186" s="58"/>
      <c r="N186" s="48"/>
    </row>
    <row r="187" ht="23.25" customHeight="1">
      <c r="B187" s="34"/>
      <c r="C187" s="43"/>
      <c r="D187" s="61" t="s">
        <v>259</v>
      </c>
      <c r="E187" s="37"/>
      <c r="F187" s="43"/>
      <c r="G187" s="44" t="s">
        <v>212</v>
      </c>
      <c r="H187" s="45"/>
      <c r="I187" s="57"/>
      <c r="J187" s="66"/>
      <c r="K187" s="45"/>
      <c r="L187" s="57"/>
      <c r="M187" s="58"/>
      <c r="N187" s="48"/>
    </row>
    <row r="188" ht="23.25" customHeight="1">
      <c r="B188" s="34"/>
      <c r="C188" s="60"/>
      <c r="D188" s="63" t="s">
        <v>260</v>
      </c>
      <c r="E188" s="37"/>
      <c r="F188" s="49"/>
      <c r="G188" s="50" t="s">
        <v>214</v>
      </c>
      <c r="H188" s="45"/>
      <c r="I188" s="57"/>
      <c r="J188" s="66"/>
      <c r="K188" s="45"/>
      <c r="L188" s="57"/>
      <c r="M188" s="58"/>
      <c r="N188" s="48"/>
    </row>
    <row r="189" ht="23.25" customHeight="1">
      <c r="B189" s="34"/>
      <c r="C189" s="43"/>
      <c r="D189" s="61" t="s">
        <v>261</v>
      </c>
      <c r="E189" s="37"/>
      <c r="F189" s="43"/>
      <c r="G189" s="44" t="s">
        <v>215</v>
      </c>
      <c r="H189" s="45"/>
      <c r="I189" s="57"/>
      <c r="J189" s="66"/>
      <c r="K189" s="45"/>
      <c r="L189" s="57"/>
      <c r="M189" s="58"/>
      <c r="N189" s="48"/>
    </row>
    <row r="190" ht="23.25" customHeight="1">
      <c r="B190" s="34"/>
      <c r="C190" s="60"/>
      <c r="D190" s="63" t="s">
        <v>75</v>
      </c>
      <c r="E190" s="37"/>
      <c r="F190" s="49"/>
      <c r="G190" s="50" t="s">
        <v>60</v>
      </c>
      <c r="H190" s="45"/>
      <c r="I190" s="57"/>
      <c r="J190" s="66"/>
      <c r="K190" s="45"/>
      <c r="L190" s="57"/>
      <c r="M190" s="58"/>
      <c r="N190" s="48"/>
    </row>
    <row r="191" ht="23.25" customHeight="1">
      <c r="B191" s="34"/>
      <c r="C191" s="43"/>
      <c r="D191" s="61" t="s">
        <v>262</v>
      </c>
      <c r="E191" s="37"/>
      <c r="F191" s="43"/>
      <c r="G191" s="44" t="s">
        <v>216</v>
      </c>
      <c r="H191" s="45"/>
      <c r="I191" s="57"/>
      <c r="J191" s="66"/>
      <c r="K191" s="45"/>
      <c r="L191" s="57"/>
      <c r="M191" s="58"/>
      <c r="N191" s="48"/>
    </row>
    <row r="192" ht="23.25" customHeight="1">
      <c r="B192" s="34"/>
      <c r="C192" s="60"/>
      <c r="D192" s="63" t="s">
        <v>263</v>
      </c>
      <c r="E192" s="37"/>
      <c r="F192" s="49"/>
      <c r="G192" s="50" t="s">
        <v>217</v>
      </c>
      <c r="H192" s="45"/>
      <c r="I192" s="57"/>
      <c r="J192" s="66"/>
      <c r="K192" s="45"/>
      <c r="L192" s="57"/>
      <c r="M192" s="58"/>
      <c r="N192" s="48"/>
    </row>
    <row r="193" ht="23.25" customHeight="1">
      <c r="B193" s="34"/>
      <c r="C193" s="43"/>
      <c r="D193" s="61" t="s">
        <v>264</v>
      </c>
      <c r="E193" s="37"/>
      <c r="F193" s="43"/>
      <c r="G193" s="44" t="s">
        <v>219</v>
      </c>
      <c r="H193" s="45"/>
      <c r="I193" s="57"/>
      <c r="J193" s="66"/>
      <c r="K193" s="45"/>
      <c r="L193" s="57"/>
      <c r="M193" s="58"/>
      <c r="N193" s="48"/>
    </row>
    <row r="194" ht="23.25" customHeight="1">
      <c r="B194" s="34"/>
      <c r="C194" s="60"/>
      <c r="D194" s="63" t="s">
        <v>40</v>
      </c>
      <c r="E194" s="37"/>
      <c r="F194" s="49"/>
      <c r="G194" s="50" t="s">
        <v>34</v>
      </c>
      <c r="H194" s="45"/>
      <c r="I194" s="57"/>
      <c r="J194" s="66"/>
      <c r="K194" s="45"/>
      <c r="L194" s="57"/>
      <c r="M194" s="58"/>
      <c r="N194" s="48"/>
    </row>
    <row r="195" ht="23.25" customHeight="1">
      <c r="B195" s="34"/>
      <c r="C195" s="43"/>
      <c r="D195" s="61" t="s">
        <v>265</v>
      </c>
      <c r="E195" s="37"/>
      <c r="F195" s="43"/>
      <c r="G195" s="44" t="s">
        <v>61</v>
      </c>
      <c r="H195" s="45"/>
      <c r="I195" s="57"/>
      <c r="J195" s="66"/>
      <c r="K195" s="45"/>
      <c r="L195" s="57"/>
      <c r="M195" s="58"/>
      <c r="N195" s="48"/>
    </row>
    <row r="196" ht="23.25" customHeight="1">
      <c r="B196" s="34"/>
      <c r="C196" s="60"/>
      <c r="D196" s="63" t="s">
        <v>266</v>
      </c>
      <c r="E196" s="37"/>
      <c r="F196" s="49"/>
      <c r="G196" s="50" t="s">
        <v>37</v>
      </c>
      <c r="H196" s="45"/>
      <c r="I196" s="57"/>
      <c r="J196" s="66"/>
      <c r="K196" s="45"/>
      <c r="L196" s="57"/>
      <c r="M196" s="58"/>
      <c r="N196" s="48"/>
    </row>
    <row r="197" ht="23.25" customHeight="1">
      <c r="B197" s="34"/>
      <c r="C197" s="43"/>
      <c r="D197" s="61" t="s">
        <v>267</v>
      </c>
      <c r="E197" s="37"/>
      <c r="F197" s="43"/>
      <c r="G197" s="44" t="s">
        <v>221</v>
      </c>
      <c r="H197" s="45"/>
      <c r="I197" s="57"/>
      <c r="J197" s="66"/>
      <c r="K197" s="45"/>
      <c r="L197" s="57"/>
      <c r="M197" s="58"/>
      <c r="N197" s="48"/>
    </row>
    <row r="198" ht="23.25" customHeight="1">
      <c r="B198" s="34"/>
      <c r="C198" s="60"/>
      <c r="D198" s="63" t="s">
        <v>268</v>
      </c>
      <c r="E198" s="37"/>
      <c r="F198" s="49"/>
      <c r="G198" s="50" t="s">
        <v>269</v>
      </c>
      <c r="H198" s="45"/>
      <c r="I198" s="57"/>
      <c r="J198" s="66"/>
      <c r="K198" s="45"/>
      <c r="L198" s="57"/>
      <c r="M198" s="58"/>
      <c r="N198" s="48"/>
    </row>
    <row r="199" ht="23.25" customHeight="1">
      <c r="B199" s="34"/>
      <c r="C199" s="43"/>
      <c r="D199" s="61" t="s">
        <v>270</v>
      </c>
      <c r="E199" s="37"/>
      <c r="F199" s="43"/>
      <c r="G199" s="44" t="s">
        <v>271</v>
      </c>
      <c r="H199" s="45"/>
      <c r="I199" s="57"/>
      <c r="J199" s="66"/>
      <c r="K199" s="45"/>
      <c r="L199" s="57"/>
      <c r="M199" s="58"/>
      <c r="N199" s="48"/>
    </row>
    <row r="200" ht="23.25" customHeight="1">
      <c r="B200" s="34"/>
      <c r="C200" s="60"/>
      <c r="D200" s="63" t="s">
        <v>272</v>
      </c>
      <c r="E200" s="37"/>
      <c r="F200" s="49"/>
      <c r="G200" s="50" t="s">
        <v>63</v>
      </c>
      <c r="H200" s="45"/>
      <c r="I200" s="57"/>
      <c r="J200" s="66"/>
      <c r="K200" s="45"/>
      <c r="L200" s="57"/>
      <c r="M200" s="58"/>
      <c r="N200" s="48"/>
    </row>
    <row r="201" ht="23.25" customHeight="1">
      <c r="B201" s="34"/>
      <c r="C201" s="43"/>
      <c r="D201" s="61" t="s">
        <v>76</v>
      </c>
      <c r="E201" s="37"/>
      <c r="F201" s="43"/>
      <c r="G201" s="44" t="s">
        <v>223</v>
      </c>
      <c r="H201" s="45"/>
      <c r="I201" s="57"/>
      <c r="J201" s="66"/>
      <c r="K201" s="45"/>
      <c r="L201" s="57"/>
      <c r="M201" s="58"/>
      <c r="N201" s="48"/>
    </row>
    <row r="202" ht="23.25" customHeight="1">
      <c r="B202" s="34"/>
      <c r="C202" s="60"/>
      <c r="D202" s="63" t="s">
        <v>273</v>
      </c>
      <c r="E202" s="37"/>
      <c r="F202" s="49"/>
      <c r="G202" s="50" t="s">
        <v>274</v>
      </c>
      <c r="H202" s="45"/>
      <c r="I202" s="57"/>
      <c r="J202" s="66"/>
      <c r="K202" s="45"/>
      <c r="L202" s="57"/>
      <c r="M202" s="58"/>
      <c r="N202" s="48"/>
    </row>
    <row r="203" ht="23.25" customHeight="1">
      <c r="B203" s="34"/>
      <c r="C203" s="43"/>
      <c r="D203" s="61" t="s">
        <v>275</v>
      </c>
      <c r="E203" s="37"/>
      <c r="F203" s="43"/>
      <c r="G203" s="44" t="s">
        <v>224</v>
      </c>
      <c r="H203" s="45"/>
      <c r="I203" s="57"/>
      <c r="J203" s="66"/>
      <c r="K203" s="45"/>
      <c r="L203" s="57"/>
      <c r="M203" s="58"/>
      <c r="N203" s="48"/>
    </row>
    <row r="204" ht="23.25" customHeight="1">
      <c r="B204" s="34"/>
      <c r="C204" s="60"/>
      <c r="D204" s="63" t="s">
        <v>276</v>
      </c>
      <c r="E204" s="37"/>
      <c r="F204" s="49"/>
      <c r="G204" s="50" t="s">
        <v>277</v>
      </c>
      <c r="H204" s="45"/>
      <c r="I204" s="57"/>
      <c r="J204" s="66"/>
      <c r="K204" s="45"/>
      <c r="L204" s="57"/>
      <c r="M204" s="58"/>
      <c r="N204" s="48"/>
    </row>
    <row r="205" ht="23.25" customHeight="1">
      <c r="B205" s="34"/>
      <c r="C205" s="43"/>
      <c r="D205" s="61" t="s">
        <v>278</v>
      </c>
      <c r="E205" s="37"/>
      <c r="F205" s="43"/>
      <c r="G205" s="44" t="s">
        <v>66</v>
      </c>
      <c r="H205" s="45"/>
      <c r="I205" s="57"/>
      <c r="J205" s="66"/>
      <c r="K205" s="45"/>
      <c r="L205" s="57"/>
      <c r="M205" s="58"/>
      <c r="N205" s="48"/>
    </row>
    <row r="206" ht="23.25" customHeight="1">
      <c r="B206" s="34"/>
      <c r="C206" s="60"/>
      <c r="D206" s="63" t="s">
        <v>279</v>
      </c>
      <c r="E206" s="37"/>
      <c r="F206" s="49"/>
      <c r="G206" s="50" t="s">
        <v>225</v>
      </c>
      <c r="H206" s="45"/>
      <c r="I206" s="57"/>
      <c r="J206" s="66"/>
      <c r="K206" s="45"/>
      <c r="L206" s="57"/>
      <c r="M206" s="58"/>
      <c r="N206" s="48"/>
    </row>
    <row r="207" ht="23.25" customHeight="1">
      <c r="B207" s="34"/>
      <c r="C207" s="43"/>
      <c r="D207" s="61" t="s">
        <v>280</v>
      </c>
      <c r="E207" s="37"/>
      <c r="F207" s="43"/>
      <c r="G207" s="44" t="s">
        <v>226</v>
      </c>
      <c r="H207" s="45"/>
      <c r="I207" s="57"/>
      <c r="J207" s="66"/>
      <c r="K207" s="45"/>
      <c r="L207" s="57"/>
      <c r="M207" s="58"/>
      <c r="N207" s="48"/>
    </row>
    <row r="208" ht="23.25" customHeight="1">
      <c r="B208" s="34"/>
      <c r="C208" s="60"/>
      <c r="D208" s="63" t="s">
        <v>281</v>
      </c>
      <c r="E208" s="37"/>
      <c r="F208" s="49"/>
      <c r="G208" s="50" t="s">
        <v>227</v>
      </c>
      <c r="H208" s="45"/>
      <c r="I208" s="57"/>
      <c r="J208" s="66"/>
      <c r="K208" s="45"/>
      <c r="L208" s="57"/>
      <c r="M208" s="58"/>
      <c r="N208" s="48"/>
    </row>
    <row r="209" ht="23.25" customHeight="1">
      <c r="B209" s="34"/>
      <c r="C209" s="43"/>
      <c r="D209" s="61" t="s">
        <v>282</v>
      </c>
      <c r="E209" s="37"/>
      <c r="F209" s="43"/>
      <c r="G209" s="44" t="s">
        <v>228</v>
      </c>
      <c r="H209" s="45"/>
      <c r="I209" s="57"/>
      <c r="J209" s="66"/>
      <c r="K209" s="45"/>
      <c r="L209" s="57"/>
      <c r="M209" s="58"/>
      <c r="N209" s="48"/>
    </row>
    <row r="210" ht="23.25" customHeight="1">
      <c r="B210" s="34"/>
      <c r="C210" s="60"/>
      <c r="D210" s="63" t="s">
        <v>78</v>
      </c>
      <c r="E210" s="37"/>
      <c r="F210" s="60"/>
      <c r="G210" s="61" t="s">
        <v>283</v>
      </c>
      <c r="H210" s="45"/>
      <c r="I210" s="57"/>
      <c r="J210" s="66"/>
      <c r="K210" s="45"/>
      <c r="L210" s="57"/>
      <c r="M210" s="58"/>
      <c r="N210" s="48"/>
    </row>
    <row r="211" ht="23.25" customHeight="1">
      <c r="B211" s="34"/>
      <c r="C211" s="43"/>
      <c r="D211" s="61" t="s">
        <v>284</v>
      </c>
      <c r="E211" s="37"/>
      <c r="F211" s="43"/>
      <c r="G211" s="63" t="s">
        <v>229</v>
      </c>
      <c r="H211" s="45"/>
      <c r="I211" s="57"/>
      <c r="J211" s="66"/>
      <c r="K211" s="45"/>
      <c r="L211" s="57"/>
      <c r="M211" s="58"/>
      <c r="N211" s="48"/>
    </row>
    <row r="212" ht="23.25" customHeight="1">
      <c r="B212" s="34"/>
      <c r="C212" s="60"/>
      <c r="D212" s="63" t="s">
        <v>79</v>
      </c>
      <c r="E212" s="37"/>
      <c r="F212" s="60"/>
      <c r="G212" s="61" t="s">
        <v>285</v>
      </c>
      <c r="H212" s="45"/>
      <c r="I212" s="57"/>
      <c r="J212" s="66"/>
      <c r="K212" s="45"/>
      <c r="L212" s="57"/>
      <c r="M212" s="58"/>
      <c r="N212" s="48"/>
    </row>
    <row r="213" ht="23.25" customHeight="1">
      <c r="B213" s="34"/>
      <c r="C213" s="43"/>
      <c r="D213" s="61" t="s">
        <v>286</v>
      </c>
      <c r="E213" s="37"/>
      <c r="F213" s="43"/>
      <c r="G213" s="63" t="s">
        <v>230</v>
      </c>
      <c r="H213" s="45"/>
      <c r="I213" s="57"/>
      <c r="J213" s="66"/>
      <c r="K213" s="45"/>
      <c r="L213" s="57"/>
      <c r="M213" s="58"/>
      <c r="N213" s="48"/>
    </row>
    <row r="214" ht="23.25" customHeight="1">
      <c r="B214" s="34"/>
      <c r="C214" s="60"/>
      <c r="D214" s="63" t="s">
        <v>287</v>
      </c>
      <c r="E214" s="37"/>
      <c r="F214" s="60"/>
      <c r="G214" s="61" t="s">
        <v>288</v>
      </c>
      <c r="H214" s="45"/>
      <c r="I214" s="57"/>
      <c r="J214" s="66"/>
      <c r="K214" s="45"/>
      <c r="L214" s="57"/>
      <c r="M214" s="58"/>
      <c r="N214" s="48"/>
    </row>
    <row r="215" ht="23.25" customHeight="1">
      <c r="B215" s="34"/>
      <c r="C215" s="43"/>
      <c r="D215" s="61" t="s">
        <v>289</v>
      </c>
      <c r="E215" s="37"/>
      <c r="F215" s="43"/>
      <c r="G215" s="63" t="s">
        <v>231</v>
      </c>
      <c r="H215" s="45"/>
      <c r="I215" s="57"/>
      <c r="J215" s="66"/>
      <c r="K215" s="45"/>
      <c r="L215" s="57"/>
      <c r="M215" s="58"/>
      <c r="N215" s="48"/>
    </row>
    <row r="216" ht="23.25" customHeight="1">
      <c r="B216" s="34"/>
      <c r="C216" s="60"/>
      <c r="D216" s="63" t="s">
        <v>290</v>
      </c>
      <c r="E216" s="68"/>
      <c r="F216" s="60"/>
      <c r="G216" s="61" t="s">
        <v>232</v>
      </c>
      <c r="H216" s="37"/>
      <c r="I216" s="57"/>
      <c r="J216" s="66"/>
      <c r="K216" s="45"/>
      <c r="L216" s="57"/>
      <c r="M216" s="58"/>
      <c r="N216" s="48"/>
    </row>
    <row r="217" ht="23.25" customHeight="1">
      <c r="B217" s="34"/>
      <c r="C217" s="43"/>
      <c r="D217" s="61" t="s">
        <v>291</v>
      </c>
      <c r="E217" s="37"/>
      <c r="F217" s="43"/>
      <c r="G217" s="69" t="s">
        <v>68</v>
      </c>
      <c r="H217" s="45"/>
      <c r="I217" s="57"/>
      <c r="J217" s="66"/>
      <c r="K217" s="45"/>
      <c r="L217" s="57"/>
      <c r="M217" s="58"/>
      <c r="N217" s="48"/>
    </row>
    <row r="218" ht="23.25" customHeight="1">
      <c r="B218" s="34"/>
      <c r="C218" s="60"/>
      <c r="D218" s="63" t="s">
        <v>292</v>
      </c>
      <c r="E218" s="37"/>
      <c r="F218" s="60"/>
      <c r="G218" s="70" t="s">
        <v>235</v>
      </c>
      <c r="H218" s="45"/>
      <c r="I218" s="57"/>
      <c r="J218" s="66"/>
      <c r="K218" s="45"/>
      <c r="L218" s="57"/>
      <c r="M218" s="58"/>
      <c r="N218" s="48"/>
    </row>
    <row r="219" ht="23.25" customHeight="1">
      <c r="B219" s="34"/>
      <c r="C219" s="43"/>
      <c r="D219" s="61" t="s">
        <v>80</v>
      </c>
      <c r="E219" s="37"/>
      <c r="F219" s="43"/>
      <c r="G219" s="69" t="s">
        <v>236</v>
      </c>
      <c r="H219" s="45"/>
      <c r="I219" s="57"/>
      <c r="J219" s="66"/>
      <c r="K219" s="45"/>
      <c r="L219" s="57"/>
      <c r="M219" s="58"/>
      <c r="N219" s="48"/>
    </row>
    <row r="220" ht="23.25" customHeight="1">
      <c r="B220" s="34"/>
      <c r="C220" s="60"/>
      <c r="D220" s="63" t="s">
        <v>82</v>
      </c>
      <c r="E220" s="37"/>
      <c r="F220" s="60"/>
      <c r="G220" s="70" t="s">
        <v>237</v>
      </c>
      <c r="H220" s="45"/>
      <c r="I220" s="57"/>
      <c r="J220" s="66"/>
      <c r="K220" s="45"/>
      <c r="L220" s="57"/>
      <c r="M220" s="58"/>
      <c r="N220" s="48"/>
    </row>
    <row r="221" ht="23.25" customHeight="1">
      <c r="B221" s="34"/>
      <c r="C221" s="43"/>
      <c r="D221" s="61" t="s">
        <v>84</v>
      </c>
      <c r="E221" s="37"/>
      <c r="F221" s="43"/>
      <c r="G221" s="69" t="s">
        <v>293</v>
      </c>
      <c r="H221" s="45"/>
      <c r="I221" s="57"/>
      <c r="J221" s="66"/>
      <c r="K221" s="45"/>
      <c r="L221" s="57"/>
      <c r="M221" s="58"/>
      <c r="N221" s="48"/>
    </row>
    <row r="222" ht="23.25" customHeight="1">
      <c r="B222" s="34"/>
      <c r="C222" s="60"/>
      <c r="D222" s="63" t="s">
        <v>43</v>
      </c>
      <c r="E222" s="37"/>
      <c r="F222" s="60"/>
      <c r="G222" s="70" t="s">
        <v>70</v>
      </c>
      <c r="H222" s="45"/>
      <c r="I222" s="57"/>
      <c r="J222" s="66"/>
      <c r="K222" s="45"/>
      <c r="L222" s="57"/>
      <c r="M222" s="58"/>
      <c r="N222" s="48"/>
    </row>
    <row r="223" ht="23.25" customHeight="1">
      <c r="B223" s="34"/>
      <c r="C223" s="43"/>
      <c r="D223" s="61" t="s">
        <v>294</v>
      </c>
      <c r="E223" s="37"/>
      <c r="F223" s="43"/>
      <c r="G223" s="69" t="s">
        <v>295</v>
      </c>
      <c r="H223" s="45"/>
      <c r="I223" s="57"/>
      <c r="J223" s="66"/>
      <c r="K223" s="45"/>
      <c r="L223" s="57"/>
      <c r="M223" s="58"/>
      <c r="N223" s="48"/>
    </row>
    <row r="224" ht="23.25" customHeight="1">
      <c r="B224" s="34"/>
      <c r="C224" s="60"/>
      <c r="D224" s="63" t="s">
        <v>296</v>
      </c>
      <c r="E224" s="37"/>
      <c r="F224" s="60"/>
      <c r="G224" s="70" t="s">
        <v>297</v>
      </c>
      <c r="H224" s="45"/>
      <c r="I224" s="57"/>
      <c r="J224" s="66"/>
      <c r="K224" s="45"/>
      <c r="L224" s="57"/>
      <c r="M224" s="58"/>
      <c r="N224" s="48"/>
    </row>
    <row r="225" ht="23.25" customHeight="1">
      <c r="B225" s="34"/>
      <c r="C225" s="43"/>
      <c r="D225" s="61" t="s">
        <v>95</v>
      </c>
      <c r="E225" s="37"/>
      <c r="F225" s="43"/>
      <c r="G225" s="69" t="s">
        <v>238</v>
      </c>
      <c r="H225" s="45"/>
      <c r="I225" s="57"/>
      <c r="J225" s="66"/>
      <c r="K225" s="45"/>
      <c r="L225" s="57"/>
      <c r="M225" s="58"/>
      <c r="N225" s="48"/>
    </row>
    <row r="226" ht="23.25" customHeight="1">
      <c r="B226" s="34"/>
      <c r="C226" s="60"/>
      <c r="D226" s="63" t="s">
        <v>298</v>
      </c>
      <c r="E226" s="37"/>
      <c r="F226" s="60"/>
      <c r="G226" s="70" t="s">
        <v>299</v>
      </c>
      <c r="H226" s="45"/>
      <c r="I226" s="57"/>
      <c r="J226" s="66"/>
      <c r="K226" s="45"/>
      <c r="L226" s="57"/>
      <c r="M226" s="58"/>
      <c r="N226" s="48"/>
    </row>
    <row r="227" ht="23.25" customHeight="1">
      <c r="B227" s="34"/>
      <c r="C227" s="43"/>
      <c r="D227" s="61" t="s">
        <v>97</v>
      </c>
      <c r="E227" s="37"/>
      <c r="F227" s="43"/>
      <c r="G227" s="69" t="s">
        <v>72</v>
      </c>
      <c r="H227" s="45"/>
      <c r="I227" s="57"/>
      <c r="J227" s="66"/>
      <c r="K227" s="45"/>
      <c r="L227" s="57"/>
      <c r="M227" s="58"/>
      <c r="N227" s="48"/>
    </row>
    <row r="228" ht="23.25" customHeight="1">
      <c r="B228" s="34"/>
      <c r="C228" s="60"/>
      <c r="D228" s="63" t="s">
        <v>300</v>
      </c>
      <c r="E228" s="37"/>
      <c r="F228" s="60"/>
      <c r="G228" s="70" t="s">
        <v>240</v>
      </c>
      <c r="H228" s="45"/>
      <c r="I228" s="57"/>
      <c r="J228" s="66"/>
      <c r="K228" s="45"/>
      <c r="L228" s="57"/>
      <c r="M228" s="58"/>
      <c r="N228" s="48"/>
    </row>
    <row r="229" ht="23.25" customHeight="1">
      <c r="B229" s="34"/>
      <c r="C229" s="43"/>
      <c r="D229" s="61" t="s">
        <v>301</v>
      </c>
      <c r="E229" s="37"/>
      <c r="F229" s="43"/>
      <c r="G229" s="69" t="s">
        <v>241</v>
      </c>
      <c r="H229" s="45"/>
      <c r="I229" s="57"/>
      <c r="J229" s="66"/>
      <c r="K229" s="45"/>
      <c r="L229" s="57"/>
      <c r="M229" s="58"/>
      <c r="N229" s="48"/>
    </row>
    <row r="230" ht="23.25" customHeight="1">
      <c r="B230" s="34"/>
      <c r="C230" s="60"/>
      <c r="D230" s="63" t="s">
        <v>302</v>
      </c>
      <c r="E230" s="37"/>
      <c r="F230" s="60"/>
      <c r="G230" s="70" t="s">
        <v>242</v>
      </c>
      <c r="H230" s="45"/>
      <c r="I230" s="57"/>
      <c r="J230" s="66"/>
      <c r="K230" s="45"/>
      <c r="L230" s="57"/>
      <c r="M230" s="58"/>
      <c r="N230" s="48"/>
    </row>
    <row r="231" ht="23.25" customHeight="1">
      <c r="B231" s="34"/>
      <c r="C231" s="43"/>
      <c r="D231" s="61" t="s">
        <v>303</v>
      </c>
      <c r="E231" s="37"/>
      <c r="F231" s="43"/>
      <c r="G231" s="69" t="s">
        <v>243</v>
      </c>
      <c r="H231" s="45"/>
      <c r="I231" s="57"/>
      <c r="J231" s="66"/>
      <c r="K231" s="45"/>
      <c r="L231" s="57"/>
      <c r="M231" s="58"/>
      <c r="N231" s="48"/>
    </row>
    <row r="232" ht="23.25" customHeight="1">
      <c r="B232" s="34"/>
      <c r="C232" s="60"/>
      <c r="D232" s="63" t="s">
        <v>304</v>
      </c>
      <c r="E232" s="37"/>
      <c r="F232" s="60"/>
      <c r="G232" s="70" t="s">
        <v>244</v>
      </c>
      <c r="H232" s="45"/>
      <c r="I232" s="57"/>
      <c r="J232" s="66"/>
      <c r="K232" s="45"/>
      <c r="L232" s="57"/>
      <c r="M232" s="58"/>
      <c r="N232" s="48"/>
    </row>
    <row r="233" ht="23.25" customHeight="1">
      <c r="B233" s="34"/>
      <c r="C233" s="43"/>
      <c r="D233" s="61" t="s">
        <v>305</v>
      </c>
      <c r="E233" s="37"/>
      <c r="F233" s="43"/>
      <c r="G233" s="69" t="s">
        <v>245</v>
      </c>
      <c r="H233" s="45"/>
      <c r="I233" s="57"/>
      <c r="J233" s="66"/>
      <c r="K233" s="45"/>
      <c r="L233" s="57"/>
      <c r="M233" s="58"/>
      <c r="N233" s="48"/>
    </row>
    <row r="234" ht="23.25" customHeight="1">
      <c r="B234" s="34"/>
      <c r="C234" s="60"/>
      <c r="D234" s="63" t="s">
        <v>306</v>
      </c>
      <c r="E234" s="37"/>
      <c r="F234" s="60"/>
      <c r="G234" s="70" t="s">
        <v>307</v>
      </c>
      <c r="H234" s="45"/>
      <c r="I234" s="57"/>
      <c r="J234" s="66"/>
      <c r="K234" s="45"/>
      <c r="L234" s="57"/>
      <c r="M234" s="58"/>
      <c r="N234" s="48"/>
    </row>
    <row r="235" ht="23.25" customHeight="1">
      <c r="B235" s="34"/>
      <c r="C235" s="43"/>
      <c r="D235" s="61" t="s">
        <v>308</v>
      </c>
      <c r="E235" s="37"/>
      <c r="F235" s="43"/>
      <c r="G235" s="69" t="s">
        <v>246</v>
      </c>
      <c r="H235" s="45"/>
      <c r="I235" s="57"/>
      <c r="J235" s="66"/>
      <c r="K235" s="45"/>
      <c r="L235" s="57"/>
      <c r="M235" s="58"/>
      <c r="N235" s="48"/>
    </row>
    <row r="236" ht="23.25" customHeight="1">
      <c r="B236" s="34"/>
      <c r="C236" s="60"/>
      <c r="D236" s="63" t="s">
        <v>309</v>
      </c>
      <c r="E236" s="37"/>
      <c r="F236" s="60"/>
      <c r="G236" s="70" t="s">
        <v>248</v>
      </c>
      <c r="H236" s="45"/>
      <c r="I236" s="57"/>
      <c r="J236" s="66"/>
      <c r="K236" s="45"/>
      <c r="L236" s="57"/>
      <c r="M236" s="58"/>
      <c r="N236" s="48"/>
    </row>
    <row r="237" ht="23.25" customHeight="1">
      <c r="B237" s="34"/>
      <c r="C237" s="43"/>
      <c r="D237" s="61" t="s">
        <v>310</v>
      </c>
      <c r="E237" s="37"/>
      <c r="F237" s="43"/>
      <c r="G237" s="69" t="s">
        <v>311</v>
      </c>
      <c r="H237" s="45"/>
      <c r="I237" s="57"/>
      <c r="J237" s="66"/>
      <c r="K237" s="45"/>
      <c r="L237" s="57"/>
      <c r="M237" s="58"/>
      <c r="N237" s="48"/>
    </row>
    <row r="238" ht="23.25" customHeight="1">
      <c r="B238" s="34"/>
      <c r="C238" s="60"/>
      <c r="D238" s="63" t="s">
        <v>312</v>
      </c>
      <c r="E238" s="37"/>
      <c r="F238" s="60"/>
      <c r="G238" s="70" t="s">
        <v>249</v>
      </c>
      <c r="H238" s="45"/>
      <c r="I238" s="57"/>
      <c r="J238" s="66"/>
      <c r="K238" s="45"/>
      <c r="L238" s="57"/>
      <c r="M238" s="58"/>
      <c r="N238" s="48"/>
    </row>
    <row r="239" ht="23.25" customHeight="1">
      <c r="B239" s="34"/>
      <c r="C239" s="43"/>
      <c r="D239" s="61" t="s">
        <v>313</v>
      </c>
      <c r="E239" s="37"/>
      <c r="F239" s="43"/>
      <c r="G239" s="69" t="s">
        <v>251</v>
      </c>
      <c r="H239" s="45"/>
      <c r="I239" s="57"/>
      <c r="J239" s="66"/>
      <c r="K239" s="45"/>
      <c r="L239" s="57"/>
      <c r="M239" s="58"/>
      <c r="N239" s="48"/>
    </row>
    <row r="240" ht="23.25" customHeight="1">
      <c r="B240" s="34"/>
      <c r="C240" s="60"/>
      <c r="D240" s="63" t="s">
        <v>99</v>
      </c>
      <c r="E240" s="37"/>
      <c r="F240" s="60"/>
      <c r="G240" s="70" t="s">
        <v>314</v>
      </c>
      <c r="H240" s="45"/>
      <c r="I240" s="57"/>
      <c r="J240" s="66"/>
      <c r="K240" s="45"/>
      <c r="L240" s="57"/>
      <c r="M240" s="58"/>
      <c r="N240" s="48"/>
    </row>
    <row r="241" ht="23.25" customHeight="1">
      <c r="B241" s="34"/>
      <c r="C241" s="43"/>
      <c r="D241" s="61" t="s">
        <v>315</v>
      </c>
      <c r="E241" s="37"/>
      <c r="F241" s="43"/>
      <c r="G241" s="69" t="s">
        <v>252</v>
      </c>
      <c r="H241" s="45"/>
      <c r="I241" s="57"/>
      <c r="J241" s="66"/>
      <c r="K241" s="45"/>
      <c r="L241" s="57"/>
      <c r="M241" s="58"/>
      <c r="N241" s="48"/>
    </row>
    <row r="242" ht="23.25" customHeight="1">
      <c r="B242" s="34"/>
      <c r="C242" s="60"/>
      <c r="D242" s="63" t="s">
        <v>316</v>
      </c>
      <c r="E242" s="37"/>
      <c r="F242" s="60"/>
      <c r="G242" s="70" t="s">
        <v>254</v>
      </c>
      <c r="H242" s="45"/>
      <c r="I242" s="57"/>
      <c r="J242" s="66"/>
      <c r="K242" s="45"/>
      <c r="L242" s="57"/>
      <c r="M242" s="58"/>
      <c r="N242" s="48"/>
    </row>
    <row r="243" ht="23.25" customHeight="1">
      <c r="B243" s="34"/>
      <c r="C243" s="43"/>
      <c r="D243" s="61" t="s">
        <v>317</v>
      </c>
      <c r="E243" s="37"/>
      <c r="F243" s="43"/>
      <c r="G243" s="69" t="s">
        <v>318</v>
      </c>
      <c r="H243" s="45"/>
      <c r="I243" s="57"/>
      <c r="J243" s="66"/>
      <c r="K243" s="45"/>
      <c r="L243" s="57"/>
      <c r="M243" s="58"/>
      <c r="N243" s="48"/>
    </row>
    <row r="244" ht="23.25" customHeight="1">
      <c r="B244" s="34"/>
      <c r="C244" s="60"/>
      <c r="D244" s="63" t="s">
        <v>319</v>
      </c>
      <c r="E244" s="37"/>
      <c r="F244" s="60"/>
      <c r="G244" s="70" t="s">
        <v>255</v>
      </c>
      <c r="H244" s="45"/>
      <c r="I244" s="57"/>
      <c r="J244" s="66"/>
      <c r="K244" s="45"/>
      <c r="L244" s="57"/>
      <c r="M244" s="58"/>
      <c r="N244" s="48"/>
    </row>
    <row r="245" ht="23.25" customHeight="1">
      <c r="B245" s="34"/>
      <c r="C245" s="43"/>
      <c r="D245" s="61" t="s">
        <v>320</v>
      </c>
      <c r="E245" s="37"/>
      <c r="F245" s="43"/>
      <c r="G245" s="69" t="s">
        <v>256</v>
      </c>
      <c r="H245" s="45"/>
      <c r="I245" s="57"/>
      <c r="J245" s="66"/>
      <c r="K245" s="45"/>
      <c r="L245" s="57"/>
      <c r="M245" s="58"/>
      <c r="N245" s="48"/>
    </row>
    <row r="246" ht="23.25" customHeight="1">
      <c r="B246" s="34"/>
      <c r="C246" s="60"/>
      <c r="D246" s="63" t="s">
        <v>321</v>
      </c>
      <c r="E246" s="37"/>
      <c r="F246" s="60"/>
      <c r="G246" s="70" t="s">
        <v>322</v>
      </c>
      <c r="H246" s="45"/>
      <c r="I246" s="57"/>
      <c r="J246" s="66"/>
      <c r="K246" s="45"/>
      <c r="L246" s="57"/>
      <c r="M246" s="58"/>
      <c r="N246" s="48"/>
    </row>
    <row r="247" ht="23.25" customHeight="1">
      <c r="B247" s="34"/>
      <c r="C247" s="43"/>
      <c r="D247" s="61" t="s">
        <v>323</v>
      </c>
      <c r="E247" s="37"/>
      <c r="F247" s="43"/>
      <c r="G247" s="69" t="s">
        <v>258</v>
      </c>
      <c r="H247" s="45"/>
      <c r="I247" s="57"/>
      <c r="J247" s="66"/>
      <c r="K247" s="45"/>
      <c r="L247" s="57"/>
      <c r="M247" s="58"/>
      <c r="N247" s="48"/>
    </row>
    <row r="248" ht="23.25" customHeight="1">
      <c r="B248" s="34"/>
      <c r="C248" s="60"/>
      <c r="D248" s="63" t="s">
        <v>103</v>
      </c>
      <c r="E248" s="37"/>
      <c r="F248" s="60"/>
      <c r="G248" s="70" t="s">
        <v>259</v>
      </c>
      <c r="H248" s="45"/>
      <c r="I248" s="57"/>
      <c r="J248" s="66"/>
      <c r="K248" s="45"/>
      <c r="L248" s="57"/>
      <c r="M248" s="58"/>
      <c r="N248" s="48"/>
    </row>
    <row r="249" ht="23.25" customHeight="1">
      <c r="B249" s="34"/>
      <c r="C249" s="43"/>
      <c r="D249" s="61" t="s">
        <v>324</v>
      </c>
      <c r="E249" s="37"/>
      <c r="F249" s="43"/>
      <c r="G249" s="69" t="s">
        <v>260</v>
      </c>
      <c r="H249" s="45"/>
      <c r="I249" s="57"/>
      <c r="J249" s="66"/>
      <c r="K249" s="45"/>
      <c r="L249" s="57"/>
      <c r="M249" s="58"/>
      <c r="N249" s="48"/>
    </row>
    <row r="250" ht="23.25" customHeight="1">
      <c r="B250" s="34"/>
      <c r="C250" s="60"/>
      <c r="D250" s="63" t="s">
        <v>105</v>
      </c>
      <c r="E250" s="37"/>
      <c r="F250" s="60"/>
      <c r="G250" s="70" t="s">
        <v>261</v>
      </c>
      <c r="H250" s="45"/>
      <c r="I250" s="57"/>
      <c r="J250" s="66"/>
      <c r="K250" s="45"/>
      <c r="L250" s="57"/>
      <c r="M250" s="58"/>
      <c r="N250" s="48"/>
    </row>
    <row r="251" ht="23.25" customHeight="1">
      <c r="B251" s="34"/>
      <c r="C251" s="43"/>
      <c r="D251" s="61" t="s">
        <v>325</v>
      </c>
      <c r="E251" s="37"/>
      <c r="F251" s="43"/>
      <c r="G251" s="69" t="s">
        <v>75</v>
      </c>
      <c r="H251" s="45"/>
      <c r="I251" s="57"/>
      <c r="J251" s="66"/>
      <c r="K251" s="45"/>
      <c r="L251" s="57"/>
      <c r="M251" s="58"/>
      <c r="N251" s="48"/>
    </row>
    <row r="252" ht="23.25" customHeight="1">
      <c r="B252" s="34"/>
      <c r="C252" s="60"/>
      <c r="D252" s="63" t="s">
        <v>326</v>
      </c>
      <c r="E252" s="37"/>
      <c r="F252" s="60"/>
      <c r="G252" s="70" t="s">
        <v>327</v>
      </c>
      <c r="H252" s="45"/>
      <c r="I252" s="57"/>
      <c r="J252" s="66"/>
      <c r="K252" s="45"/>
      <c r="L252" s="57"/>
      <c r="M252" s="58"/>
      <c r="N252" s="48"/>
    </row>
    <row r="253" ht="23.25" customHeight="1">
      <c r="B253" s="34"/>
      <c r="C253" s="43"/>
      <c r="D253" s="61" t="s">
        <v>107</v>
      </c>
      <c r="E253" s="37"/>
      <c r="F253" s="43"/>
      <c r="G253" s="69" t="s">
        <v>262</v>
      </c>
      <c r="H253" s="45"/>
      <c r="I253" s="57"/>
      <c r="J253" s="66"/>
      <c r="K253" s="45"/>
      <c r="L253" s="57"/>
      <c r="M253" s="58"/>
      <c r="N253" s="48"/>
    </row>
    <row r="254" ht="23.25" customHeight="1">
      <c r="B254" s="34"/>
      <c r="C254" s="60"/>
      <c r="D254" s="63" t="s">
        <v>328</v>
      </c>
      <c r="E254" s="37"/>
      <c r="F254" s="60"/>
      <c r="G254" s="70" t="s">
        <v>329</v>
      </c>
      <c r="H254" s="45"/>
      <c r="I254" s="57"/>
      <c r="J254" s="66"/>
      <c r="K254" s="45"/>
      <c r="L254" s="57"/>
      <c r="M254" s="58"/>
      <c r="N254" s="48"/>
    </row>
    <row r="255" ht="23.25" customHeight="1">
      <c r="B255" s="34"/>
      <c r="C255" s="43"/>
      <c r="D255" s="61" t="s">
        <v>330</v>
      </c>
      <c r="E255" s="37"/>
      <c r="F255" s="43"/>
      <c r="G255" s="69" t="s">
        <v>263</v>
      </c>
      <c r="H255" s="45"/>
      <c r="I255" s="57"/>
      <c r="J255" s="66"/>
      <c r="K255" s="45"/>
      <c r="L255" s="57"/>
      <c r="M255" s="58"/>
      <c r="N255" s="48"/>
    </row>
    <row r="256" ht="23.25" customHeight="1">
      <c r="B256" s="34"/>
      <c r="C256" s="60"/>
      <c r="D256" s="63" t="s">
        <v>331</v>
      </c>
      <c r="E256" s="37"/>
      <c r="F256" s="60"/>
      <c r="G256" s="70" t="s">
        <v>264</v>
      </c>
      <c r="H256" s="45"/>
      <c r="I256" s="57"/>
      <c r="J256" s="66"/>
      <c r="K256" s="45"/>
      <c r="L256" s="57"/>
      <c r="M256" s="58"/>
      <c r="N256" s="48"/>
    </row>
    <row r="257" ht="23.25" customHeight="1">
      <c r="B257" s="34"/>
      <c r="C257" s="43"/>
      <c r="D257" s="61" t="s">
        <v>332</v>
      </c>
      <c r="E257" s="37"/>
      <c r="F257" s="43"/>
      <c r="G257" s="69" t="s">
        <v>40</v>
      </c>
      <c r="H257" s="37"/>
      <c r="I257" s="57"/>
      <c r="J257" s="66"/>
      <c r="K257" s="45"/>
      <c r="L257" s="57"/>
      <c r="M257" s="58"/>
      <c r="N257" s="48"/>
    </row>
    <row r="258" ht="23.25" customHeight="1">
      <c r="B258" s="71"/>
      <c r="C258" s="60"/>
      <c r="D258" s="63" t="s">
        <v>333</v>
      </c>
      <c r="E258" s="45"/>
      <c r="F258" s="60"/>
      <c r="G258" s="70" t="s">
        <v>265</v>
      </c>
      <c r="H258" s="45"/>
      <c r="I258" s="57"/>
      <c r="J258" s="66"/>
      <c r="K258" s="45"/>
      <c r="L258" s="57"/>
      <c r="M258" s="58"/>
      <c r="N258" s="48"/>
    </row>
    <row r="259" ht="23.25" customHeight="1">
      <c r="B259" s="72"/>
      <c r="C259" s="73"/>
      <c r="D259" s="74" t="s">
        <v>334</v>
      </c>
      <c r="E259" s="45"/>
      <c r="F259" s="43"/>
      <c r="G259" s="69" t="s">
        <v>266</v>
      </c>
      <c r="H259" s="45"/>
      <c r="I259" s="57"/>
      <c r="J259" s="66"/>
      <c r="K259" s="45"/>
      <c r="L259" s="57"/>
      <c r="M259" s="58"/>
      <c r="N259" s="48"/>
    </row>
    <row r="260" ht="23.25" customHeight="1">
      <c r="B260" s="75"/>
      <c r="C260" s="57"/>
      <c r="D260" s="76"/>
      <c r="E260" s="45"/>
      <c r="F260" s="60"/>
      <c r="G260" s="70" t="s">
        <v>267</v>
      </c>
      <c r="H260" s="45"/>
      <c r="I260" s="57"/>
      <c r="J260" s="66"/>
      <c r="K260" s="45"/>
      <c r="L260" s="57"/>
      <c r="M260" s="58"/>
      <c r="N260" s="48"/>
    </row>
    <row r="261" ht="23.25" customHeight="1">
      <c r="B261" s="75"/>
      <c r="C261" s="57"/>
      <c r="D261" s="76"/>
      <c r="E261" s="45"/>
      <c r="F261" s="43"/>
      <c r="G261" s="69" t="s">
        <v>268</v>
      </c>
      <c r="H261" s="45"/>
      <c r="I261" s="57"/>
      <c r="J261" s="66"/>
      <c r="K261" s="45"/>
      <c r="L261" s="57"/>
      <c r="M261" s="58"/>
      <c r="N261" s="48"/>
    </row>
    <row r="262" ht="23.25" customHeight="1">
      <c r="B262" s="75"/>
      <c r="C262" s="57"/>
      <c r="D262" s="76"/>
      <c r="E262" s="45"/>
      <c r="F262" s="60"/>
      <c r="G262" s="70" t="s">
        <v>270</v>
      </c>
      <c r="H262" s="45"/>
      <c r="I262" s="57"/>
      <c r="J262" s="66"/>
      <c r="K262" s="45"/>
      <c r="L262" s="57"/>
      <c r="M262" s="58"/>
      <c r="N262" s="48"/>
    </row>
    <row r="263" ht="23.25" customHeight="1">
      <c r="B263" s="75"/>
      <c r="C263" s="57"/>
      <c r="D263" s="76"/>
      <c r="E263" s="45"/>
      <c r="F263" s="43"/>
      <c r="G263" s="69" t="s">
        <v>272</v>
      </c>
      <c r="H263" s="45"/>
      <c r="I263" s="57"/>
      <c r="J263" s="66"/>
      <c r="K263" s="45"/>
      <c r="L263" s="57"/>
      <c r="M263" s="58"/>
      <c r="N263" s="48"/>
    </row>
    <row r="264" ht="23.25" customHeight="1">
      <c r="B264" s="75"/>
      <c r="C264" s="57"/>
      <c r="D264" s="76"/>
      <c r="E264" s="45"/>
      <c r="F264" s="60"/>
      <c r="G264" s="70" t="s">
        <v>76</v>
      </c>
      <c r="H264" s="45"/>
      <c r="I264" s="57"/>
      <c r="J264" s="66"/>
      <c r="K264" s="45"/>
      <c r="L264" s="57"/>
      <c r="M264" s="58"/>
      <c r="N264" s="48"/>
    </row>
    <row r="265" ht="23.25" customHeight="1">
      <c r="B265" s="75"/>
      <c r="C265" s="57"/>
      <c r="D265" s="66"/>
      <c r="E265" s="45"/>
      <c r="F265" s="43"/>
      <c r="G265" s="69" t="s">
        <v>335</v>
      </c>
      <c r="H265" s="45"/>
      <c r="I265" s="57"/>
      <c r="J265" s="66"/>
      <c r="K265" s="45"/>
      <c r="L265" s="57"/>
      <c r="M265" s="58"/>
      <c r="N265" s="48"/>
    </row>
    <row r="266" ht="23.25" customHeight="1">
      <c r="B266" s="75"/>
      <c r="C266" s="57"/>
      <c r="D266" s="76"/>
      <c r="E266" s="45"/>
      <c r="F266" s="60"/>
      <c r="G266" s="70" t="s">
        <v>273</v>
      </c>
      <c r="H266" s="45"/>
      <c r="I266" s="57"/>
      <c r="J266" s="66"/>
      <c r="K266" s="45"/>
      <c r="L266" s="57"/>
      <c r="M266" s="58"/>
      <c r="N266" s="48"/>
    </row>
    <row r="267" ht="23.25" customHeight="1">
      <c r="B267" s="75"/>
      <c r="C267" s="57"/>
      <c r="D267" s="76"/>
      <c r="E267" s="45"/>
      <c r="F267" s="43"/>
      <c r="G267" s="69" t="s">
        <v>275</v>
      </c>
      <c r="H267" s="45"/>
      <c r="I267" s="57"/>
      <c r="J267" s="66"/>
      <c r="K267" s="45"/>
      <c r="L267" s="57"/>
      <c r="M267" s="58"/>
      <c r="N267" s="48"/>
    </row>
    <row r="268" ht="23.25" customHeight="1">
      <c r="B268" s="75"/>
      <c r="C268" s="57"/>
      <c r="D268" s="76"/>
      <c r="E268" s="45"/>
      <c r="F268" s="60"/>
      <c r="G268" s="70" t="s">
        <v>276</v>
      </c>
      <c r="H268" s="45"/>
      <c r="I268" s="57"/>
      <c r="J268" s="66"/>
      <c r="K268" s="45"/>
      <c r="L268" s="57"/>
      <c r="M268" s="58"/>
      <c r="N268" s="48"/>
    </row>
    <row r="269" ht="23.25" customHeight="1">
      <c r="B269" s="75"/>
      <c r="C269" s="57"/>
      <c r="D269" s="76"/>
      <c r="E269" s="45"/>
      <c r="F269" s="43"/>
      <c r="G269" s="69" t="s">
        <v>278</v>
      </c>
      <c r="H269" s="45"/>
      <c r="I269" s="57"/>
      <c r="J269" s="66"/>
      <c r="K269" s="45"/>
      <c r="L269" s="57"/>
      <c r="M269" s="58"/>
      <c r="N269" s="48"/>
    </row>
    <row r="270" ht="23.25" customHeight="1">
      <c r="B270" s="75"/>
      <c r="C270" s="57"/>
      <c r="D270" s="76"/>
      <c r="E270" s="45"/>
      <c r="F270" s="60"/>
      <c r="G270" s="70" t="s">
        <v>279</v>
      </c>
      <c r="H270" s="45"/>
      <c r="I270" s="57"/>
      <c r="J270" s="66"/>
      <c r="K270" s="45"/>
      <c r="L270" s="57"/>
      <c r="M270" s="58"/>
      <c r="N270" s="48"/>
    </row>
    <row r="271" ht="23.25" customHeight="1">
      <c r="B271" s="75"/>
      <c r="C271" s="57"/>
      <c r="D271" s="76"/>
      <c r="E271" s="45"/>
      <c r="F271" s="43"/>
      <c r="G271" s="61" t="s">
        <v>280</v>
      </c>
      <c r="H271" s="45"/>
      <c r="I271" s="57"/>
      <c r="J271" s="66"/>
      <c r="K271" s="45"/>
      <c r="L271" s="57"/>
      <c r="M271" s="58"/>
      <c r="N271" s="48"/>
    </row>
    <row r="272" ht="23.25" customHeight="1">
      <c r="B272" s="75"/>
      <c r="C272" s="57"/>
      <c r="D272" s="76"/>
      <c r="E272" s="45"/>
      <c r="F272" s="60"/>
      <c r="G272" s="70" t="s">
        <v>336</v>
      </c>
      <c r="H272" s="45"/>
      <c r="I272" s="57"/>
      <c r="J272" s="66"/>
      <c r="K272" s="45"/>
      <c r="L272" s="57"/>
      <c r="M272" s="58"/>
      <c r="N272" s="48"/>
    </row>
    <row r="273" ht="23.25" customHeight="1">
      <c r="B273" s="75"/>
      <c r="C273" s="57"/>
      <c r="D273" s="76"/>
      <c r="E273" s="45"/>
      <c r="F273" s="43"/>
      <c r="G273" s="61" t="s">
        <v>281</v>
      </c>
      <c r="H273" s="45"/>
      <c r="I273" s="57"/>
      <c r="J273" s="66"/>
      <c r="K273" s="45"/>
      <c r="L273" s="57"/>
      <c r="M273" s="58"/>
      <c r="N273" s="48"/>
    </row>
    <row r="274" ht="23.25" customHeight="1">
      <c r="B274" s="75"/>
      <c r="C274" s="57"/>
      <c r="D274" s="76"/>
      <c r="E274" s="45"/>
      <c r="F274" s="60"/>
      <c r="G274" s="70" t="s">
        <v>337</v>
      </c>
      <c r="H274" s="45"/>
      <c r="I274" s="57"/>
      <c r="J274" s="66"/>
      <c r="K274" s="45"/>
      <c r="L274" s="57"/>
      <c r="M274" s="58"/>
      <c r="N274" s="48"/>
    </row>
    <row r="275" ht="23.25" customHeight="1">
      <c r="B275" s="75"/>
      <c r="C275" s="57"/>
      <c r="D275" s="76"/>
      <c r="E275" s="45"/>
      <c r="F275" s="43"/>
      <c r="G275" s="61" t="s">
        <v>338</v>
      </c>
      <c r="H275" s="45"/>
      <c r="I275" s="57"/>
      <c r="J275" s="66"/>
      <c r="K275" s="45"/>
      <c r="L275" s="57"/>
      <c r="M275" s="58"/>
      <c r="N275" s="48"/>
    </row>
    <row r="276" ht="23.25" customHeight="1">
      <c r="B276" s="75"/>
      <c r="C276" s="57"/>
      <c r="D276" s="76"/>
      <c r="E276" s="45"/>
      <c r="F276" s="60"/>
      <c r="G276" s="70" t="s">
        <v>282</v>
      </c>
      <c r="H276" s="45"/>
      <c r="I276" s="57"/>
      <c r="J276" s="66"/>
      <c r="K276" s="45"/>
      <c r="L276" s="57"/>
      <c r="M276" s="58"/>
      <c r="N276" s="48"/>
    </row>
    <row r="277" ht="23.25" customHeight="1">
      <c r="B277" s="75"/>
      <c r="C277" s="57"/>
      <c r="D277" s="76"/>
      <c r="E277" s="45"/>
      <c r="F277" s="43"/>
      <c r="G277" s="61" t="s">
        <v>78</v>
      </c>
      <c r="H277" s="45"/>
      <c r="I277" s="57"/>
      <c r="J277" s="66"/>
      <c r="K277" s="45"/>
      <c r="L277" s="57"/>
      <c r="M277" s="58"/>
      <c r="N277" s="48"/>
    </row>
    <row r="278" ht="23.25" customHeight="1">
      <c r="B278" s="75"/>
      <c r="C278" s="57"/>
      <c r="D278" s="76"/>
      <c r="E278" s="45"/>
      <c r="F278" s="60"/>
      <c r="G278" s="70" t="s">
        <v>284</v>
      </c>
      <c r="H278" s="45"/>
      <c r="I278" s="57"/>
      <c r="J278" s="66"/>
      <c r="K278" s="45"/>
      <c r="L278" s="57"/>
      <c r="M278" s="58"/>
      <c r="N278" s="48"/>
    </row>
    <row r="279" ht="23.25" customHeight="1">
      <c r="B279" s="75"/>
      <c r="C279" s="57"/>
      <c r="D279" s="76"/>
      <c r="E279" s="45"/>
      <c r="F279" s="43"/>
      <c r="G279" s="61" t="s">
        <v>79</v>
      </c>
      <c r="H279" s="45"/>
      <c r="I279" s="57"/>
      <c r="J279" s="66"/>
      <c r="K279" s="45"/>
      <c r="L279" s="57"/>
      <c r="M279" s="58"/>
      <c r="N279" s="48"/>
    </row>
    <row r="280" ht="23.25" customHeight="1">
      <c r="B280" s="75"/>
      <c r="C280" s="57"/>
      <c r="D280" s="76"/>
      <c r="E280" s="45"/>
      <c r="F280" s="60"/>
      <c r="G280" s="70" t="s">
        <v>286</v>
      </c>
      <c r="H280" s="45"/>
      <c r="I280" s="57"/>
      <c r="J280" s="66"/>
      <c r="K280" s="45"/>
      <c r="L280" s="57"/>
      <c r="M280" s="58"/>
      <c r="N280" s="48"/>
    </row>
    <row r="281" ht="23.25" customHeight="1">
      <c r="B281" s="75"/>
      <c r="C281" s="57"/>
      <c r="D281" s="76"/>
      <c r="E281" s="45"/>
      <c r="F281" s="43"/>
      <c r="G281" s="61" t="s">
        <v>287</v>
      </c>
      <c r="H281" s="45"/>
      <c r="I281" s="57"/>
      <c r="J281" s="66"/>
      <c r="K281" s="45"/>
      <c r="L281" s="57"/>
      <c r="M281" s="58"/>
      <c r="N281" s="48"/>
    </row>
    <row r="282" ht="23.25" customHeight="1">
      <c r="B282" s="75"/>
      <c r="C282" s="57"/>
      <c r="D282" s="76"/>
      <c r="E282" s="45"/>
      <c r="F282" s="60"/>
      <c r="G282" s="70" t="s">
        <v>289</v>
      </c>
      <c r="H282" s="45"/>
      <c r="I282" s="57"/>
      <c r="J282" s="66"/>
      <c r="K282" s="45"/>
      <c r="L282" s="57"/>
      <c r="M282" s="58"/>
      <c r="N282" s="48"/>
    </row>
    <row r="283" ht="23.25" customHeight="1">
      <c r="B283" s="75"/>
      <c r="C283" s="57"/>
      <c r="D283" s="76"/>
      <c r="E283" s="45"/>
      <c r="F283" s="43"/>
      <c r="G283" s="61" t="s">
        <v>339</v>
      </c>
      <c r="H283" s="45"/>
      <c r="I283" s="57"/>
      <c r="J283" s="66"/>
      <c r="K283" s="45"/>
      <c r="L283" s="57"/>
      <c r="M283" s="58"/>
      <c r="N283" s="48"/>
    </row>
    <row r="284" ht="23.25" customHeight="1">
      <c r="B284" s="75"/>
      <c r="C284" s="57"/>
      <c r="D284" s="76"/>
      <c r="E284" s="45"/>
      <c r="F284" s="60"/>
      <c r="G284" s="70" t="s">
        <v>290</v>
      </c>
      <c r="H284" s="45"/>
      <c r="I284" s="57"/>
      <c r="J284" s="66"/>
      <c r="K284" s="45"/>
      <c r="L284" s="57"/>
      <c r="M284" s="58"/>
      <c r="N284" s="48"/>
    </row>
    <row r="285" ht="23.25" customHeight="1">
      <c r="B285" s="75"/>
      <c r="C285" s="57"/>
      <c r="D285" s="76"/>
      <c r="E285" s="45"/>
      <c r="F285" s="43"/>
      <c r="G285" s="61" t="s">
        <v>340</v>
      </c>
      <c r="H285" s="45"/>
      <c r="I285" s="57"/>
      <c r="J285" s="66"/>
      <c r="K285" s="45"/>
      <c r="L285" s="57"/>
      <c r="M285" s="58"/>
      <c r="N285" s="48"/>
    </row>
    <row r="286" ht="23.25" customHeight="1">
      <c r="B286" s="75"/>
      <c r="C286" s="57"/>
      <c r="D286" s="76"/>
      <c r="E286" s="45"/>
      <c r="F286" s="60"/>
      <c r="G286" s="70" t="s">
        <v>341</v>
      </c>
      <c r="H286" s="45"/>
      <c r="I286" s="57"/>
      <c r="J286" s="66"/>
      <c r="K286" s="45"/>
      <c r="L286" s="57"/>
      <c r="M286" s="58"/>
      <c r="N286" s="48"/>
    </row>
    <row r="287" ht="23.25" customHeight="1">
      <c r="B287" s="75"/>
      <c r="C287" s="57"/>
      <c r="D287" s="76"/>
      <c r="E287" s="45"/>
      <c r="F287" s="43"/>
      <c r="G287" s="61" t="s">
        <v>291</v>
      </c>
      <c r="H287" s="45"/>
      <c r="I287" s="57"/>
      <c r="J287" s="66"/>
      <c r="K287" s="45"/>
      <c r="L287" s="57"/>
      <c r="M287" s="58"/>
      <c r="N287" s="48"/>
    </row>
    <row r="288" ht="23.25" customHeight="1">
      <c r="B288" s="75"/>
      <c r="C288" s="57"/>
      <c r="D288" s="76"/>
      <c r="E288" s="45"/>
      <c r="F288" s="60"/>
      <c r="G288" s="70" t="s">
        <v>292</v>
      </c>
      <c r="H288" s="45"/>
      <c r="I288" s="57"/>
      <c r="J288" s="66"/>
      <c r="K288" s="45"/>
      <c r="L288" s="57"/>
      <c r="M288" s="58"/>
      <c r="N288" s="48"/>
    </row>
    <row r="289" ht="23.25" customHeight="1">
      <c r="B289" s="75"/>
      <c r="C289" s="57"/>
      <c r="D289" s="76"/>
      <c r="E289" s="45"/>
      <c r="F289" s="43"/>
      <c r="G289" s="61" t="s">
        <v>80</v>
      </c>
      <c r="H289" s="45"/>
      <c r="I289" s="57"/>
      <c r="J289" s="66"/>
      <c r="K289" s="45"/>
      <c r="L289" s="57"/>
      <c r="M289" s="58"/>
      <c r="N289" s="48"/>
    </row>
    <row r="290" ht="23.25" customHeight="1">
      <c r="B290" s="75"/>
      <c r="C290" s="57"/>
      <c r="D290" s="76"/>
      <c r="E290" s="45"/>
      <c r="F290" s="60"/>
      <c r="G290" s="70" t="s">
        <v>82</v>
      </c>
      <c r="H290" s="45"/>
      <c r="I290" s="57"/>
      <c r="J290" s="66"/>
      <c r="K290" s="45"/>
      <c r="L290" s="57"/>
      <c r="M290" s="58"/>
      <c r="N290" s="48"/>
    </row>
    <row r="291" ht="23.25" customHeight="1">
      <c r="B291" s="75"/>
      <c r="C291" s="57"/>
      <c r="D291" s="76"/>
      <c r="E291" s="45"/>
      <c r="F291" s="43"/>
      <c r="G291" s="61" t="s">
        <v>84</v>
      </c>
      <c r="H291" s="45"/>
      <c r="I291" s="57"/>
      <c r="J291" s="66"/>
      <c r="K291" s="45"/>
      <c r="L291" s="57"/>
      <c r="M291" s="58"/>
      <c r="N291" s="48"/>
    </row>
    <row r="292" ht="23.25" customHeight="1">
      <c r="B292" s="75"/>
      <c r="C292" s="57"/>
      <c r="D292" s="76"/>
      <c r="E292" s="45"/>
      <c r="F292" s="60"/>
      <c r="G292" s="70" t="s">
        <v>87</v>
      </c>
      <c r="H292" s="45"/>
      <c r="I292" s="57"/>
      <c r="J292" s="66"/>
      <c r="K292" s="45"/>
      <c r="L292" s="57"/>
      <c r="M292" s="58"/>
      <c r="N292" s="48"/>
    </row>
    <row r="293" ht="23.25" customHeight="1">
      <c r="B293" s="75"/>
      <c r="C293" s="57"/>
      <c r="D293" s="76"/>
      <c r="E293" s="45"/>
      <c r="F293" s="43"/>
      <c r="G293" s="61" t="s">
        <v>342</v>
      </c>
      <c r="H293" s="45"/>
      <c r="I293" s="57"/>
      <c r="J293" s="66"/>
      <c r="K293" s="45"/>
      <c r="L293" s="57"/>
      <c r="M293" s="58"/>
      <c r="N293" s="48"/>
    </row>
    <row r="294" ht="23.25" customHeight="1">
      <c r="B294" s="75"/>
      <c r="C294" s="57"/>
      <c r="D294" s="76"/>
      <c r="E294" s="45"/>
      <c r="F294" s="60"/>
      <c r="G294" s="70" t="s">
        <v>90</v>
      </c>
      <c r="H294" s="45"/>
      <c r="I294" s="57"/>
      <c r="J294" s="66"/>
      <c r="K294" s="45"/>
      <c r="L294" s="57"/>
      <c r="M294" s="58"/>
      <c r="N294" s="48"/>
    </row>
    <row r="295" ht="23.25" customHeight="1">
      <c r="B295" s="75"/>
      <c r="C295" s="57"/>
      <c r="D295" s="76"/>
      <c r="E295" s="45"/>
      <c r="F295" s="43"/>
      <c r="G295" s="61" t="s">
        <v>92</v>
      </c>
      <c r="H295" s="45"/>
      <c r="I295" s="57"/>
      <c r="J295" s="66"/>
      <c r="K295" s="45"/>
      <c r="L295" s="57"/>
      <c r="M295" s="58"/>
      <c r="N295" s="48"/>
    </row>
    <row r="296" ht="23.25" customHeight="1">
      <c r="B296" s="75"/>
      <c r="C296" s="57"/>
      <c r="D296" s="76"/>
      <c r="E296" s="45"/>
      <c r="F296" s="60"/>
      <c r="G296" s="70" t="s">
        <v>43</v>
      </c>
      <c r="H296" s="45"/>
      <c r="I296" s="57"/>
      <c r="J296" s="66"/>
      <c r="K296" s="45"/>
      <c r="L296" s="57"/>
      <c r="M296" s="58"/>
      <c r="N296" s="48"/>
    </row>
    <row r="297" ht="23.25" customHeight="1">
      <c r="B297" s="75"/>
      <c r="C297" s="57"/>
      <c r="D297" s="76"/>
      <c r="E297" s="45"/>
      <c r="F297" s="43"/>
      <c r="G297" s="61" t="s">
        <v>294</v>
      </c>
      <c r="H297" s="45"/>
      <c r="I297" s="57"/>
      <c r="J297" s="66"/>
      <c r="K297" s="45"/>
      <c r="L297" s="57"/>
      <c r="M297" s="58"/>
      <c r="N297" s="48"/>
    </row>
    <row r="298" ht="23.25" customHeight="1">
      <c r="B298" s="75"/>
      <c r="C298" s="57"/>
      <c r="D298" s="76"/>
      <c r="E298" s="45"/>
      <c r="F298" s="60"/>
      <c r="G298" s="70" t="s">
        <v>343</v>
      </c>
      <c r="H298" s="45"/>
      <c r="I298" s="57"/>
      <c r="J298" s="66"/>
      <c r="K298" s="45"/>
      <c r="L298" s="57"/>
      <c r="M298" s="58"/>
      <c r="N298" s="48"/>
    </row>
    <row r="299" ht="23.25" customHeight="1">
      <c r="B299" s="75"/>
      <c r="C299" s="57"/>
      <c r="D299" s="76"/>
      <c r="E299" s="45"/>
      <c r="F299" s="43"/>
      <c r="G299" s="61" t="s">
        <v>296</v>
      </c>
      <c r="H299" s="45"/>
      <c r="I299" s="57"/>
      <c r="J299" s="66"/>
      <c r="K299" s="45"/>
      <c r="L299" s="57"/>
      <c r="M299" s="58"/>
      <c r="N299" s="48"/>
    </row>
    <row r="300" ht="23.25" customHeight="1">
      <c r="B300" s="75"/>
      <c r="C300" s="57"/>
      <c r="D300" s="76"/>
      <c r="E300" s="45"/>
      <c r="F300" s="60"/>
      <c r="G300" s="70" t="s">
        <v>95</v>
      </c>
      <c r="H300" s="45"/>
      <c r="I300" s="57"/>
      <c r="J300" s="66"/>
      <c r="K300" s="45"/>
      <c r="L300" s="57"/>
      <c r="M300" s="58"/>
      <c r="N300" s="48"/>
    </row>
    <row r="301" ht="23.25" customHeight="1">
      <c r="B301" s="75"/>
      <c r="C301" s="57"/>
      <c r="D301" s="76"/>
      <c r="E301" s="45"/>
      <c r="F301" s="43"/>
      <c r="G301" s="61" t="s">
        <v>298</v>
      </c>
      <c r="H301" s="45"/>
      <c r="I301" s="57"/>
      <c r="J301" s="66"/>
      <c r="K301" s="45"/>
      <c r="L301" s="57"/>
      <c r="M301" s="58"/>
      <c r="N301" s="48"/>
    </row>
    <row r="302" ht="23.25" customHeight="1">
      <c r="B302" s="75"/>
      <c r="C302" s="57"/>
      <c r="D302" s="76"/>
      <c r="E302" s="45"/>
      <c r="F302" s="60"/>
      <c r="G302" s="70" t="s">
        <v>97</v>
      </c>
      <c r="H302" s="45"/>
      <c r="I302" s="57"/>
      <c r="J302" s="66"/>
      <c r="K302" s="45"/>
      <c r="L302" s="57"/>
      <c r="M302" s="58"/>
      <c r="N302" s="48"/>
    </row>
    <row r="303" ht="23.25" customHeight="1">
      <c r="B303" s="75"/>
      <c r="C303" s="57"/>
      <c r="D303" s="76"/>
      <c r="E303" s="45"/>
      <c r="F303" s="43"/>
      <c r="G303" s="61" t="s">
        <v>344</v>
      </c>
      <c r="H303" s="45"/>
      <c r="I303" s="57"/>
      <c r="J303" s="66"/>
      <c r="K303" s="45"/>
      <c r="L303" s="57"/>
      <c r="M303" s="58"/>
      <c r="N303" s="48"/>
    </row>
    <row r="304" ht="23.25" customHeight="1">
      <c r="B304" s="75"/>
      <c r="C304" s="57"/>
      <c r="D304" s="76"/>
      <c r="E304" s="45"/>
      <c r="F304" s="60"/>
      <c r="G304" s="70" t="s">
        <v>300</v>
      </c>
      <c r="H304" s="45"/>
      <c r="I304" s="57"/>
      <c r="J304" s="66"/>
      <c r="K304" s="45"/>
      <c r="L304" s="57"/>
      <c r="M304" s="58"/>
      <c r="N304" s="48"/>
    </row>
    <row r="305" ht="23.25" customHeight="1">
      <c r="B305" s="75"/>
      <c r="C305" s="57"/>
      <c r="D305" s="76"/>
      <c r="E305" s="45"/>
      <c r="F305" s="43"/>
      <c r="G305" s="61" t="s">
        <v>301</v>
      </c>
      <c r="H305" s="45"/>
      <c r="I305" s="57"/>
      <c r="J305" s="66"/>
      <c r="K305" s="45"/>
      <c r="L305" s="57"/>
      <c r="M305" s="58"/>
      <c r="N305" s="48"/>
    </row>
    <row r="306" ht="23.25" customHeight="1">
      <c r="B306" s="75"/>
      <c r="C306" s="57"/>
      <c r="D306" s="76"/>
      <c r="E306" s="45"/>
      <c r="F306" s="60"/>
      <c r="G306" s="70" t="s">
        <v>345</v>
      </c>
      <c r="H306" s="45"/>
      <c r="I306" s="57"/>
      <c r="J306" s="66"/>
      <c r="K306" s="45"/>
      <c r="L306" s="57"/>
      <c r="M306" s="58"/>
      <c r="N306" s="48"/>
    </row>
    <row r="307" ht="23.25" customHeight="1">
      <c r="B307" s="75"/>
      <c r="C307" s="57"/>
      <c r="D307" s="76"/>
      <c r="E307" s="45"/>
      <c r="F307" s="43"/>
      <c r="G307" s="61" t="s">
        <v>302</v>
      </c>
      <c r="H307" s="45"/>
      <c r="I307" s="57"/>
      <c r="J307" s="66"/>
      <c r="K307" s="45"/>
      <c r="L307" s="57"/>
      <c r="M307" s="58"/>
      <c r="N307" s="48"/>
    </row>
    <row r="308" ht="23.25" customHeight="1">
      <c r="B308" s="75"/>
      <c r="C308" s="57"/>
      <c r="D308" s="76"/>
      <c r="E308" s="45"/>
      <c r="F308" s="60"/>
      <c r="G308" s="70" t="s">
        <v>303</v>
      </c>
      <c r="H308" s="45"/>
      <c r="I308" s="57"/>
      <c r="J308" s="66"/>
      <c r="K308" s="45"/>
      <c r="L308" s="57"/>
      <c r="M308" s="58"/>
      <c r="N308" s="48"/>
    </row>
    <row r="309" ht="23.25" customHeight="1">
      <c r="B309" s="75"/>
      <c r="C309" s="57"/>
      <c r="D309" s="76"/>
      <c r="E309" s="45"/>
      <c r="F309" s="43"/>
      <c r="G309" s="61" t="s">
        <v>304</v>
      </c>
      <c r="H309" s="45"/>
      <c r="I309" s="57"/>
      <c r="J309" s="66"/>
      <c r="K309" s="45"/>
      <c r="L309" s="57"/>
      <c r="M309" s="58"/>
      <c r="N309" s="48"/>
    </row>
    <row r="310" ht="23.25" customHeight="1">
      <c r="B310" s="75"/>
      <c r="C310" s="57"/>
      <c r="D310" s="76"/>
      <c r="E310" s="45"/>
      <c r="F310" s="60"/>
      <c r="G310" s="70" t="s">
        <v>305</v>
      </c>
      <c r="H310" s="45"/>
      <c r="I310" s="57"/>
      <c r="J310" s="66"/>
      <c r="K310" s="45"/>
      <c r="L310" s="57"/>
      <c r="M310" s="58"/>
      <c r="N310" s="48"/>
    </row>
    <row r="311" ht="23.25" customHeight="1">
      <c r="B311" s="75"/>
      <c r="C311" s="57"/>
      <c r="D311" s="76"/>
      <c r="E311" s="45"/>
      <c r="F311" s="43"/>
      <c r="G311" s="61" t="s">
        <v>346</v>
      </c>
      <c r="H311" s="45"/>
      <c r="I311" s="57"/>
      <c r="J311" s="66"/>
      <c r="K311" s="45"/>
      <c r="L311" s="57"/>
      <c r="M311" s="58"/>
      <c r="N311" s="48"/>
    </row>
    <row r="312" ht="23.25" customHeight="1">
      <c r="B312" s="75"/>
      <c r="C312" s="57"/>
      <c r="D312" s="76"/>
      <c r="E312" s="45"/>
      <c r="F312" s="60"/>
      <c r="G312" s="70" t="s">
        <v>306</v>
      </c>
      <c r="H312" s="45"/>
      <c r="I312" s="57"/>
      <c r="J312" s="66"/>
      <c r="K312" s="45"/>
      <c r="L312" s="57"/>
      <c r="M312" s="58"/>
      <c r="N312" s="48"/>
    </row>
    <row r="313" ht="23.25" customHeight="1">
      <c r="B313" s="75"/>
      <c r="C313" s="57"/>
      <c r="D313" s="76"/>
      <c r="E313" s="45"/>
      <c r="F313" s="43"/>
      <c r="G313" s="61" t="s">
        <v>308</v>
      </c>
      <c r="H313" s="45"/>
      <c r="I313" s="57"/>
      <c r="J313" s="66"/>
      <c r="K313" s="45"/>
      <c r="L313" s="57"/>
      <c r="M313" s="58"/>
      <c r="N313" s="48"/>
    </row>
    <row r="314" ht="23.25" customHeight="1">
      <c r="B314" s="75"/>
      <c r="C314" s="57"/>
      <c r="D314" s="76"/>
      <c r="E314" s="45"/>
      <c r="F314" s="60"/>
      <c r="G314" s="70" t="s">
        <v>309</v>
      </c>
      <c r="H314" s="45"/>
      <c r="I314" s="57"/>
      <c r="J314" s="66"/>
      <c r="K314" s="45"/>
      <c r="L314" s="57"/>
      <c r="M314" s="58"/>
      <c r="N314" s="48"/>
    </row>
    <row r="315" ht="23.25" customHeight="1">
      <c r="B315" s="75"/>
      <c r="C315" s="57"/>
      <c r="D315" s="76"/>
      <c r="E315" s="45"/>
      <c r="F315" s="43"/>
      <c r="G315" s="61" t="s">
        <v>310</v>
      </c>
      <c r="H315" s="45"/>
      <c r="I315" s="57"/>
      <c r="J315" s="66"/>
      <c r="K315" s="45"/>
      <c r="L315" s="57"/>
      <c r="M315" s="58"/>
      <c r="N315" s="48"/>
    </row>
    <row r="316" ht="23.25" customHeight="1">
      <c r="B316" s="75"/>
      <c r="C316" s="57"/>
      <c r="D316" s="76"/>
      <c r="E316" s="45"/>
      <c r="F316" s="60"/>
      <c r="G316" s="70" t="s">
        <v>312</v>
      </c>
      <c r="H316" s="45"/>
      <c r="I316" s="57"/>
      <c r="J316" s="66"/>
      <c r="K316" s="45"/>
      <c r="L316" s="57"/>
      <c r="M316" s="58"/>
      <c r="N316" s="48"/>
    </row>
    <row r="317" ht="23.25" customHeight="1">
      <c r="B317" s="75"/>
      <c r="C317" s="57"/>
      <c r="D317" s="76"/>
      <c r="E317" s="45"/>
      <c r="F317" s="43"/>
      <c r="G317" s="61" t="s">
        <v>313</v>
      </c>
      <c r="H317" s="45"/>
      <c r="I317" s="57"/>
      <c r="J317" s="66"/>
      <c r="K317" s="45"/>
      <c r="L317" s="57"/>
      <c r="M317" s="58"/>
      <c r="N317" s="48"/>
    </row>
    <row r="318" ht="23.25" customHeight="1">
      <c r="B318" s="75"/>
      <c r="C318" s="57"/>
      <c r="D318" s="76"/>
      <c r="E318" s="45"/>
      <c r="F318" s="60"/>
      <c r="G318" s="70" t="s">
        <v>99</v>
      </c>
      <c r="H318" s="45"/>
      <c r="I318" s="57"/>
      <c r="J318" s="66"/>
      <c r="K318" s="45"/>
      <c r="L318" s="57"/>
      <c r="M318" s="58"/>
      <c r="N318" s="48"/>
    </row>
    <row r="319" ht="23.25" customHeight="1">
      <c r="B319" s="75"/>
      <c r="C319" s="57"/>
      <c r="D319" s="76"/>
      <c r="E319" s="45"/>
      <c r="F319" s="43"/>
      <c r="G319" s="61" t="s">
        <v>100</v>
      </c>
      <c r="H319" s="45"/>
      <c r="I319" s="57"/>
      <c r="J319" s="66"/>
      <c r="K319" s="45"/>
      <c r="L319" s="57"/>
      <c r="M319" s="58"/>
      <c r="N319" s="48"/>
    </row>
    <row r="320" ht="23.25" customHeight="1">
      <c r="B320" s="75"/>
      <c r="C320" s="57"/>
      <c r="D320" s="76"/>
      <c r="E320" s="45"/>
      <c r="F320" s="60"/>
      <c r="G320" s="70" t="s">
        <v>315</v>
      </c>
      <c r="H320" s="45"/>
      <c r="I320" s="57"/>
      <c r="J320" s="66"/>
      <c r="K320" s="45"/>
      <c r="L320" s="57"/>
      <c r="M320" s="58"/>
      <c r="N320" s="48"/>
    </row>
    <row r="321" ht="23.25" customHeight="1">
      <c r="B321" s="75"/>
      <c r="C321" s="57"/>
      <c r="D321" s="76"/>
      <c r="E321" s="45"/>
      <c r="F321" s="43"/>
      <c r="G321" s="61" t="s">
        <v>316</v>
      </c>
      <c r="H321" s="45"/>
      <c r="I321" s="57"/>
      <c r="J321" s="66"/>
      <c r="K321" s="45"/>
      <c r="L321" s="57"/>
      <c r="M321" s="58"/>
      <c r="N321" s="48"/>
    </row>
    <row r="322" ht="23.25" customHeight="1">
      <c r="B322" s="75"/>
      <c r="C322" s="57"/>
      <c r="D322" s="76"/>
      <c r="E322" s="45"/>
      <c r="F322" s="60"/>
      <c r="G322" s="70" t="s">
        <v>347</v>
      </c>
      <c r="H322" s="45"/>
      <c r="I322" s="57"/>
      <c r="J322" s="66"/>
      <c r="K322" s="45"/>
      <c r="L322" s="57"/>
      <c r="M322" s="58"/>
      <c r="N322" s="48"/>
    </row>
    <row r="323" ht="23.25" customHeight="1">
      <c r="B323" s="75"/>
      <c r="C323" s="57"/>
      <c r="D323" s="76"/>
      <c r="E323" s="45"/>
      <c r="F323" s="43"/>
      <c r="G323" s="61" t="s">
        <v>317</v>
      </c>
      <c r="H323" s="45"/>
      <c r="I323" s="57"/>
      <c r="J323" s="66"/>
      <c r="K323" s="45"/>
      <c r="L323" s="57"/>
      <c r="M323" s="58"/>
      <c r="N323" s="48"/>
    </row>
    <row r="324" ht="23.25" customHeight="1">
      <c r="B324" s="75"/>
      <c r="C324" s="57"/>
      <c r="D324" s="76"/>
      <c r="E324" s="45"/>
      <c r="F324" s="60"/>
      <c r="G324" s="70" t="s">
        <v>319</v>
      </c>
      <c r="H324" s="45"/>
      <c r="I324" s="57"/>
      <c r="J324" s="66"/>
      <c r="K324" s="45"/>
      <c r="L324" s="57"/>
      <c r="M324" s="58"/>
      <c r="N324" s="48"/>
    </row>
    <row r="325" ht="23.25" customHeight="1">
      <c r="B325" s="75"/>
      <c r="C325" s="57"/>
      <c r="D325" s="76"/>
      <c r="E325" s="45"/>
      <c r="F325" s="43"/>
      <c r="G325" s="61" t="s">
        <v>320</v>
      </c>
      <c r="H325" s="45"/>
      <c r="I325" s="57"/>
      <c r="J325" s="66"/>
      <c r="K325" s="45"/>
      <c r="L325" s="57"/>
      <c r="M325" s="58"/>
      <c r="N325" s="48"/>
    </row>
    <row r="326" ht="23.25" customHeight="1">
      <c r="B326" s="75"/>
      <c r="C326" s="57"/>
      <c r="D326" s="76"/>
      <c r="E326" s="45"/>
      <c r="F326" s="60"/>
      <c r="G326" s="70" t="s">
        <v>321</v>
      </c>
      <c r="H326" s="45"/>
      <c r="I326" s="57"/>
      <c r="J326" s="66"/>
      <c r="K326" s="45"/>
      <c r="L326" s="57"/>
      <c r="M326" s="58"/>
      <c r="N326" s="48"/>
    </row>
    <row r="327" ht="23.25" customHeight="1">
      <c r="B327" s="75"/>
      <c r="C327" s="57"/>
      <c r="D327" s="76"/>
      <c r="E327" s="45"/>
      <c r="F327" s="43"/>
      <c r="G327" s="61" t="s">
        <v>323</v>
      </c>
      <c r="H327" s="45"/>
      <c r="I327" s="57"/>
      <c r="J327" s="66"/>
      <c r="K327" s="45"/>
      <c r="L327" s="57"/>
      <c r="M327" s="58"/>
      <c r="N327" s="48"/>
    </row>
    <row r="328" ht="23.25" customHeight="1">
      <c r="B328" s="75"/>
      <c r="C328" s="57"/>
      <c r="D328" s="76"/>
      <c r="E328" s="45"/>
      <c r="F328" s="60"/>
      <c r="G328" s="70" t="s">
        <v>103</v>
      </c>
      <c r="H328" s="45"/>
      <c r="I328" s="57"/>
      <c r="J328" s="66"/>
      <c r="K328" s="45"/>
      <c r="L328" s="57"/>
      <c r="M328" s="58"/>
      <c r="N328" s="48"/>
    </row>
    <row r="329" ht="23.25" customHeight="1">
      <c r="B329" s="75"/>
      <c r="C329" s="57"/>
      <c r="D329" s="76"/>
      <c r="E329" s="45"/>
      <c r="F329" s="43"/>
      <c r="G329" s="61" t="s">
        <v>324</v>
      </c>
      <c r="H329" s="45"/>
      <c r="I329" s="57"/>
      <c r="J329" s="66"/>
      <c r="K329" s="45"/>
      <c r="L329" s="57"/>
      <c r="M329" s="58"/>
      <c r="N329" s="48"/>
    </row>
    <row r="330" ht="23.25" customHeight="1">
      <c r="B330" s="75"/>
      <c r="C330" s="57"/>
      <c r="D330" s="76"/>
      <c r="E330" s="45"/>
      <c r="F330" s="60"/>
      <c r="G330" s="70" t="s">
        <v>105</v>
      </c>
      <c r="H330" s="45"/>
      <c r="I330" s="57"/>
      <c r="J330" s="66"/>
      <c r="K330" s="45"/>
      <c r="L330" s="57"/>
      <c r="M330" s="58"/>
      <c r="N330" s="48"/>
    </row>
    <row r="331" ht="23.25" customHeight="1">
      <c r="B331" s="75"/>
      <c r="C331" s="57"/>
      <c r="D331" s="76"/>
      <c r="E331" s="45"/>
      <c r="F331" s="43"/>
      <c r="G331" s="61" t="s">
        <v>325</v>
      </c>
      <c r="H331" s="45"/>
      <c r="I331" s="57"/>
      <c r="J331" s="66"/>
      <c r="K331" s="45"/>
      <c r="L331" s="57"/>
      <c r="M331" s="58"/>
      <c r="N331" s="48"/>
    </row>
    <row r="332" ht="23.25" customHeight="1">
      <c r="B332" s="75"/>
      <c r="C332" s="57"/>
      <c r="D332" s="76"/>
      <c r="E332" s="45"/>
      <c r="F332" s="60"/>
      <c r="G332" s="70" t="s">
        <v>348</v>
      </c>
      <c r="H332" s="45"/>
      <c r="I332" s="57"/>
      <c r="J332" s="66"/>
      <c r="K332" s="45"/>
      <c r="L332" s="57"/>
      <c r="M332" s="58"/>
      <c r="N332" s="48"/>
    </row>
    <row r="333" ht="23.25" customHeight="1">
      <c r="B333" s="75"/>
      <c r="C333" s="57"/>
      <c r="D333" s="76"/>
      <c r="E333" s="45"/>
      <c r="F333" s="43"/>
      <c r="G333" s="61" t="s">
        <v>46</v>
      </c>
      <c r="H333" s="45"/>
      <c r="I333" s="57"/>
      <c r="J333" s="66"/>
      <c r="K333" s="45"/>
      <c r="L333" s="57"/>
      <c r="M333" s="58"/>
      <c r="N333" s="48"/>
    </row>
    <row r="334" ht="23.25" customHeight="1">
      <c r="B334" s="75"/>
      <c r="C334" s="57"/>
      <c r="D334" s="76"/>
      <c r="E334" s="45"/>
      <c r="F334" s="60"/>
      <c r="G334" s="70" t="s">
        <v>326</v>
      </c>
      <c r="H334" s="45"/>
      <c r="I334" s="57"/>
      <c r="J334" s="66"/>
      <c r="K334" s="45"/>
      <c r="L334" s="57"/>
      <c r="M334" s="58"/>
      <c r="N334" s="48"/>
    </row>
    <row r="335" ht="23.25" customHeight="1">
      <c r="B335" s="75"/>
      <c r="C335" s="57"/>
      <c r="D335" s="76"/>
      <c r="E335" s="45"/>
      <c r="F335" s="43"/>
      <c r="G335" s="61" t="s">
        <v>107</v>
      </c>
      <c r="H335" s="45"/>
      <c r="I335" s="57"/>
      <c r="J335" s="66"/>
      <c r="K335" s="45"/>
      <c r="L335" s="57"/>
      <c r="M335" s="58"/>
      <c r="N335" s="48"/>
    </row>
    <row r="336" ht="23.25" customHeight="1">
      <c r="B336" s="75"/>
      <c r="C336" s="57"/>
      <c r="D336" s="76"/>
      <c r="E336" s="45"/>
      <c r="F336" s="60"/>
      <c r="G336" s="70" t="s">
        <v>328</v>
      </c>
      <c r="H336" s="45"/>
      <c r="I336" s="57"/>
      <c r="J336" s="66"/>
      <c r="K336" s="45"/>
      <c r="L336" s="57"/>
      <c r="M336" s="58"/>
      <c r="N336" s="48"/>
    </row>
    <row r="337" ht="23.25" customHeight="1">
      <c r="B337" s="75"/>
      <c r="C337" s="57"/>
      <c r="D337" s="76"/>
      <c r="E337" s="45"/>
      <c r="F337" s="43"/>
      <c r="G337" s="61" t="s">
        <v>330</v>
      </c>
      <c r="H337" s="45"/>
      <c r="I337" s="57"/>
      <c r="J337" s="66"/>
      <c r="K337" s="45"/>
      <c r="L337" s="57"/>
      <c r="M337" s="58"/>
      <c r="N337" s="48"/>
    </row>
    <row r="338" ht="23.25" customHeight="1">
      <c r="B338" s="75"/>
      <c r="C338" s="57"/>
      <c r="D338" s="76"/>
      <c r="E338" s="45"/>
      <c r="F338" s="60"/>
      <c r="G338" s="70" t="s">
        <v>331</v>
      </c>
      <c r="H338" s="45"/>
      <c r="I338" s="57"/>
      <c r="J338" s="66"/>
      <c r="K338" s="45"/>
      <c r="L338" s="57"/>
      <c r="M338" s="58"/>
      <c r="N338" s="48"/>
    </row>
    <row r="339" ht="23.25" customHeight="1">
      <c r="B339" s="75"/>
      <c r="C339" s="57"/>
      <c r="D339" s="76"/>
      <c r="E339" s="45"/>
      <c r="F339" s="43"/>
      <c r="G339" s="61" t="s">
        <v>332</v>
      </c>
      <c r="H339" s="45"/>
      <c r="I339" s="57"/>
      <c r="J339" s="66"/>
      <c r="K339" s="45"/>
      <c r="L339" s="57"/>
      <c r="M339" s="58"/>
      <c r="N339" s="48"/>
    </row>
    <row r="340" ht="23.25" customHeight="1">
      <c r="B340" s="77"/>
      <c r="C340" s="57"/>
      <c r="D340" s="76"/>
      <c r="E340" s="45"/>
      <c r="F340" s="60"/>
      <c r="G340" s="70" t="s">
        <v>349</v>
      </c>
      <c r="H340" s="37"/>
      <c r="I340" s="57"/>
      <c r="J340" s="66"/>
      <c r="K340" s="45"/>
      <c r="L340" s="57"/>
      <c r="M340" s="58"/>
      <c r="N340" s="48"/>
    </row>
    <row r="341" ht="23.25" customHeight="1">
      <c r="B341" s="71"/>
      <c r="C341" s="57"/>
      <c r="D341" s="76"/>
      <c r="E341" s="59"/>
      <c r="F341" s="43"/>
      <c r="G341" s="61" t="s">
        <v>333</v>
      </c>
      <c r="H341" s="37"/>
      <c r="I341" s="57"/>
      <c r="J341" s="66"/>
      <c r="K341" s="45"/>
      <c r="L341" s="57"/>
      <c r="M341" s="58"/>
      <c r="N341" s="48"/>
    </row>
    <row r="342" ht="23.25" customHeight="1">
      <c r="B342" s="71"/>
      <c r="C342" s="57"/>
      <c r="D342" s="76"/>
      <c r="E342" s="59"/>
      <c r="F342" s="78"/>
      <c r="G342" s="79" t="s">
        <v>334</v>
      </c>
      <c r="H342" s="37"/>
      <c r="I342" s="57"/>
      <c r="J342" s="66"/>
      <c r="K342" s="45"/>
      <c r="L342" s="57"/>
      <c r="M342" s="58"/>
      <c r="N342" s="48"/>
    </row>
    <row r="343" ht="6.0" customHeight="1">
      <c r="A343" s="80"/>
      <c r="B343" s="81"/>
      <c r="C343" s="18"/>
      <c r="D343" s="18"/>
      <c r="E343" s="18"/>
      <c r="F343" s="18"/>
      <c r="G343" s="18"/>
      <c r="H343" s="18"/>
      <c r="I343" s="18"/>
      <c r="J343" s="82"/>
      <c r="K343" s="83"/>
      <c r="L343" s="83"/>
      <c r="M343" s="83"/>
      <c r="N343" s="84"/>
      <c r="O343" s="80"/>
    </row>
    <row r="344" ht="3.75" customHeight="1">
      <c r="A344" s="23"/>
    </row>
  </sheetData>
  <mergeCells count="11">
    <mergeCell ref="A2:A343"/>
    <mergeCell ref="B259:B340"/>
    <mergeCell ref="B343:J343"/>
    <mergeCell ref="A344:O344"/>
    <mergeCell ref="A1:O1"/>
    <mergeCell ref="B2:N2"/>
    <mergeCell ref="O2:O343"/>
    <mergeCell ref="C3:D3"/>
    <mergeCell ref="F3:G3"/>
    <mergeCell ref="I3:J3"/>
    <mergeCell ref="L3:M3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3A3A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18.25"/>
    <col collapsed="1" customWidth="1" min="3" max="3" width="6.38"/>
    <col customWidth="1" hidden="1" min="4" max="4" width="18.25" outlineLevel="1"/>
    <col customWidth="1" hidden="1" min="5" max="5" width="12.63" outlineLevel="1"/>
  </cols>
  <sheetData>
    <row r="1">
      <c r="A1" s="85" t="s">
        <v>350</v>
      </c>
      <c r="B1" s="86" t="s">
        <v>351</v>
      </c>
      <c r="C1" s="87" t="s">
        <v>352</v>
      </c>
      <c r="D1" s="88" t="s">
        <v>353</v>
      </c>
      <c r="E1" s="89"/>
    </row>
    <row r="2">
      <c r="A2" s="90"/>
      <c r="B2" s="90"/>
      <c r="C2" s="90"/>
      <c r="D2" s="91"/>
      <c r="E2" s="92"/>
    </row>
    <row r="3">
      <c r="A3" s="93">
        <v>1.0</v>
      </c>
      <c r="B3" s="94" t="s">
        <v>67</v>
      </c>
      <c r="C3" s="95" t="str">
        <f t="array" ref="C3:C11">IMAGE("https://www.serebii.net/pokedex-sv/icon/new/00"&amp;ROW(B1:B9)&amp;".png",3)</f>
        <v/>
      </c>
      <c r="D3" s="96" t="str">
        <f t="shared" ref="D3:D10" si="1">LOWER(B3)</f>
        <v>bulbasaur</v>
      </c>
      <c r="E3" s="96" t="str">
        <f t="array" ref="E3:E1176">IMAGE("http://play.pokemonshowdown.com/sprites/gen5/"&amp;D3:D1176&amp;".png", 3)</f>
        <v/>
      </c>
    </row>
    <row r="4">
      <c r="A4" s="97">
        <v>2.0</v>
      </c>
      <c r="B4" s="98" t="s">
        <v>354</v>
      </c>
      <c r="C4" s="99"/>
      <c r="D4" s="100" t="str">
        <f t="shared" si="1"/>
        <v>ivysaur</v>
      </c>
      <c r="E4" s="100"/>
    </row>
    <row r="5">
      <c r="A5" s="101">
        <v>3.0</v>
      </c>
      <c r="B5" s="102" t="s">
        <v>355</v>
      </c>
      <c r="C5" s="103"/>
      <c r="D5" s="96" t="str">
        <f t="shared" si="1"/>
        <v>venusaur</v>
      </c>
      <c r="E5" s="96"/>
    </row>
    <row r="6">
      <c r="A6" s="104">
        <v>4.0</v>
      </c>
      <c r="B6" s="105" t="s">
        <v>81</v>
      </c>
      <c r="C6" s="99"/>
      <c r="D6" s="100" t="str">
        <f t="shared" si="1"/>
        <v>charmander</v>
      </c>
      <c r="E6" s="100"/>
    </row>
    <row r="7">
      <c r="A7" s="101">
        <v>5.0</v>
      </c>
      <c r="B7" s="102" t="s">
        <v>356</v>
      </c>
      <c r="C7" s="103"/>
      <c r="D7" s="103" t="str">
        <f t="shared" si="1"/>
        <v>charmeleon</v>
      </c>
      <c r="E7" s="103"/>
    </row>
    <row r="8">
      <c r="A8" s="97">
        <v>6.0</v>
      </c>
      <c r="B8" s="98" t="s">
        <v>357</v>
      </c>
      <c r="C8" s="99"/>
      <c r="D8" s="100" t="str">
        <f t="shared" si="1"/>
        <v>charizard</v>
      </c>
      <c r="E8" s="100"/>
    </row>
    <row r="9">
      <c r="A9" s="93">
        <v>7.0</v>
      </c>
      <c r="B9" s="102" t="s">
        <v>286</v>
      </c>
      <c r="C9" s="103"/>
      <c r="D9" s="96" t="str">
        <f t="shared" si="1"/>
        <v>squirtle</v>
      </c>
      <c r="E9" s="96"/>
    </row>
    <row r="10">
      <c r="A10" s="97">
        <v>8.0</v>
      </c>
      <c r="B10" s="98" t="s">
        <v>358</v>
      </c>
      <c r="C10" s="99"/>
      <c r="D10" s="100" t="str">
        <f t="shared" si="1"/>
        <v>wartortle</v>
      </c>
      <c r="E10" s="100"/>
    </row>
    <row r="11">
      <c r="A11" s="101">
        <v>9.0</v>
      </c>
      <c r="B11" s="102" t="s">
        <v>359</v>
      </c>
      <c r="C11" s="103"/>
      <c r="D11" s="96" t="s">
        <v>360</v>
      </c>
      <c r="E11" s="96"/>
    </row>
    <row r="12">
      <c r="A12" s="104">
        <v>10.0</v>
      </c>
      <c r="B12" s="98" t="s">
        <v>361</v>
      </c>
      <c r="C12" s="106" t="str">
        <f t="array" ref="C12:C101">IMAGE("https://www.serebii.net/pokedex-sv/icon/new/0"&amp;ROW(B10:B99)&amp;".png",3)</f>
        <v/>
      </c>
      <c r="D12" s="100" t="s">
        <v>362</v>
      </c>
      <c r="E12" s="100"/>
    </row>
    <row r="13">
      <c r="A13" s="101">
        <v>11.0</v>
      </c>
      <c r="B13" s="102" t="s">
        <v>363</v>
      </c>
      <c r="C13" s="103"/>
      <c r="D13" s="103" t="str">
        <f t="shared" ref="D13:D21" si="2">LOWER(B13)</f>
        <v>metapod</v>
      </c>
      <c r="E13" s="103"/>
    </row>
    <row r="14">
      <c r="A14" s="97">
        <v>12.0</v>
      </c>
      <c r="B14" s="98" t="s">
        <v>364</v>
      </c>
      <c r="C14" s="99"/>
      <c r="D14" s="100" t="str">
        <f t="shared" si="2"/>
        <v>butterfree</v>
      </c>
      <c r="E14" s="100"/>
    </row>
    <row r="15">
      <c r="A15" s="93">
        <v>13.0</v>
      </c>
      <c r="B15" s="102" t="s">
        <v>365</v>
      </c>
      <c r="C15" s="103"/>
      <c r="D15" s="96" t="str">
        <f t="shared" si="2"/>
        <v>weedle</v>
      </c>
      <c r="E15" s="96"/>
    </row>
    <row r="16">
      <c r="A16" s="97">
        <v>14.0</v>
      </c>
      <c r="B16" s="98" t="s">
        <v>366</v>
      </c>
      <c r="C16" s="99"/>
      <c r="D16" s="100" t="str">
        <f t="shared" si="2"/>
        <v>kakuna</v>
      </c>
      <c r="E16" s="100"/>
    </row>
    <row r="17">
      <c r="A17" s="101">
        <v>15.0</v>
      </c>
      <c r="B17" s="102" t="s">
        <v>367</v>
      </c>
      <c r="C17" s="103"/>
      <c r="D17" s="96" t="str">
        <f t="shared" si="2"/>
        <v>beedrill</v>
      </c>
      <c r="E17" s="96"/>
    </row>
    <row r="18">
      <c r="A18" s="104">
        <v>16.0</v>
      </c>
      <c r="B18" s="98" t="s">
        <v>368</v>
      </c>
      <c r="C18" s="99"/>
      <c r="D18" s="99" t="str">
        <f t="shared" si="2"/>
        <v>pidgey</v>
      </c>
      <c r="E18" s="99"/>
    </row>
    <row r="19">
      <c r="A19" s="101">
        <v>17.0</v>
      </c>
      <c r="B19" s="102" t="s">
        <v>369</v>
      </c>
      <c r="C19" s="103"/>
      <c r="D19" s="96" t="str">
        <f t="shared" si="2"/>
        <v>pidgeotto</v>
      </c>
      <c r="E19" s="96"/>
    </row>
    <row r="20">
      <c r="A20" s="97">
        <v>18.0</v>
      </c>
      <c r="B20" s="98" t="s">
        <v>370</v>
      </c>
      <c r="C20" s="99"/>
      <c r="D20" s="100" t="str">
        <f t="shared" si="2"/>
        <v>pidgeot</v>
      </c>
      <c r="E20" s="100"/>
    </row>
    <row r="21">
      <c r="A21" s="93">
        <v>19.0</v>
      </c>
      <c r="B21" s="102" t="s">
        <v>371</v>
      </c>
      <c r="C21" s="103"/>
      <c r="D21" s="96" t="str">
        <f t="shared" si="2"/>
        <v>rattata</v>
      </c>
      <c r="E21" s="96"/>
    </row>
    <row r="22">
      <c r="A22" s="97">
        <v>20.0</v>
      </c>
      <c r="B22" s="98" t="s">
        <v>372</v>
      </c>
      <c r="C22" s="99"/>
      <c r="D22" s="100" t="s">
        <v>373</v>
      </c>
      <c r="E22" s="100"/>
    </row>
    <row r="23">
      <c r="A23" s="101">
        <v>21.0</v>
      </c>
      <c r="B23" s="102" t="s">
        <v>374</v>
      </c>
      <c r="C23" s="103"/>
      <c r="D23" s="96" t="str">
        <f t="shared" ref="D23:D25" si="3">LOWER(B23)</f>
        <v>spearow</v>
      </c>
      <c r="E23" s="96"/>
    </row>
    <row r="24">
      <c r="A24" s="104">
        <v>22.0</v>
      </c>
      <c r="B24" s="98" t="s">
        <v>375</v>
      </c>
      <c r="C24" s="99"/>
      <c r="D24" s="100" t="str">
        <f t="shared" si="3"/>
        <v>fearow</v>
      </c>
      <c r="E24" s="100"/>
    </row>
    <row r="25">
      <c r="A25" s="101">
        <v>23.0</v>
      </c>
      <c r="B25" s="102" t="s">
        <v>376</v>
      </c>
      <c r="C25" s="103"/>
      <c r="D25" s="96" t="str">
        <f t="shared" si="3"/>
        <v>ekans</v>
      </c>
      <c r="E25" s="96"/>
    </row>
    <row r="26">
      <c r="A26" s="97">
        <v>24.0</v>
      </c>
      <c r="B26" s="98" t="s">
        <v>377</v>
      </c>
      <c r="C26" s="99"/>
      <c r="D26" s="100" t="s">
        <v>378</v>
      </c>
      <c r="E26" s="100"/>
    </row>
    <row r="27">
      <c r="A27" s="93">
        <v>25.0</v>
      </c>
      <c r="B27" s="102" t="s">
        <v>379</v>
      </c>
      <c r="C27" s="103"/>
      <c r="D27" s="96" t="str">
        <f t="shared" ref="D27:D60" si="4">LOWER(B27)</f>
        <v>pikachu</v>
      </c>
      <c r="E27" s="96"/>
    </row>
    <row r="28">
      <c r="A28" s="97">
        <v>26.0</v>
      </c>
      <c r="B28" s="98" t="s">
        <v>380</v>
      </c>
      <c r="C28" s="99"/>
      <c r="D28" s="100" t="str">
        <f t="shared" si="4"/>
        <v>raichu</v>
      </c>
      <c r="E28" s="100"/>
    </row>
    <row r="29">
      <c r="A29" s="101">
        <v>27.0</v>
      </c>
      <c r="B29" s="102" t="s">
        <v>381</v>
      </c>
      <c r="C29" s="103"/>
      <c r="D29" s="96" t="str">
        <f t="shared" si="4"/>
        <v>sandshrew</v>
      </c>
      <c r="E29" s="96"/>
    </row>
    <row r="30">
      <c r="A30" s="104">
        <v>28.0</v>
      </c>
      <c r="B30" s="98" t="s">
        <v>382</v>
      </c>
      <c r="C30" s="99"/>
      <c r="D30" s="100" t="str">
        <f t="shared" si="4"/>
        <v>sandslash</v>
      </c>
      <c r="E30" s="100"/>
    </row>
    <row r="31">
      <c r="A31" s="101">
        <v>29.0</v>
      </c>
      <c r="B31" s="94" t="s">
        <v>219</v>
      </c>
      <c r="C31" s="103"/>
      <c r="D31" s="96" t="str">
        <f t="shared" si="4"/>
        <v>nidoran-f</v>
      </c>
      <c r="E31" s="96"/>
    </row>
    <row r="32">
      <c r="A32" s="97">
        <v>30.0</v>
      </c>
      <c r="B32" s="98" t="s">
        <v>383</v>
      </c>
      <c r="C32" s="99"/>
      <c r="D32" s="100" t="str">
        <f t="shared" si="4"/>
        <v>nidorina</v>
      </c>
      <c r="E32" s="100"/>
    </row>
    <row r="33">
      <c r="A33" s="93">
        <v>31.0</v>
      </c>
      <c r="B33" s="102" t="s">
        <v>384</v>
      </c>
      <c r="C33" s="103"/>
      <c r="D33" s="96" t="str">
        <f t="shared" si="4"/>
        <v>nidoqueen</v>
      </c>
      <c r="E33" s="96"/>
    </row>
    <row r="34">
      <c r="A34" s="97">
        <v>32.0</v>
      </c>
      <c r="B34" s="105" t="s">
        <v>217</v>
      </c>
      <c r="C34" s="99"/>
      <c r="D34" s="100" t="str">
        <f t="shared" si="4"/>
        <v>nidoran-m</v>
      </c>
      <c r="E34" s="100"/>
    </row>
    <row r="35">
      <c r="A35" s="101">
        <v>33.0</v>
      </c>
      <c r="B35" s="102" t="s">
        <v>385</v>
      </c>
      <c r="C35" s="103"/>
      <c r="D35" s="96" t="str">
        <f t="shared" si="4"/>
        <v>nidorino</v>
      </c>
      <c r="E35" s="96"/>
    </row>
    <row r="36">
      <c r="A36" s="104">
        <v>34.0</v>
      </c>
      <c r="B36" s="98" t="s">
        <v>386</v>
      </c>
      <c r="C36" s="99"/>
      <c r="D36" s="100" t="str">
        <f t="shared" si="4"/>
        <v>nidoking</v>
      </c>
      <c r="E36" s="100"/>
    </row>
    <row r="37">
      <c r="A37" s="101">
        <v>35.0</v>
      </c>
      <c r="B37" s="102" t="s">
        <v>387</v>
      </c>
      <c r="C37" s="103"/>
      <c r="D37" s="96" t="str">
        <f t="shared" si="4"/>
        <v>clefairy</v>
      </c>
      <c r="E37" s="96"/>
    </row>
    <row r="38">
      <c r="A38" s="97">
        <v>36.0</v>
      </c>
      <c r="B38" s="98" t="s">
        <v>388</v>
      </c>
      <c r="C38" s="99"/>
      <c r="D38" s="100" t="str">
        <f t="shared" si="4"/>
        <v>clefable</v>
      </c>
      <c r="E38" s="100"/>
    </row>
    <row r="39">
      <c r="A39" s="93">
        <v>37.0</v>
      </c>
      <c r="B39" s="102" t="s">
        <v>389</v>
      </c>
      <c r="C39" s="103"/>
      <c r="D39" s="96" t="str">
        <f t="shared" si="4"/>
        <v>vulpix</v>
      </c>
      <c r="E39" s="96"/>
    </row>
    <row r="40">
      <c r="A40" s="97">
        <v>38.0</v>
      </c>
      <c r="B40" s="98" t="s">
        <v>390</v>
      </c>
      <c r="C40" s="99"/>
      <c r="D40" s="99" t="str">
        <f t="shared" si="4"/>
        <v>ninetales</v>
      </c>
      <c r="E40" s="99"/>
    </row>
    <row r="41">
      <c r="A41" s="101">
        <v>39.0</v>
      </c>
      <c r="B41" s="102" t="s">
        <v>391</v>
      </c>
      <c r="C41" s="103"/>
      <c r="D41" s="103" t="str">
        <f t="shared" si="4"/>
        <v>jigglypuff</v>
      </c>
      <c r="E41" s="103"/>
    </row>
    <row r="42">
      <c r="A42" s="104">
        <v>40.0</v>
      </c>
      <c r="B42" s="98" t="s">
        <v>392</v>
      </c>
      <c r="C42" s="99"/>
      <c r="D42" s="99" t="str">
        <f t="shared" si="4"/>
        <v>wigglytuff</v>
      </c>
      <c r="E42" s="99"/>
    </row>
    <row r="43">
      <c r="A43" s="101">
        <v>41.0</v>
      </c>
      <c r="B43" s="102" t="s">
        <v>393</v>
      </c>
      <c r="C43" s="103"/>
      <c r="D43" s="103" t="str">
        <f t="shared" si="4"/>
        <v>zubat</v>
      </c>
      <c r="E43" s="103"/>
    </row>
    <row r="44">
      <c r="A44" s="97">
        <v>42.0</v>
      </c>
      <c r="B44" s="98" t="s">
        <v>394</v>
      </c>
      <c r="C44" s="99"/>
      <c r="D44" s="99" t="str">
        <f t="shared" si="4"/>
        <v>golbat</v>
      </c>
      <c r="E44" s="99"/>
    </row>
    <row r="45">
      <c r="A45" s="93">
        <v>43.0</v>
      </c>
      <c r="B45" s="102" t="s">
        <v>395</v>
      </c>
      <c r="C45" s="103"/>
      <c r="D45" s="103" t="str">
        <f t="shared" si="4"/>
        <v>oddish</v>
      </c>
      <c r="E45" s="103"/>
    </row>
    <row r="46">
      <c r="A46" s="97">
        <v>44.0</v>
      </c>
      <c r="B46" s="98" t="s">
        <v>396</v>
      </c>
      <c r="C46" s="99"/>
      <c r="D46" s="99" t="str">
        <f t="shared" si="4"/>
        <v>gloom</v>
      </c>
      <c r="E46" s="99"/>
    </row>
    <row r="47">
      <c r="A47" s="101">
        <v>45.0</v>
      </c>
      <c r="B47" s="102" t="s">
        <v>397</v>
      </c>
      <c r="C47" s="103"/>
      <c r="D47" s="103" t="str">
        <f t="shared" si="4"/>
        <v>vileplume</v>
      </c>
      <c r="E47" s="103"/>
    </row>
    <row r="48">
      <c r="A48" s="104">
        <v>46.0</v>
      </c>
      <c r="B48" s="98" t="s">
        <v>398</v>
      </c>
      <c r="C48" s="99"/>
      <c r="D48" s="99" t="str">
        <f t="shared" si="4"/>
        <v>paras</v>
      </c>
      <c r="E48" s="99"/>
    </row>
    <row r="49">
      <c r="A49" s="101">
        <v>47.0</v>
      </c>
      <c r="B49" s="102" t="s">
        <v>399</v>
      </c>
      <c r="C49" s="103"/>
      <c r="D49" s="103" t="str">
        <f t="shared" si="4"/>
        <v>parasect</v>
      </c>
      <c r="E49" s="103"/>
    </row>
    <row r="50">
      <c r="A50" s="97">
        <v>48.0</v>
      </c>
      <c r="B50" s="98" t="s">
        <v>316</v>
      </c>
      <c r="C50" s="99"/>
      <c r="D50" s="99" t="str">
        <f t="shared" si="4"/>
        <v>venonat</v>
      </c>
      <c r="E50" s="99"/>
    </row>
    <row r="51">
      <c r="A51" s="93">
        <v>49.0</v>
      </c>
      <c r="B51" s="102" t="s">
        <v>400</v>
      </c>
      <c r="C51" s="103"/>
      <c r="D51" s="103" t="str">
        <f t="shared" si="4"/>
        <v>venomoth</v>
      </c>
      <c r="E51" s="103"/>
    </row>
    <row r="52">
      <c r="A52" s="97">
        <v>50.0</v>
      </c>
      <c r="B52" s="98" t="s">
        <v>401</v>
      </c>
      <c r="C52" s="99"/>
      <c r="D52" s="99" t="str">
        <f t="shared" si="4"/>
        <v>diglett</v>
      </c>
      <c r="E52" s="99"/>
    </row>
    <row r="53">
      <c r="A53" s="101">
        <v>51.0</v>
      </c>
      <c r="B53" s="102" t="s">
        <v>402</v>
      </c>
      <c r="C53" s="103"/>
      <c r="D53" s="103" t="str">
        <f t="shared" si="4"/>
        <v>dugtrio</v>
      </c>
      <c r="E53" s="103"/>
    </row>
    <row r="54">
      <c r="A54" s="104">
        <v>52.0</v>
      </c>
      <c r="B54" s="98" t="s">
        <v>196</v>
      </c>
      <c r="C54" s="99"/>
      <c r="D54" s="99" t="str">
        <f t="shared" si="4"/>
        <v>meowth</v>
      </c>
      <c r="E54" s="99"/>
    </row>
    <row r="55">
      <c r="A55" s="101">
        <v>53.0</v>
      </c>
      <c r="B55" s="102" t="s">
        <v>403</v>
      </c>
      <c r="C55" s="103"/>
      <c r="D55" s="96" t="str">
        <f t="shared" si="4"/>
        <v>persian</v>
      </c>
      <c r="E55" s="96"/>
    </row>
    <row r="56">
      <c r="A56" s="97">
        <v>54.0</v>
      </c>
      <c r="B56" s="98" t="s">
        <v>404</v>
      </c>
      <c r="C56" s="99"/>
      <c r="D56" s="100" t="str">
        <f t="shared" si="4"/>
        <v>psyduck</v>
      </c>
      <c r="E56" s="100"/>
    </row>
    <row r="57">
      <c r="A57" s="93">
        <v>55.0</v>
      </c>
      <c r="B57" s="102" t="s">
        <v>405</v>
      </c>
      <c r="C57" s="103"/>
      <c r="D57" s="96" t="str">
        <f t="shared" si="4"/>
        <v>golduck</v>
      </c>
      <c r="E57" s="96"/>
    </row>
    <row r="58">
      <c r="A58" s="97">
        <v>56.0</v>
      </c>
      <c r="B58" s="98" t="s">
        <v>406</v>
      </c>
      <c r="C58" s="99"/>
      <c r="D58" s="100" t="str">
        <f t="shared" si="4"/>
        <v>mankey</v>
      </c>
      <c r="E58" s="100"/>
    </row>
    <row r="59">
      <c r="A59" s="101">
        <v>57.0</v>
      </c>
      <c r="B59" s="102" t="s">
        <v>407</v>
      </c>
      <c r="C59" s="103"/>
      <c r="D59" s="96" t="str">
        <f t="shared" si="4"/>
        <v>primeape</v>
      </c>
      <c r="E59" s="96"/>
    </row>
    <row r="60">
      <c r="A60" s="104">
        <v>58.0</v>
      </c>
      <c r="B60" s="98" t="s">
        <v>165</v>
      </c>
      <c r="C60" s="99"/>
      <c r="D60" s="100" t="str">
        <f t="shared" si="4"/>
        <v>growlithe</v>
      </c>
      <c r="E60" s="100"/>
    </row>
    <row r="61">
      <c r="A61" s="101">
        <v>59.0</v>
      </c>
      <c r="B61" s="102" t="s">
        <v>408</v>
      </c>
      <c r="C61" s="103"/>
      <c r="D61" s="96" t="s">
        <v>409</v>
      </c>
      <c r="E61" s="96"/>
    </row>
    <row r="62">
      <c r="A62" s="97">
        <v>60.0</v>
      </c>
      <c r="B62" s="98" t="s">
        <v>232</v>
      </c>
      <c r="C62" s="99"/>
      <c r="D62" s="100" t="str">
        <f t="shared" ref="D62:D63" si="5">LOWER(B62)</f>
        <v>poliwag</v>
      </c>
      <c r="E62" s="100"/>
    </row>
    <row r="63">
      <c r="A63" s="93">
        <v>61.0</v>
      </c>
      <c r="B63" s="102" t="s">
        <v>410</v>
      </c>
      <c r="C63" s="103"/>
      <c r="D63" s="96" t="str">
        <f t="shared" si="5"/>
        <v>poliwhirl</v>
      </c>
      <c r="E63" s="96"/>
    </row>
    <row r="64">
      <c r="A64" s="97">
        <v>62.0</v>
      </c>
      <c r="B64" s="98" t="s">
        <v>411</v>
      </c>
      <c r="C64" s="106"/>
      <c r="D64" s="100" t="s">
        <v>412</v>
      </c>
      <c r="E64" s="100"/>
    </row>
    <row r="65">
      <c r="A65" s="101">
        <v>63.0</v>
      </c>
      <c r="B65" s="102" t="s">
        <v>10</v>
      </c>
      <c r="C65" s="103"/>
      <c r="D65" s="96" t="str">
        <f t="shared" ref="D65:D109" si="6">LOWER(B65)</f>
        <v>abra</v>
      </c>
      <c r="E65" s="96"/>
    </row>
    <row r="66">
      <c r="A66" s="104">
        <v>64.0</v>
      </c>
      <c r="B66" s="98" t="s">
        <v>413</v>
      </c>
      <c r="C66" s="99"/>
      <c r="D66" s="100" t="str">
        <f t="shared" si="6"/>
        <v>kadabra</v>
      </c>
      <c r="E66" s="100"/>
    </row>
    <row r="67">
      <c r="A67" s="101">
        <v>65.0</v>
      </c>
      <c r="B67" s="94" t="s">
        <v>414</v>
      </c>
      <c r="C67" s="103"/>
      <c r="D67" s="96" t="str">
        <f t="shared" si="6"/>
        <v>alakazam</v>
      </c>
      <c r="E67" s="96"/>
    </row>
    <row r="68">
      <c r="A68" s="97">
        <v>66.0</v>
      </c>
      <c r="B68" s="98" t="s">
        <v>415</v>
      </c>
      <c r="C68" s="99"/>
      <c r="D68" s="100" t="str">
        <f t="shared" si="6"/>
        <v>machop</v>
      </c>
      <c r="E68" s="100"/>
    </row>
    <row r="69">
      <c r="A69" s="93">
        <v>67.0</v>
      </c>
      <c r="B69" s="102" t="s">
        <v>416</v>
      </c>
      <c r="C69" s="103"/>
      <c r="D69" s="96" t="str">
        <f t="shared" si="6"/>
        <v>machoke</v>
      </c>
      <c r="E69" s="96"/>
    </row>
    <row r="70">
      <c r="A70" s="97">
        <v>68.0</v>
      </c>
      <c r="B70" s="98" t="s">
        <v>417</v>
      </c>
      <c r="C70" s="99"/>
      <c r="D70" s="100" t="str">
        <f t="shared" si="6"/>
        <v>machamp</v>
      </c>
      <c r="E70" s="100"/>
    </row>
    <row r="71">
      <c r="A71" s="101">
        <v>69.0</v>
      </c>
      <c r="B71" s="102" t="s">
        <v>47</v>
      </c>
      <c r="C71" s="103"/>
      <c r="D71" s="96" t="str">
        <f t="shared" si="6"/>
        <v>bellsprout</v>
      </c>
      <c r="E71" s="96"/>
    </row>
    <row r="72">
      <c r="A72" s="104">
        <v>70.0</v>
      </c>
      <c r="B72" s="98" t="s">
        <v>418</v>
      </c>
      <c r="C72" s="99"/>
      <c r="D72" s="100" t="str">
        <f t="shared" si="6"/>
        <v>weepinbell</v>
      </c>
      <c r="E72" s="100"/>
    </row>
    <row r="73">
      <c r="A73" s="101">
        <v>71.0</v>
      </c>
      <c r="B73" s="102" t="s">
        <v>419</v>
      </c>
      <c r="C73" s="103"/>
      <c r="D73" s="96" t="str">
        <f t="shared" si="6"/>
        <v>victreebel</v>
      </c>
      <c r="E73" s="96"/>
    </row>
    <row r="74">
      <c r="A74" s="97">
        <v>72.0</v>
      </c>
      <c r="B74" s="98" t="s">
        <v>420</v>
      </c>
      <c r="C74" s="99"/>
      <c r="D74" s="100" t="str">
        <f t="shared" si="6"/>
        <v>tentacool</v>
      </c>
      <c r="E74" s="100"/>
    </row>
    <row r="75">
      <c r="A75" s="93">
        <v>73.0</v>
      </c>
      <c r="B75" s="102" t="s">
        <v>421</v>
      </c>
      <c r="C75" s="103"/>
      <c r="D75" s="96" t="str">
        <f t="shared" si="6"/>
        <v>tentacruel</v>
      </c>
      <c r="E75" s="96"/>
    </row>
    <row r="76">
      <c r="A76" s="97">
        <v>74.0</v>
      </c>
      <c r="B76" s="98" t="s">
        <v>422</v>
      </c>
      <c r="C76" s="99"/>
      <c r="D76" s="100" t="str">
        <f t="shared" si="6"/>
        <v>geodude</v>
      </c>
      <c r="E76" s="100"/>
    </row>
    <row r="77">
      <c r="A77" s="101">
        <v>75.0</v>
      </c>
      <c r="B77" s="102" t="s">
        <v>423</v>
      </c>
      <c r="C77" s="103"/>
      <c r="D77" s="96" t="str">
        <f t="shared" si="6"/>
        <v>graveler</v>
      </c>
      <c r="E77" s="96"/>
    </row>
    <row r="78">
      <c r="A78" s="104">
        <v>76.0</v>
      </c>
      <c r="B78" s="98" t="s">
        <v>424</v>
      </c>
      <c r="C78" s="99"/>
      <c r="D78" s="100" t="str">
        <f t="shared" si="6"/>
        <v>golem</v>
      </c>
      <c r="E78" s="100"/>
    </row>
    <row r="79">
      <c r="A79" s="101">
        <v>77.0</v>
      </c>
      <c r="B79" s="102" t="s">
        <v>235</v>
      </c>
      <c r="C79" s="103"/>
      <c r="D79" s="96" t="str">
        <f t="shared" si="6"/>
        <v>ponyta</v>
      </c>
      <c r="E79" s="96"/>
    </row>
    <row r="80">
      <c r="A80" s="97">
        <v>78.0</v>
      </c>
      <c r="B80" s="98" t="s">
        <v>425</v>
      </c>
      <c r="C80" s="99"/>
      <c r="D80" s="100" t="str">
        <f t="shared" si="6"/>
        <v>rapidash</v>
      </c>
      <c r="E80" s="100"/>
    </row>
    <row r="81">
      <c r="A81" s="93">
        <v>79.0</v>
      </c>
      <c r="B81" s="102" t="s">
        <v>426</v>
      </c>
      <c r="C81" s="103"/>
      <c r="D81" s="96" t="str">
        <f t="shared" si="6"/>
        <v>slowpoke</v>
      </c>
      <c r="E81" s="96"/>
    </row>
    <row r="82">
      <c r="A82" s="97">
        <v>80.0</v>
      </c>
      <c r="B82" s="98" t="s">
        <v>427</v>
      </c>
      <c r="C82" s="99"/>
      <c r="D82" s="100" t="str">
        <f t="shared" si="6"/>
        <v>slowbro</v>
      </c>
      <c r="E82" s="100"/>
    </row>
    <row r="83">
      <c r="A83" s="101">
        <v>81.0</v>
      </c>
      <c r="B83" s="102" t="s">
        <v>192</v>
      </c>
      <c r="C83" s="103"/>
      <c r="D83" s="96" t="str">
        <f t="shared" si="6"/>
        <v>magnemite</v>
      </c>
      <c r="E83" s="96"/>
    </row>
    <row r="84">
      <c r="A84" s="104">
        <v>82.0</v>
      </c>
      <c r="B84" s="98" t="s">
        <v>428</v>
      </c>
      <c r="C84" s="99"/>
      <c r="D84" s="100" t="str">
        <f t="shared" si="6"/>
        <v>magneton</v>
      </c>
      <c r="E84" s="100"/>
    </row>
    <row r="85">
      <c r="A85" s="101">
        <v>83.0</v>
      </c>
      <c r="B85" s="94" t="s">
        <v>429</v>
      </c>
      <c r="C85" s="103"/>
      <c r="D85" s="96" t="str">
        <f t="shared" si="6"/>
        <v>farfetch'd</v>
      </c>
      <c r="E85" s="96"/>
    </row>
    <row r="86">
      <c r="A86" s="97">
        <v>84.0</v>
      </c>
      <c r="B86" s="98" t="s">
        <v>124</v>
      </c>
      <c r="C86" s="99"/>
      <c r="D86" s="100" t="str">
        <f t="shared" si="6"/>
        <v>doduo</v>
      </c>
      <c r="E86" s="100"/>
    </row>
    <row r="87">
      <c r="A87" s="93">
        <v>85.0</v>
      </c>
      <c r="B87" s="102" t="s">
        <v>430</v>
      </c>
      <c r="C87" s="103"/>
      <c r="D87" s="96" t="str">
        <f t="shared" si="6"/>
        <v>dodrio</v>
      </c>
      <c r="E87" s="96"/>
    </row>
    <row r="88">
      <c r="A88" s="97">
        <v>86.0</v>
      </c>
      <c r="B88" s="98" t="s">
        <v>256</v>
      </c>
      <c r="C88" s="99"/>
      <c r="D88" s="100" t="str">
        <f t="shared" si="6"/>
        <v>seel</v>
      </c>
      <c r="E88" s="100"/>
    </row>
    <row r="89">
      <c r="A89" s="101">
        <v>87.0</v>
      </c>
      <c r="B89" s="102" t="s">
        <v>431</v>
      </c>
      <c r="C89" s="103"/>
      <c r="D89" s="96" t="str">
        <f t="shared" si="6"/>
        <v>dewgong</v>
      </c>
      <c r="E89" s="96"/>
    </row>
    <row r="90">
      <c r="A90" s="104">
        <v>88.0</v>
      </c>
      <c r="B90" s="98" t="s">
        <v>162</v>
      </c>
      <c r="C90" s="99"/>
      <c r="D90" s="100" t="str">
        <f t="shared" si="6"/>
        <v>grimer</v>
      </c>
      <c r="E90" s="100"/>
    </row>
    <row r="91">
      <c r="A91" s="101">
        <v>89.0</v>
      </c>
      <c r="B91" s="102" t="s">
        <v>432</v>
      </c>
      <c r="C91" s="103"/>
      <c r="D91" s="103" t="str">
        <f t="shared" si="6"/>
        <v>muk</v>
      </c>
      <c r="E91" s="103"/>
    </row>
    <row r="92">
      <c r="A92" s="97">
        <v>90.0</v>
      </c>
      <c r="B92" s="98" t="s">
        <v>258</v>
      </c>
      <c r="C92" s="99"/>
      <c r="D92" s="100" t="str">
        <f t="shared" si="6"/>
        <v>shellder</v>
      </c>
      <c r="E92" s="100"/>
    </row>
    <row r="93">
      <c r="A93" s="93">
        <v>91.0</v>
      </c>
      <c r="B93" s="102" t="s">
        <v>433</v>
      </c>
      <c r="C93" s="103"/>
      <c r="D93" s="96" t="str">
        <f t="shared" si="6"/>
        <v>cloyster</v>
      </c>
      <c r="E93" s="96"/>
    </row>
    <row r="94">
      <c r="A94" s="97">
        <v>92.0</v>
      </c>
      <c r="B94" s="98" t="s">
        <v>156</v>
      </c>
      <c r="C94" s="99"/>
      <c r="D94" s="100" t="str">
        <f t="shared" si="6"/>
        <v>gastly</v>
      </c>
      <c r="E94" s="100"/>
    </row>
    <row r="95">
      <c r="A95" s="101">
        <v>93.0</v>
      </c>
      <c r="B95" s="102" t="s">
        <v>434</v>
      </c>
      <c r="C95" s="103"/>
      <c r="D95" s="96" t="str">
        <f t="shared" si="6"/>
        <v>haunter</v>
      </c>
      <c r="E95" s="96"/>
    </row>
    <row r="96">
      <c r="A96" s="104">
        <v>94.0</v>
      </c>
      <c r="B96" s="98" t="s">
        <v>435</v>
      </c>
      <c r="C96" s="99"/>
      <c r="D96" s="100" t="str">
        <f t="shared" si="6"/>
        <v>gengar</v>
      </c>
      <c r="E96" s="100"/>
    </row>
    <row r="97">
      <c r="A97" s="101">
        <v>95.0</v>
      </c>
      <c r="B97" s="102" t="s">
        <v>436</v>
      </c>
      <c r="C97" s="103"/>
      <c r="D97" s="96" t="str">
        <f t="shared" si="6"/>
        <v>onix</v>
      </c>
      <c r="E97" s="96"/>
    </row>
    <row r="98">
      <c r="A98" s="97">
        <v>96.0</v>
      </c>
      <c r="B98" s="98" t="s">
        <v>129</v>
      </c>
      <c r="C98" s="99"/>
      <c r="D98" s="100" t="str">
        <f t="shared" si="6"/>
        <v>drowzee</v>
      </c>
      <c r="E98" s="100"/>
    </row>
    <row r="99">
      <c r="A99" s="93">
        <v>97.0</v>
      </c>
      <c r="B99" s="102" t="s">
        <v>437</v>
      </c>
      <c r="C99" s="103"/>
      <c r="D99" s="96" t="str">
        <f t="shared" si="6"/>
        <v>hypno</v>
      </c>
      <c r="E99" s="96"/>
    </row>
    <row r="100">
      <c r="A100" s="97">
        <v>98.0</v>
      </c>
      <c r="B100" s="98" t="s">
        <v>182</v>
      </c>
      <c r="C100" s="99"/>
      <c r="D100" s="100" t="str">
        <f t="shared" si="6"/>
        <v>krabby</v>
      </c>
      <c r="E100" s="100"/>
    </row>
    <row r="101">
      <c r="A101" s="101">
        <v>99.0</v>
      </c>
      <c r="B101" s="102" t="s">
        <v>438</v>
      </c>
      <c r="C101" s="103"/>
      <c r="D101" s="96" t="str">
        <f t="shared" si="6"/>
        <v>kingler</v>
      </c>
      <c r="E101" s="96"/>
    </row>
    <row r="102">
      <c r="A102" s="104">
        <v>100.0</v>
      </c>
      <c r="B102" s="98" t="s">
        <v>317</v>
      </c>
      <c r="C102" s="106" t="str">
        <f t="array" ref="C102:C1027">IMAGE("https://www.serebii.net/pokedex-sv/icon/new/"&amp;ROW(B100:B1025)&amp;".png",3)</f>
        <v/>
      </c>
      <c r="D102" s="100" t="str">
        <f t="shared" si="6"/>
        <v>voltorb</v>
      </c>
      <c r="E102" s="100"/>
    </row>
    <row r="103">
      <c r="A103" s="101">
        <v>101.0</v>
      </c>
      <c r="B103" s="102" t="s">
        <v>439</v>
      </c>
      <c r="C103" s="103"/>
      <c r="D103" s="96" t="str">
        <f t="shared" si="6"/>
        <v>electrode</v>
      </c>
      <c r="E103" s="96"/>
    </row>
    <row r="104">
      <c r="A104" s="97">
        <v>102.0</v>
      </c>
      <c r="B104" s="98" t="s">
        <v>140</v>
      </c>
      <c r="C104" s="99"/>
      <c r="D104" s="100" t="str">
        <f t="shared" si="6"/>
        <v>exeggcute</v>
      </c>
      <c r="E104" s="100"/>
    </row>
    <row r="105">
      <c r="A105" s="93">
        <v>103.0</v>
      </c>
      <c r="B105" s="102" t="s">
        <v>440</v>
      </c>
      <c r="C105" s="103"/>
      <c r="D105" s="96" t="str">
        <f t="shared" si="6"/>
        <v>exeggutor</v>
      </c>
      <c r="E105" s="96"/>
    </row>
    <row r="106">
      <c r="A106" s="97">
        <v>104.0</v>
      </c>
      <c r="B106" s="98" t="s">
        <v>113</v>
      </c>
      <c r="C106" s="99"/>
      <c r="D106" s="100" t="str">
        <f t="shared" si="6"/>
        <v>cubone</v>
      </c>
      <c r="E106" s="100"/>
    </row>
    <row r="107">
      <c r="A107" s="101">
        <v>105.0</v>
      </c>
      <c r="B107" s="102" t="s">
        <v>441</v>
      </c>
      <c r="C107" s="103"/>
      <c r="D107" s="96" t="str">
        <f t="shared" si="6"/>
        <v>marowak</v>
      </c>
      <c r="E107" s="96"/>
    </row>
    <row r="108">
      <c r="A108" s="104">
        <v>106.0</v>
      </c>
      <c r="B108" s="98" t="s">
        <v>442</v>
      </c>
      <c r="C108" s="99"/>
      <c r="D108" s="100" t="str">
        <f t="shared" si="6"/>
        <v>hitmonlee</v>
      </c>
      <c r="E108" s="100"/>
    </row>
    <row r="109">
      <c r="A109" s="101">
        <v>107.0</v>
      </c>
      <c r="B109" s="102" t="s">
        <v>443</v>
      </c>
      <c r="C109" s="103"/>
      <c r="D109" s="96" t="str">
        <f t="shared" si="6"/>
        <v>hitmonchan</v>
      </c>
      <c r="E109" s="96"/>
    </row>
    <row r="110">
      <c r="A110" s="97">
        <v>108.0</v>
      </c>
      <c r="B110" s="98" t="s">
        <v>187</v>
      </c>
      <c r="C110" s="99"/>
      <c r="D110" s="100" t="s">
        <v>444</v>
      </c>
      <c r="E110" s="100"/>
    </row>
    <row r="111">
      <c r="A111" s="93">
        <v>109.0</v>
      </c>
      <c r="B111" s="102" t="s">
        <v>181</v>
      </c>
      <c r="C111" s="103"/>
      <c r="D111" s="96" t="str">
        <f t="shared" ref="D111:D132" si="7">LOWER(B111)</f>
        <v>koffing</v>
      </c>
      <c r="E111" s="96"/>
    </row>
    <row r="112">
      <c r="A112" s="97">
        <v>110.0</v>
      </c>
      <c r="B112" s="98" t="s">
        <v>445</v>
      </c>
      <c r="C112" s="99"/>
      <c r="D112" s="100" t="str">
        <f t="shared" si="7"/>
        <v>weezing</v>
      </c>
      <c r="E112" s="100"/>
    </row>
    <row r="113">
      <c r="A113" s="101">
        <v>111.0</v>
      </c>
      <c r="B113" s="102" t="s">
        <v>241</v>
      </c>
      <c r="C113" s="103"/>
      <c r="D113" s="96" t="str">
        <f t="shared" si="7"/>
        <v>rhyhorn</v>
      </c>
      <c r="E113" s="96"/>
    </row>
    <row r="114">
      <c r="A114" s="104">
        <v>112.0</v>
      </c>
      <c r="B114" s="98" t="s">
        <v>446</v>
      </c>
      <c r="C114" s="99"/>
      <c r="D114" s="100" t="str">
        <f t="shared" si="7"/>
        <v>rhydon</v>
      </c>
      <c r="E114" s="100"/>
    </row>
    <row r="115">
      <c r="A115" s="101">
        <v>113.0</v>
      </c>
      <c r="B115" s="102" t="s">
        <v>447</v>
      </c>
      <c r="C115" s="103"/>
      <c r="D115" s="96" t="str">
        <f t="shared" si="7"/>
        <v>chansey</v>
      </c>
      <c r="E115" s="96"/>
    </row>
    <row r="116">
      <c r="A116" s="97">
        <v>114.0</v>
      </c>
      <c r="B116" s="98" t="s">
        <v>448</v>
      </c>
      <c r="C116" s="99"/>
      <c r="D116" s="100" t="str">
        <f t="shared" si="7"/>
        <v>tangela</v>
      </c>
      <c r="E116" s="100"/>
    </row>
    <row r="117">
      <c r="A117" s="93">
        <v>115.0</v>
      </c>
      <c r="B117" s="102" t="s">
        <v>449</v>
      </c>
      <c r="C117" s="103"/>
      <c r="D117" s="96" t="str">
        <f t="shared" si="7"/>
        <v>kangaskhan</v>
      </c>
      <c r="E117" s="96"/>
    </row>
    <row r="118">
      <c r="A118" s="97">
        <v>116.0</v>
      </c>
      <c r="B118" s="98" t="s">
        <v>450</v>
      </c>
      <c r="C118" s="99"/>
      <c r="D118" s="100" t="str">
        <f t="shared" si="7"/>
        <v>horsea</v>
      </c>
      <c r="E118" s="100"/>
    </row>
    <row r="119">
      <c r="A119" s="101">
        <v>117.0</v>
      </c>
      <c r="B119" s="102" t="s">
        <v>451</v>
      </c>
      <c r="C119" s="103"/>
      <c r="D119" s="96" t="str">
        <f t="shared" si="7"/>
        <v>seadra</v>
      </c>
      <c r="E119" s="96"/>
    </row>
    <row r="120">
      <c r="A120" s="104">
        <v>118.0</v>
      </c>
      <c r="B120" s="98" t="s">
        <v>452</v>
      </c>
      <c r="C120" s="99"/>
      <c r="D120" s="100" t="str">
        <f t="shared" si="7"/>
        <v>goldeen</v>
      </c>
      <c r="E120" s="100"/>
    </row>
    <row r="121">
      <c r="A121" s="101">
        <v>119.0</v>
      </c>
      <c r="B121" s="102" t="s">
        <v>453</v>
      </c>
      <c r="C121" s="103"/>
      <c r="D121" s="96" t="str">
        <f t="shared" si="7"/>
        <v>seaking</v>
      </c>
      <c r="E121" s="96"/>
    </row>
    <row r="122">
      <c r="A122" s="97">
        <v>120.0</v>
      </c>
      <c r="B122" s="98" t="s">
        <v>289</v>
      </c>
      <c r="C122" s="99"/>
      <c r="D122" s="100" t="str">
        <f t="shared" si="7"/>
        <v>staryu</v>
      </c>
      <c r="E122" s="100"/>
    </row>
    <row r="123">
      <c r="A123" s="93">
        <v>121.0</v>
      </c>
      <c r="B123" s="102" t="s">
        <v>454</v>
      </c>
      <c r="C123" s="103"/>
      <c r="D123" s="96" t="str">
        <f t="shared" si="7"/>
        <v>starmie</v>
      </c>
      <c r="E123" s="96"/>
    </row>
    <row r="124">
      <c r="A124" s="97">
        <v>122.0</v>
      </c>
      <c r="B124" s="105" t="s">
        <v>455</v>
      </c>
      <c r="C124" s="99"/>
      <c r="D124" s="100" t="str">
        <f t="shared" si="7"/>
        <v>mr. mime</v>
      </c>
      <c r="E124" s="100"/>
    </row>
    <row r="125">
      <c r="A125" s="101">
        <v>123.0</v>
      </c>
      <c r="B125" s="102" t="s">
        <v>318</v>
      </c>
      <c r="C125" s="103"/>
      <c r="D125" s="96" t="str">
        <f t="shared" si="7"/>
        <v>scyther</v>
      </c>
      <c r="E125" s="96"/>
    </row>
    <row r="126">
      <c r="A126" s="104">
        <v>124.0</v>
      </c>
      <c r="B126" s="98" t="s">
        <v>456</v>
      </c>
      <c r="C126" s="99"/>
      <c r="D126" s="100" t="str">
        <f t="shared" si="7"/>
        <v>jynx</v>
      </c>
      <c r="E126" s="100"/>
    </row>
    <row r="127">
      <c r="A127" s="101">
        <v>125.0</v>
      </c>
      <c r="B127" s="102" t="s">
        <v>457</v>
      </c>
      <c r="C127" s="103"/>
      <c r="D127" s="96" t="str">
        <f t="shared" si="7"/>
        <v>electabuzz</v>
      </c>
      <c r="E127" s="96"/>
    </row>
    <row r="128">
      <c r="A128" s="97">
        <v>126.0</v>
      </c>
      <c r="B128" s="98" t="s">
        <v>458</v>
      </c>
      <c r="C128" s="99"/>
      <c r="D128" s="100" t="str">
        <f t="shared" si="7"/>
        <v>magmar</v>
      </c>
      <c r="E128" s="100"/>
    </row>
    <row r="129">
      <c r="A129" s="93">
        <v>127.0</v>
      </c>
      <c r="B129" s="102" t="s">
        <v>285</v>
      </c>
      <c r="C129" s="103"/>
      <c r="D129" s="96" t="str">
        <f t="shared" si="7"/>
        <v>pinsir</v>
      </c>
      <c r="E129" s="96"/>
    </row>
    <row r="130">
      <c r="A130" s="97">
        <v>128.0</v>
      </c>
      <c r="B130" s="98" t="s">
        <v>342</v>
      </c>
      <c r="C130" s="99"/>
      <c r="D130" s="100" t="str">
        <f t="shared" si="7"/>
        <v>tauros</v>
      </c>
      <c r="E130" s="100"/>
    </row>
    <row r="131">
      <c r="A131" s="101">
        <v>129.0</v>
      </c>
      <c r="B131" s="94" t="s">
        <v>459</v>
      </c>
      <c r="C131" s="103"/>
      <c r="D131" s="96" t="str">
        <f t="shared" si="7"/>
        <v>magikarp</v>
      </c>
      <c r="E131" s="96"/>
    </row>
    <row r="132">
      <c r="A132" s="104">
        <v>130.0</v>
      </c>
      <c r="B132" s="98" t="s">
        <v>460</v>
      </c>
      <c r="C132" s="99"/>
      <c r="D132" s="100" t="str">
        <f t="shared" si="7"/>
        <v>gyarados</v>
      </c>
      <c r="E132" s="100"/>
    </row>
    <row r="133">
      <c r="A133" s="101">
        <v>131.0</v>
      </c>
      <c r="B133" s="102" t="s">
        <v>461</v>
      </c>
      <c r="C133" s="103"/>
      <c r="D133" s="96" t="s">
        <v>462</v>
      </c>
      <c r="E133" s="96"/>
    </row>
    <row r="134">
      <c r="A134" s="97">
        <v>132.0</v>
      </c>
      <c r="B134" s="98" t="s">
        <v>123</v>
      </c>
      <c r="C134" s="99"/>
      <c r="D134" s="100" t="str">
        <f t="shared" ref="D134:D154" si="8">LOWER(B134)</f>
        <v>ditto</v>
      </c>
      <c r="E134" s="100"/>
    </row>
    <row r="135">
      <c r="A135" s="93">
        <v>133.0</v>
      </c>
      <c r="B135" s="102" t="s">
        <v>133</v>
      </c>
      <c r="C135" s="103"/>
      <c r="D135" s="96" t="str">
        <f t="shared" si="8"/>
        <v>eevee</v>
      </c>
      <c r="E135" s="96"/>
    </row>
    <row r="136">
      <c r="A136" s="97">
        <v>134.0</v>
      </c>
      <c r="B136" s="98" t="s">
        <v>463</v>
      </c>
      <c r="C136" s="99"/>
      <c r="D136" s="100" t="str">
        <f t="shared" si="8"/>
        <v>vaporeon</v>
      </c>
      <c r="E136" s="100"/>
    </row>
    <row r="137">
      <c r="A137" s="101">
        <v>135.0</v>
      </c>
      <c r="B137" s="102" t="s">
        <v>464</v>
      </c>
      <c r="C137" s="103"/>
      <c r="D137" s="96" t="str">
        <f t="shared" si="8"/>
        <v>jolteon</v>
      </c>
      <c r="E137" s="96"/>
    </row>
    <row r="138">
      <c r="A138" s="104">
        <v>136.0</v>
      </c>
      <c r="B138" s="98" t="s">
        <v>465</v>
      </c>
      <c r="C138" s="99"/>
      <c r="D138" s="100" t="str">
        <f t="shared" si="8"/>
        <v>flareon</v>
      </c>
      <c r="E138" s="100"/>
    </row>
    <row r="139">
      <c r="A139" s="101">
        <v>137.0</v>
      </c>
      <c r="B139" s="102" t="s">
        <v>466</v>
      </c>
      <c r="C139" s="103"/>
      <c r="D139" s="96" t="str">
        <f t="shared" si="8"/>
        <v>porygon</v>
      </c>
      <c r="E139" s="96"/>
    </row>
    <row r="140">
      <c r="A140" s="97">
        <v>138.0</v>
      </c>
      <c r="B140" s="98" t="s">
        <v>221</v>
      </c>
      <c r="C140" s="99"/>
      <c r="D140" s="100" t="str">
        <f t="shared" si="8"/>
        <v>omanyte</v>
      </c>
      <c r="E140" s="100"/>
    </row>
    <row r="141">
      <c r="A141" s="93">
        <v>139.0</v>
      </c>
      <c r="B141" s="102" t="s">
        <v>467</v>
      </c>
      <c r="C141" s="103"/>
      <c r="D141" s="96" t="str">
        <f t="shared" si="8"/>
        <v>omastar</v>
      </c>
      <c r="E141" s="96"/>
    </row>
    <row r="142">
      <c r="A142" s="97">
        <v>140.0</v>
      </c>
      <c r="B142" s="98" t="s">
        <v>177</v>
      </c>
      <c r="C142" s="99"/>
      <c r="D142" s="100" t="str">
        <f t="shared" si="8"/>
        <v>kabuto</v>
      </c>
      <c r="E142" s="100"/>
    </row>
    <row r="143">
      <c r="A143" s="101">
        <v>141.0</v>
      </c>
      <c r="B143" s="102" t="s">
        <v>468</v>
      </c>
      <c r="C143" s="103"/>
      <c r="D143" s="96" t="str">
        <f t="shared" si="8"/>
        <v>kabutops</v>
      </c>
      <c r="E143" s="96"/>
    </row>
    <row r="144">
      <c r="A144" s="104">
        <v>142.0</v>
      </c>
      <c r="B144" s="98" t="s">
        <v>469</v>
      </c>
      <c r="C144" s="99"/>
      <c r="D144" s="100" t="str">
        <f t="shared" si="8"/>
        <v>aerodactyl</v>
      </c>
      <c r="E144" s="100"/>
    </row>
    <row r="145">
      <c r="A145" s="101">
        <v>143.0</v>
      </c>
      <c r="B145" s="102" t="s">
        <v>470</v>
      </c>
      <c r="C145" s="103"/>
      <c r="D145" s="96" t="str">
        <f t="shared" si="8"/>
        <v>snorlax</v>
      </c>
      <c r="E145" s="96"/>
    </row>
    <row r="146">
      <c r="A146" s="97">
        <v>144.0</v>
      </c>
      <c r="B146" s="98" t="s">
        <v>471</v>
      </c>
      <c r="C146" s="99"/>
      <c r="D146" s="100" t="str">
        <f t="shared" si="8"/>
        <v>articuno</v>
      </c>
      <c r="E146" s="100"/>
    </row>
    <row r="147">
      <c r="A147" s="93">
        <v>145.0</v>
      </c>
      <c r="B147" s="102" t="s">
        <v>472</v>
      </c>
      <c r="C147" s="103"/>
      <c r="D147" s="96" t="str">
        <f t="shared" si="8"/>
        <v>zapdos</v>
      </c>
      <c r="E147" s="96"/>
    </row>
    <row r="148">
      <c r="A148" s="97">
        <v>146.0</v>
      </c>
      <c r="B148" s="98" t="s">
        <v>473</v>
      </c>
      <c r="C148" s="99"/>
      <c r="D148" s="100" t="str">
        <f t="shared" si="8"/>
        <v>moltres</v>
      </c>
      <c r="E148" s="100"/>
    </row>
    <row r="149">
      <c r="A149" s="101">
        <v>147.0</v>
      </c>
      <c r="B149" s="102" t="s">
        <v>126</v>
      </c>
      <c r="C149" s="103"/>
      <c r="D149" s="103" t="str">
        <f t="shared" si="8"/>
        <v>dratini</v>
      </c>
      <c r="E149" s="103"/>
    </row>
    <row r="150">
      <c r="A150" s="104">
        <v>148.0</v>
      </c>
      <c r="B150" s="98" t="s">
        <v>474</v>
      </c>
      <c r="C150" s="99"/>
      <c r="D150" s="100" t="str">
        <f t="shared" si="8"/>
        <v>dragonair</v>
      </c>
      <c r="E150" s="100"/>
    </row>
    <row r="151">
      <c r="A151" s="101">
        <v>149.0</v>
      </c>
      <c r="B151" s="102" t="s">
        <v>475</v>
      </c>
      <c r="C151" s="103"/>
      <c r="D151" s="96" t="str">
        <f t="shared" si="8"/>
        <v>dragonite</v>
      </c>
      <c r="E151" s="96"/>
    </row>
    <row r="152">
      <c r="A152" s="97">
        <v>150.0</v>
      </c>
      <c r="B152" s="98" t="s">
        <v>476</v>
      </c>
      <c r="C152" s="99"/>
      <c r="D152" s="100" t="str">
        <f t="shared" si="8"/>
        <v>mewtwo</v>
      </c>
      <c r="E152" s="100"/>
    </row>
    <row r="153">
      <c r="A153" s="93">
        <v>151.0</v>
      </c>
      <c r="B153" s="102" t="s">
        <v>477</v>
      </c>
      <c r="C153" s="103"/>
      <c r="D153" s="96" t="str">
        <f t="shared" si="8"/>
        <v>mew</v>
      </c>
      <c r="E153" s="96"/>
    </row>
    <row r="154">
      <c r="A154" s="97">
        <v>152.0</v>
      </c>
      <c r="B154" s="98" t="s">
        <v>88</v>
      </c>
      <c r="C154" s="99"/>
      <c r="D154" s="100" t="str">
        <f t="shared" si="8"/>
        <v>chikorita</v>
      </c>
      <c r="E154" s="100"/>
    </row>
    <row r="155">
      <c r="A155" s="101">
        <v>153.0</v>
      </c>
      <c r="B155" s="102" t="s">
        <v>478</v>
      </c>
      <c r="C155" s="103"/>
      <c r="D155" s="96" t="s">
        <v>479</v>
      </c>
      <c r="E155" s="96"/>
    </row>
    <row r="156">
      <c r="A156" s="104">
        <v>154.0</v>
      </c>
      <c r="B156" s="98" t="s">
        <v>480</v>
      </c>
      <c r="C156" s="99"/>
      <c r="D156" s="100" t="str">
        <f t="shared" ref="D156:D181" si="9">LOWER(B156)</f>
        <v>meganium</v>
      </c>
      <c r="E156" s="100"/>
    </row>
    <row r="157">
      <c r="A157" s="101">
        <v>155.0</v>
      </c>
      <c r="B157" s="102" t="s">
        <v>115</v>
      </c>
      <c r="C157" s="103"/>
      <c r="D157" s="96" t="str">
        <f t="shared" si="9"/>
        <v>cyndaquil</v>
      </c>
      <c r="E157" s="96"/>
    </row>
    <row r="158">
      <c r="A158" s="97">
        <v>156.0</v>
      </c>
      <c r="B158" s="98" t="s">
        <v>481</v>
      </c>
      <c r="C158" s="99"/>
      <c r="D158" s="100" t="str">
        <f t="shared" si="9"/>
        <v>quilava</v>
      </c>
      <c r="E158" s="100"/>
    </row>
    <row r="159">
      <c r="A159" s="93">
        <v>157.0</v>
      </c>
      <c r="B159" s="102" t="s">
        <v>482</v>
      </c>
      <c r="C159" s="103"/>
      <c r="D159" s="96" t="str">
        <f t="shared" si="9"/>
        <v>typhlosion</v>
      </c>
      <c r="E159" s="96"/>
    </row>
    <row r="160">
      <c r="A160" s="97">
        <v>158.0</v>
      </c>
      <c r="B160" s="98" t="s">
        <v>302</v>
      </c>
      <c r="C160" s="99"/>
      <c r="D160" s="100" t="str">
        <f t="shared" si="9"/>
        <v>totodile</v>
      </c>
      <c r="E160" s="100"/>
    </row>
    <row r="161">
      <c r="A161" s="101">
        <v>159.0</v>
      </c>
      <c r="B161" s="102" t="s">
        <v>483</v>
      </c>
      <c r="C161" s="103"/>
      <c r="D161" s="96" t="str">
        <f t="shared" si="9"/>
        <v>croconaw</v>
      </c>
      <c r="E161" s="96"/>
    </row>
    <row r="162">
      <c r="A162" s="104">
        <v>160.0</v>
      </c>
      <c r="B162" s="98" t="s">
        <v>484</v>
      </c>
      <c r="C162" s="99"/>
      <c r="D162" s="100" t="str">
        <f t="shared" si="9"/>
        <v>feraligatr</v>
      </c>
      <c r="E162" s="100"/>
    </row>
    <row r="163">
      <c r="A163" s="101">
        <v>161.0</v>
      </c>
      <c r="B163" s="102" t="s">
        <v>485</v>
      </c>
      <c r="C163" s="103"/>
      <c r="D163" s="96" t="str">
        <f t="shared" si="9"/>
        <v>sentret</v>
      </c>
      <c r="E163" s="96"/>
    </row>
    <row r="164">
      <c r="A164" s="97">
        <v>162.0</v>
      </c>
      <c r="B164" s="98" t="s">
        <v>486</v>
      </c>
      <c r="C164" s="99"/>
      <c r="D164" s="100" t="str">
        <f t="shared" si="9"/>
        <v>furret</v>
      </c>
      <c r="E164" s="100"/>
    </row>
    <row r="165">
      <c r="A165" s="93">
        <v>163.0</v>
      </c>
      <c r="B165" s="102" t="s">
        <v>487</v>
      </c>
      <c r="C165" s="103"/>
      <c r="D165" s="96" t="str">
        <f t="shared" si="9"/>
        <v>hoothoot</v>
      </c>
      <c r="E165" s="96"/>
    </row>
    <row r="166">
      <c r="A166" s="97">
        <v>164.0</v>
      </c>
      <c r="B166" s="98" t="s">
        <v>488</v>
      </c>
      <c r="C166" s="99"/>
      <c r="D166" s="100" t="str">
        <f t="shared" si="9"/>
        <v>noctowl</v>
      </c>
      <c r="E166" s="100"/>
    </row>
    <row r="167">
      <c r="A167" s="101">
        <v>165.0</v>
      </c>
      <c r="B167" s="102" t="s">
        <v>489</v>
      </c>
      <c r="C167" s="103"/>
      <c r="D167" s="96" t="str">
        <f t="shared" si="9"/>
        <v>ledyba</v>
      </c>
      <c r="E167" s="96"/>
    </row>
    <row r="168">
      <c r="A168" s="104">
        <v>166.0</v>
      </c>
      <c r="B168" s="98" t="s">
        <v>490</v>
      </c>
      <c r="C168" s="99"/>
      <c r="D168" s="100" t="str">
        <f t="shared" si="9"/>
        <v>ledian</v>
      </c>
      <c r="E168" s="100"/>
    </row>
    <row r="169">
      <c r="A169" s="101">
        <v>167.0</v>
      </c>
      <c r="B169" s="102" t="s">
        <v>491</v>
      </c>
      <c r="C169" s="103"/>
      <c r="D169" s="96" t="str">
        <f t="shared" si="9"/>
        <v>spinarak</v>
      </c>
      <c r="E169" s="96"/>
    </row>
    <row r="170">
      <c r="A170" s="97">
        <v>168.0</v>
      </c>
      <c r="B170" s="98" t="s">
        <v>492</v>
      </c>
      <c r="C170" s="99"/>
      <c r="D170" s="100" t="str">
        <f t="shared" si="9"/>
        <v>ariados</v>
      </c>
      <c r="E170" s="100"/>
    </row>
    <row r="171">
      <c r="A171" s="93">
        <v>169.0</v>
      </c>
      <c r="B171" s="102" t="s">
        <v>493</v>
      </c>
      <c r="C171" s="103"/>
      <c r="D171" s="96" t="str">
        <f t="shared" si="9"/>
        <v>crobat</v>
      </c>
      <c r="E171" s="96"/>
    </row>
    <row r="172">
      <c r="A172" s="97">
        <v>170.0</v>
      </c>
      <c r="B172" s="98" t="s">
        <v>494</v>
      </c>
      <c r="C172" s="99"/>
      <c r="D172" s="100" t="str">
        <f t="shared" si="9"/>
        <v>chinchou</v>
      </c>
      <c r="E172" s="100"/>
    </row>
    <row r="173">
      <c r="A173" s="101">
        <v>171.0</v>
      </c>
      <c r="B173" s="102" t="s">
        <v>495</v>
      </c>
      <c r="C173" s="103"/>
      <c r="D173" s="96" t="str">
        <f t="shared" si="9"/>
        <v>lanturn</v>
      </c>
      <c r="E173" s="96"/>
    </row>
    <row r="174">
      <c r="A174" s="104">
        <v>172.0</v>
      </c>
      <c r="B174" s="98" t="s">
        <v>496</v>
      </c>
      <c r="C174" s="99"/>
      <c r="D174" s="100" t="str">
        <f t="shared" si="9"/>
        <v>pichu</v>
      </c>
      <c r="E174" s="100"/>
    </row>
    <row r="175">
      <c r="A175" s="101">
        <v>173.0</v>
      </c>
      <c r="B175" s="102" t="s">
        <v>497</v>
      </c>
      <c r="C175" s="103"/>
      <c r="D175" s="96" t="str">
        <f t="shared" si="9"/>
        <v>cleffa</v>
      </c>
      <c r="E175" s="96"/>
    </row>
    <row r="176">
      <c r="A176" s="97">
        <v>174.0</v>
      </c>
      <c r="B176" s="98" t="s">
        <v>498</v>
      </c>
      <c r="C176" s="99"/>
      <c r="D176" s="100" t="str">
        <f t="shared" si="9"/>
        <v>igglybuff</v>
      </c>
      <c r="E176" s="100"/>
    </row>
    <row r="177">
      <c r="A177" s="93">
        <v>175.0</v>
      </c>
      <c r="B177" s="102" t="s">
        <v>300</v>
      </c>
      <c r="C177" s="103"/>
      <c r="D177" s="96" t="str">
        <f t="shared" si="9"/>
        <v>togepi</v>
      </c>
      <c r="E177" s="96"/>
    </row>
    <row r="178">
      <c r="A178" s="97">
        <v>176.0</v>
      </c>
      <c r="B178" s="98" t="s">
        <v>499</v>
      </c>
      <c r="C178" s="99"/>
      <c r="D178" s="100" t="str">
        <f t="shared" si="9"/>
        <v>togetic</v>
      </c>
      <c r="E178" s="100"/>
    </row>
    <row r="179">
      <c r="A179" s="101">
        <v>177.0</v>
      </c>
      <c r="B179" s="102" t="s">
        <v>216</v>
      </c>
      <c r="C179" s="103"/>
      <c r="D179" s="96" t="str">
        <f t="shared" si="9"/>
        <v>natu</v>
      </c>
      <c r="E179" s="96"/>
    </row>
    <row r="180">
      <c r="A180" s="104">
        <v>178.0</v>
      </c>
      <c r="B180" s="98" t="s">
        <v>500</v>
      </c>
      <c r="C180" s="99"/>
      <c r="D180" s="100" t="str">
        <f t="shared" si="9"/>
        <v>xatu</v>
      </c>
      <c r="E180" s="100"/>
    </row>
    <row r="181">
      <c r="A181" s="101">
        <v>179.0</v>
      </c>
      <c r="B181" s="102" t="s">
        <v>501</v>
      </c>
      <c r="C181" s="103"/>
      <c r="D181" s="96" t="str">
        <f t="shared" si="9"/>
        <v>mareep</v>
      </c>
      <c r="E181" s="96"/>
    </row>
    <row r="182">
      <c r="A182" s="97">
        <v>180.0</v>
      </c>
      <c r="B182" s="98" t="s">
        <v>502</v>
      </c>
      <c r="C182" s="99"/>
      <c r="D182" s="100" t="s">
        <v>503</v>
      </c>
      <c r="E182" s="100"/>
    </row>
    <row r="183">
      <c r="A183" s="93">
        <v>181.0</v>
      </c>
      <c r="B183" s="102" t="s">
        <v>504</v>
      </c>
      <c r="C183" s="103"/>
      <c r="D183" s="96" t="s">
        <v>505</v>
      </c>
      <c r="E183" s="96"/>
    </row>
    <row r="184">
      <c r="A184" s="97">
        <v>182.0</v>
      </c>
      <c r="B184" s="98" t="s">
        <v>506</v>
      </c>
      <c r="C184" s="99"/>
      <c r="D184" s="100" t="str">
        <f t="shared" ref="D184:D194" si="10">LOWER(B184)</f>
        <v>bellossom</v>
      </c>
      <c r="E184" s="100"/>
    </row>
    <row r="185">
      <c r="A185" s="101">
        <v>183.0</v>
      </c>
      <c r="B185" s="102" t="s">
        <v>507</v>
      </c>
      <c r="C185" s="103"/>
      <c r="D185" s="96" t="str">
        <f t="shared" si="10"/>
        <v>marill</v>
      </c>
      <c r="E185" s="96"/>
    </row>
    <row r="186">
      <c r="A186" s="104">
        <v>184.0</v>
      </c>
      <c r="B186" s="98" t="s">
        <v>508</v>
      </c>
      <c r="C186" s="99"/>
      <c r="D186" s="100" t="str">
        <f t="shared" si="10"/>
        <v>azumarill</v>
      </c>
      <c r="E186" s="100"/>
    </row>
    <row r="187">
      <c r="A187" s="101">
        <v>185.0</v>
      </c>
      <c r="B187" s="102" t="s">
        <v>509</v>
      </c>
      <c r="C187" s="103"/>
      <c r="D187" s="96" t="str">
        <f t="shared" si="10"/>
        <v>sudowoodo</v>
      </c>
      <c r="E187" s="96"/>
    </row>
    <row r="188">
      <c r="A188" s="97">
        <v>186.0</v>
      </c>
      <c r="B188" s="98" t="s">
        <v>510</v>
      </c>
      <c r="C188" s="99"/>
      <c r="D188" s="100" t="str">
        <f t="shared" si="10"/>
        <v>politoed</v>
      </c>
      <c r="E188" s="100"/>
    </row>
    <row r="189">
      <c r="A189" s="93">
        <v>187.0</v>
      </c>
      <c r="B189" s="102" t="s">
        <v>206</v>
      </c>
      <c r="C189" s="103"/>
      <c r="D189" s="96" t="str">
        <f t="shared" si="10"/>
        <v>hoppip</v>
      </c>
      <c r="E189" s="96"/>
    </row>
    <row r="190">
      <c r="A190" s="97">
        <v>188.0</v>
      </c>
      <c r="B190" s="98" t="s">
        <v>511</v>
      </c>
      <c r="C190" s="99"/>
      <c r="D190" s="100" t="str">
        <f t="shared" si="10"/>
        <v>skiploom</v>
      </c>
      <c r="E190" s="100"/>
    </row>
    <row r="191">
      <c r="A191" s="101">
        <v>189.0</v>
      </c>
      <c r="B191" s="102" t="s">
        <v>512</v>
      </c>
      <c r="C191" s="103"/>
      <c r="D191" s="96" t="str">
        <f t="shared" si="10"/>
        <v>jumpluff</v>
      </c>
      <c r="E191" s="96"/>
    </row>
    <row r="192">
      <c r="A192" s="104">
        <v>190.0</v>
      </c>
      <c r="B192" s="98" t="s">
        <v>513</v>
      </c>
      <c r="C192" s="99"/>
      <c r="D192" s="100" t="str">
        <f t="shared" si="10"/>
        <v>aipom</v>
      </c>
      <c r="E192" s="100"/>
    </row>
    <row r="193">
      <c r="A193" s="101">
        <v>191.0</v>
      </c>
      <c r="B193" s="102" t="s">
        <v>291</v>
      </c>
      <c r="C193" s="103"/>
      <c r="D193" s="96" t="str">
        <f t="shared" si="10"/>
        <v>sunkern</v>
      </c>
      <c r="E193" s="96"/>
    </row>
    <row r="194">
      <c r="A194" s="97">
        <v>192.0</v>
      </c>
      <c r="B194" s="98" t="s">
        <v>514</v>
      </c>
      <c r="C194" s="99"/>
      <c r="D194" s="100" t="str">
        <f t="shared" si="10"/>
        <v>sunflora</v>
      </c>
      <c r="E194" s="100"/>
    </row>
    <row r="195">
      <c r="A195" s="93">
        <v>193.0</v>
      </c>
      <c r="B195" s="102" t="s">
        <v>515</v>
      </c>
      <c r="C195" s="103"/>
      <c r="D195" s="96" t="s">
        <v>516</v>
      </c>
      <c r="E195" s="96"/>
    </row>
    <row r="196">
      <c r="A196" s="97">
        <v>194.0</v>
      </c>
      <c r="B196" s="98" t="s">
        <v>326</v>
      </c>
      <c r="C196" s="99"/>
      <c r="D196" s="100" t="str">
        <f t="shared" ref="D196:D210" si="11">LOWER(B196)</f>
        <v>wooper</v>
      </c>
      <c r="E196" s="100"/>
    </row>
    <row r="197">
      <c r="A197" s="101">
        <v>195.0</v>
      </c>
      <c r="B197" s="102" t="s">
        <v>517</v>
      </c>
      <c r="C197" s="103"/>
      <c r="D197" s="96" t="str">
        <f t="shared" si="11"/>
        <v>quagsire</v>
      </c>
      <c r="E197" s="96"/>
    </row>
    <row r="198">
      <c r="A198" s="104">
        <v>196.0</v>
      </c>
      <c r="B198" s="98" t="s">
        <v>518</v>
      </c>
      <c r="C198" s="99"/>
      <c r="D198" s="99" t="str">
        <f t="shared" si="11"/>
        <v>espeon</v>
      </c>
      <c r="E198" s="99"/>
    </row>
    <row r="199">
      <c r="A199" s="101">
        <v>197.0</v>
      </c>
      <c r="B199" s="102" t="s">
        <v>519</v>
      </c>
      <c r="C199" s="103"/>
      <c r="D199" s="103" t="str">
        <f t="shared" si="11"/>
        <v>umbreon</v>
      </c>
      <c r="E199" s="103"/>
    </row>
    <row r="200">
      <c r="A200" s="97">
        <v>198.0</v>
      </c>
      <c r="B200" s="98" t="s">
        <v>520</v>
      </c>
      <c r="C200" s="99"/>
      <c r="D200" s="100" t="str">
        <f t="shared" si="11"/>
        <v>murkrow</v>
      </c>
      <c r="E200" s="100"/>
    </row>
    <row r="201">
      <c r="A201" s="93">
        <v>199.0</v>
      </c>
      <c r="B201" s="102" t="s">
        <v>521</v>
      </c>
      <c r="C201" s="103"/>
      <c r="D201" s="96" t="str">
        <f t="shared" si="11"/>
        <v>slowking</v>
      </c>
      <c r="E201" s="96"/>
    </row>
    <row r="202">
      <c r="A202" s="97">
        <v>200.0</v>
      </c>
      <c r="B202" s="98" t="s">
        <v>522</v>
      </c>
      <c r="C202" s="99"/>
      <c r="D202" s="100" t="str">
        <f t="shared" si="11"/>
        <v>misdreavus</v>
      </c>
      <c r="E202" s="100"/>
    </row>
    <row r="203">
      <c r="A203" s="101">
        <v>201.0</v>
      </c>
      <c r="B203" s="102" t="s">
        <v>312</v>
      </c>
      <c r="C203" s="103"/>
      <c r="D203" s="96" t="str">
        <f t="shared" si="11"/>
        <v>unown</v>
      </c>
      <c r="E203" s="96"/>
    </row>
    <row r="204">
      <c r="A204" s="104">
        <v>202.0</v>
      </c>
      <c r="B204" s="98" t="s">
        <v>523</v>
      </c>
      <c r="C204" s="99"/>
      <c r="D204" s="100" t="str">
        <f t="shared" si="11"/>
        <v>wobbuffet</v>
      </c>
      <c r="E204" s="100"/>
    </row>
    <row r="205">
      <c r="A205" s="101">
        <v>203.0</v>
      </c>
      <c r="B205" s="102" t="s">
        <v>185</v>
      </c>
      <c r="C205" s="103"/>
      <c r="D205" s="96" t="str">
        <f t="shared" si="11"/>
        <v>girafarig</v>
      </c>
      <c r="E205" s="96"/>
    </row>
    <row r="206">
      <c r="A206" s="97">
        <v>204.0</v>
      </c>
      <c r="B206" s="98" t="s">
        <v>229</v>
      </c>
      <c r="C206" s="99"/>
      <c r="D206" s="100" t="str">
        <f t="shared" si="11"/>
        <v>pineco</v>
      </c>
      <c r="E206" s="100"/>
    </row>
    <row r="207">
      <c r="A207" s="93">
        <v>205.0</v>
      </c>
      <c r="B207" s="102" t="s">
        <v>524</v>
      </c>
      <c r="C207" s="103"/>
      <c r="D207" s="96" t="str">
        <f t="shared" si="11"/>
        <v>forretress</v>
      </c>
      <c r="E207" s="96"/>
    </row>
    <row r="208">
      <c r="A208" s="97">
        <v>206.0</v>
      </c>
      <c r="B208" s="98" t="s">
        <v>149</v>
      </c>
      <c r="C208" s="99"/>
      <c r="D208" s="100" t="str">
        <f t="shared" si="11"/>
        <v>dunsparce</v>
      </c>
      <c r="E208" s="100"/>
    </row>
    <row r="209">
      <c r="A209" s="101">
        <v>207.0</v>
      </c>
      <c r="B209" s="102" t="s">
        <v>525</v>
      </c>
      <c r="C209" s="103"/>
      <c r="D209" s="96" t="str">
        <f t="shared" si="11"/>
        <v>gligar</v>
      </c>
      <c r="E209" s="96"/>
    </row>
    <row r="210">
      <c r="A210" s="104">
        <v>208.0</v>
      </c>
      <c r="B210" s="98" t="s">
        <v>526</v>
      </c>
      <c r="C210" s="99"/>
      <c r="D210" s="100" t="str">
        <f t="shared" si="11"/>
        <v>steelix</v>
      </c>
      <c r="E210" s="100"/>
    </row>
    <row r="211">
      <c r="A211" s="101">
        <v>209.0</v>
      </c>
      <c r="B211" s="102" t="s">
        <v>527</v>
      </c>
      <c r="C211" s="103"/>
      <c r="D211" s="96" t="s">
        <v>528</v>
      </c>
      <c r="E211" s="96"/>
    </row>
    <row r="212">
      <c r="A212" s="97">
        <v>210.0</v>
      </c>
      <c r="B212" s="98" t="s">
        <v>529</v>
      </c>
      <c r="C212" s="99"/>
      <c r="D212" s="100" t="str">
        <f t="shared" ref="D212:D221" si="12">LOWER(B212)</f>
        <v>granbull</v>
      </c>
      <c r="E212" s="100"/>
    </row>
    <row r="213">
      <c r="A213" s="93">
        <v>211.0</v>
      </c>
      <c r="B213" s="102" t="s">
        <v>295</v>
      </c>
      <c r="C213" s="103"/>
      <c r="D213" s="96" t="str">
        <f t="shared" si="12"/>
        <v>qwilfish</v>
      </c>
      <c r="E213" s="96"/>
    </row>
    <row r="214">
      <c r="A214" s="97">
        <v>212.0</v>
      </c>
      <c r="B214" s="98" t="s">
        <v>530</v>
      </c>
      <c r="C214" s="99"/>
      <c r="D214" s="100" t="str">
        <f t="shared" si="12"/>
        <v>scizor</v>
      </c>
      <c r="E214" s="100"/>
    </row>
    <row r="215">
      <c r="A215" s="101">
        <v>213.0</v>
      </c>
      <c r="B215" s="102" t="s">
        <v>327</v>
      </c>
      <c r="C215" s="103"/>
      <c r="D215" s="96" t="str">
        <f t="shared" si="12"/>
        <v>shuckle</v>
      </c>
      <c r="E215" s="96"/>
    </row>
    <row r="216">
      <c r="A216" s="104">
        <v>214.0</v>
      </c>
      <c r="B216" s="98" t="s">
        <v>202</v>
      </c>
      <c r="C216" s="99"/>
      <c r="D216" s="100" t="str">
        <f t="shared" si="12"/>
        <v>heracross</v>
      </c>
      <c r="E216" s="100"/>
    </row>
    <row r="217">
      <c r="A217" s="101">
        <v>215.0</v>
      </c>
      <c r="B217" s="102" t="s">
        <v>531</v>
      </c>
      <c r="C217" s="103"/>
      <c r="D217" s="96" t="str">
        <f t="shared" si="12"/>
        <v>sneasel</v>
      </c>
      <c r="E217" s="96"/>
    </row>
    <row r="218">
      <c r="A218" s="97">
        <v>216.0</v>
      </c>
      <c r="B218" s="98" t="s">
        <v>532</v>
      </c>
      <c r="C218" s="99"/>
      <c r="D218" s="100" t="str">
        <f t="shared" si="12"/>
        <v>teddiursa</v>
      </c>
      <c r="E218" s="100"/>
    </row>
    <row r="219">
      <c r="A219" s="93">
        <v>217.0</v>
      </c>
      <c r="B219" s="102" t="s">
        <v>533</v>
      </c>
      <c r="C219" s="103"/>
      <c r="D219" s="96" t="str">
        <f t="shared" si="12"/>
        <v>ursaring</v>
      </c>
      <c r="E219" s="96"/>
    </row>
    <row r="220">
      <c r="A220" s="97">
        <v>218.0</v>
      </c>
      <c r="B220" s="98" t="s">
        <v>534</v>
      </c>
      <c r="C220" s="99"/>
      <c r="D220" s="100" t="str">
        <f t="shared" si="12"/>
        <v>slugma</v>
      </c>
      <c r="E220" s="100"/>
    </row>
    <row r="221">
      <c r="A221" s="101">
        <v>219.0</v>
      </c>
      <c r="B221" s="102" t="s">
        <v>535</v>
      </c>
      <c r="C221" s="103"/>
      <c r="D221" s="96" t="str">
        <f t="shared" si="12"/>
        <v>magcargo</v>
      </c>
      <c r="E221" s="96"/>
    </row>
    <row r="222">
      <c r="A222" s="104">
        <v>220.0</v>
      </c>
      <c r="B222" s="98" t="s">
        <v>536</v>
      </c>
      <c r="C222" s="99"/>
      <c r="D222" s="100" t="s">
        <v>537</v>
      </c>
      <c r="E222" s="100"/>
    </row>
    <row r="223">
      <c r="A223" s="101">
        <v>221.0</v>
      </c>
      <c r="B223" s="102" t="s">
        <v>538</v>
      </c>
      <c r="C223" s="103"/>
      <c r="D223" s="96" t="s">
        <v>539</v>
      </c>
      <c r="E223" s="96"/>
    </row>
    <row r="224">
      <c r="A224" s="97">
        <v>222.0</v>
      </c>
      <c r="B224" s="98" t="s">
        <v>540</v>
      </c>
      <c r="C224" s="99"/>
      <c r="D224" s="100" t="str">
        <f t="shared" ref="D224:D245" si="13">LOWER(B224)</f>
        <v>corsola</v>
      </c>
      <c r="E224" s="100"/>
    </row>
    <row r="225">
      <c r="A225" s="93">
        <v>223.0</v>
      </c>
      <c r="B225" s="102" t="s">
        <v>240</v>
      </c>
      <c r="C225" s="103"/>
      <c r="D225" s="96" t="str">
        <f t="shared" si="13"/>
        <v>remoraid</v>
      </c>
      <c r="E225" s="96"/>
    </row>
    <row r="226">
      <c r="A226" s="97">
        <v>224.0</v>
      </c>
      <c r="B226" s="98" t="s">
        <v>541</v>
      </c>
      <c r="C226" s="99"/>
      <c r="D226" s="100" t="str">
        <f t="shared" si="13"/>
        <v>octillery</v>
      </c>
      <c r="E226" s="100"/>
    </row>
    <row r="227">
      <c r="A227" s="101">
        <v>225.0</v>
      </c>
      <c r="B227" s="102" t="s">
        <v>138</v>
      </c>
      <c r="C227" s="103"/>
      <c r="D227" s="96" t="str">
        <f t="shared" si="13"/>
        <v>delibird</v>
      </c>
      <c r="E227" s="96"/>
    </row>
    <row r="228">
      <c r="A228" s="104">
        <v>226.0</v>
      </c>
      <c r="B228" s="98" t="s">
        <v>542</v>
      </c>
      <c r="C228" s="99"/>
      <c r="D228" s="100" t="str">
        <f t="shared" si="13"/>
        <v>mantine</v>
      </c>
      <c r="E228" s="100"/>
    </row>
    <row r="229">
      <c r="A229" s="101">
        <v>227.0</v>
      </c>
      <c r="B229" s="102" t="s">
        <v>543</v>
      </c>
      <c r="C229" s="103"/>
      <c r="D229" s="96" t="str">
        <f t="shared" si="13"/>
        <v>skarmory</v>
      </c>
      <c r="E229" s="96"/>
    </row>
    <row r="230">
      <c r="A230" s="97">
        <v>228.0</v>
      </c>
      <c r="B230" s="98" t="s">
        <v>544</v>
      </c>
      <c r="C230" s="99"/>
      <c r="D230" s="100" t="str">
        <f t="shared" si="13"/>
        <v>houndour</v>
      </c>
      <c r="E230" s="100"/>
    </row>
    <row r="231">
      <c r="A231" s="93">
        <v>229.0</v>
      </c>
      <c r="B231" s="102" t="s">
        <v>545</v>
      </c>
      <c r="C231" s="103"/>
      <c r="D231" s="96" t="str">
        <f t="shared" si="13"/>
        <v>houndoom</v>
      </c>
      <c r="E231" s="96"/>
    </row>
    <row r="232">
      <c r="A232" s="97">
        <v>230.0</v>
      </c>
      <c r="B232" s="98" t="s">
        <v>546</v>
      </c>
      <c r="C232" s="99"/>
      <c r="D232" s="100" t="str">
        <f t="shared" si="13"/>
        <v>kingdra</v>
      </c>
      <c r="E232" s="100"/>
    </row>
    <row r="233">
      <c r="A233" s="101">
        <v>231.0</v>
      </c>
      <c r="B233" s="102" t="s">
        <v>547</v>
      </c>
      <c r="C233" s="103"/>
      <c r="D233" s="96" t="str">
        <f t="shared" si="13"/>
        <v>phanpy</v>
      </c>
      <c r="E233" s="96"/>
    </row>
    <row r="234">
      <c r="A234" s="104">
        <v>232.0</v>
      </c>
      <c r="B234" s="98" t="s">
        <v>548</v>
      </c>
      <c r="C234" s="99"/>
      <c r="D234" s="100" t="str">
        <f t="shared" si="13"/>
        <v>donphan</v>
      </c>
      <c r="E234" s="100"/>
    </row>
    <row r="235">
      <c r="A235" s="101">
        <v>233.0</v>
      </c>
      <c r="B235" s="102" t="s">
        <v>549</v>
      </c>
      <c r="C235" s="103"/>
      <c r="D235" s="96" t="str">
        <f t="shared" si="13"/>
        <v>porygon2</v>
      </c>
      <c r="E235" s="96"/>
    </row>
    <row r="236">
      <c r="A236" s="97">
        <v>234.0</v>
      </c>
      <c r="B236" s="98" t="s">
        <v>287</v>
      </c>
      <c r="C236" s="99"/>
      <c r="D236" s="100" t="str">
        <f t="shared" si="13"/>
        <v>stantler</v>
      </c>
      <c r="E236" s="100"/>
    </row>
    <row r="237">
      <c r="A237" s="93">
        <v>235.0</v>
      </c>
      <c r="B237" s="102" t="s">
        <v>550</v>
      </c>
      <c r="C237" s="103"/>
      <c r="D237" s="96" t="str">
        <f t="shared" si="13"/>
        <v>smeargle</v>
      </c>
      <c r="E237" s="96"/>
    </row>
    <row r="238">
      <c r="A238" s="97">
        <v>236.0</v>
      </c>
      <c r="B238" s="105" t="s">
        <v>551</v>
      </c>
      <c r="C238" s="99"/>
      <c r="D238" s="100" t="str">
        <f t="shared" si="13"/>
        <v>tyrogue</v>
      </c>
      <c r="E238" s="100"/>
    </row>
    <row r="239">
      <c r="A239" s="101">
        <v>237.0</v>
      </c>
      <c r="B239" s="102" t="s">
        <v>552</v>
      </c>
      <c r="C239" s="103"/>
      <c r="D239" s="96" t="str">
        <f t="shared" si="13"/>
        <v>hitmontop</v>
      </c>
      <c r="E239" s="96"/>
    </row>
    <row r="240">
      <c r="A240" s="104">
        <v>238.0</v>
      </c>
      <c r="B240" s="98" t="s">
        <v>553</v>
      </c>
      <c r="C240" s="99"/>
      <c r="D240" s="100" t="str">
        <f t="shared" si="13"/>
        <v>smoochum</v>
      </c>
      <c r="E240" s="100"/>
    </row>
    <row r="241">
      <c r="A241" s="101">
        <v>239.0</v>
      </c>
      <c r="B241" s="102" t="s">
        <v>554</v>
      </c>
      <c r="C241" s="103"/>
      <c r="D241" s="96" t="str">
        <f t="shared" si="13"/>
        <v>elekid</v>
      </c>
      <c r="E241" s="96"/>
    </row>
    <row r="242">
      <c r="A242" s="97">
        <v>240.0</v>
      </c>
      <c r="B242" s="98" t="s">
        <v>555</v>
      </c>
      <c r="C242" s="99"/>
      <c r="D242" s="100" t="str">
        <f t="shared" si="13"/>
        <v>magby</v>
      </c>
      <c r="E242" s="100"/>
    </row>
    <row r="243">
      <c r="A243" s="93">
        <v>241.0</v>
      </c>
      <c r="B243" s="102" t="s">
        <v>247</v>
      </c>
      <c r="C243" s="103"/>
      <c r="D243" s="96" t="str">
        <f t="shared" si="13"/>
        <v>miltank</v>
      </c>
      <c r="E243" s="96"/>
    </row>
    <row r="244">
      <c r="A244" s="97">
        <v>242.0</v>
      </c>
      <c r="B244" s="98" t="s">
        <v>556</v>
      </c>
      <c r="C244" s="99"/>
      <c r="D244" s="100" t="str">
        <f t="shared" si="13"/>
        <v>blissey</v>
      </c>
      <c r="E244" s="100"/>
    </row>
    <row r="245">
      <c r="A245" s="101">
        <v>243.0</v>
      </c>
      <c r="B245" s="102" t="s">
        <v>557</v>
      </c>
      <c r="C245" s="103"/>
      <c r="D245" s="96" t="str">
        <f t="shared" si="13"/>
        <v>raikou</v>
      </c>
      <c r="E245" s="96"/>
    </row>
    <row r="246">
      <c r="A246" s="104">
        <v>244.0</v>
      </c>
      <c r="B246" s="98" t="s">
        <v>558</v>
      </c>
      <c r="C246" s="99"/>
      <c r="D246" s="100" t="s">
        <v>559</v>
      </c>
      <c r="E246" s="99"/>
    </row>
    <row r="247">
      <c r="A247" s="101">
        <v>245.0</v>
      </c>
      <c r="B247" s="102" t="s">
        <v>560</v>
      </c>
      <c r="C247" s="103"/>
      <c r="D247" s="96" t="str">
        <f t="shared" ref="D247:D331" si="14">LOWER(B247)</f>
        <v>suicune</v>
      </c>
      <c r="E247" s="96"/>
    </row>
    <row r="248">
      <c r="A248" s="97">
        <v>246.0</v>
      </c>
      <c r="B248" s="98" t="s">
        <v>186</v>
      </c>
      <c r="C248" s="99"/>
      <c r="D248" s="100" t="str">
        <f t="shared" si="14"/>
        <v>larvitar</v>
      </c>
      <c r="E248" s="100"/>
    </row>
    <row r="249">
      <c r="A249" s="93">
        <v>247.0</v>
      </c>
      <c r="B249" s="102" t="s">
        <v>561</v>
      </c>
      <c r="C249" s="103"/>
      <c r="D249" s="96" t="str">
        <f t="shared" si="14"/>
        <v>pupitar</v>
      </c>
      <c r="E249" s="96"/>
    </row>
    <row r="250">
      <c r="A250" s="97">
        <v>248.0</v>
      </c>
      <c r="B250" s="98" t="s">
        <v>562</v>
      </c>
      <c r="C250" s="99"/>
      <c r="D250" s="100" t="str">
        <f t="shared" si="14"/>
        <v>tyranitar</v>
      </c>
      <c r="E250" s="100"/>
    </row>
    <row r="251">
      <c r="A251" s="101">
        <v>249.0</v>
      </c>
      <c r="B251" s="102" t="s">
        <v>563</v>
      </c>
      <c r="C251" s="103"/>
      <c r="D251" s="96" t="str">
        <f t="shared" si="14"/>
        <v>lugia</v>
      </c>
      <c r="E251" s="96"/>
    </row>
    <row r="252">
      <c r="A252" s="104">
        <v>250.0</v>
      </c>
      <c r="B252" s="105" t="s">
        <v>564</v>
      </c>
      <c r="C252" s="99"/>
      <c r="D252" s="100" t="str">
        <f t="shared" si="14"/>
        <v>ho-oh</v>
      </c>
      <c r="E252" s="100"/>
    </row>
    <row r="253">
      <c r="A253" s="101">
        <v>251.0</v>
      </c>
      <c r="B253" s="102" t="s">
        <v>565</v>
      </c>
      <c r="C253" s="103"/>
      <c r="D253" s="96" t="str">
        <f t="shared" si="14"/>
        <v>celebi</v>
      </c>
      <c r="E253" s="96"/>
    </row>
    <row r="254">
      <c r="A254" s="97">
        <v>252.0</v>
      </c>
      <c r="B254" s="98" t="s">
        <v>305</v>
      </c>
      <c r="C254" s="99"/>
      <c r="D254" s="100" t="str">
        <f t="shared" si="14"/>
        <v>treecko</v>
      </c>
      <c r="E254" s="100"/>
    </row>
    <row r="255">
      <c r="A255" s="93">
        <v>253.0</v>
      </c>
      <c r="B255" s="102" t="s">
        <v>566</v>
      </c>
      <c r="C255" s="103"/>
      <c r="D255" s="96" t="str">
        <f t="shared" si="14"/>
        <v>grovyle</v>
      </c>
      <c r="E255" s="96"/>
    </row>
    <row r="256">
      <c r="A256" s="97">
        <v>254.0</v>
      </c>
      <c r="B256" s="98" t="s">
        <v>567</v>
      </c>
      <c r="C256" s="99"/>
      <c r="D256" s="100" t="str">
        <f t="shared" si="14"/>
        <v>sceptile</v>
      </c>
      <c r="E256" s="100"/>
    </row>
    <row r="257">
      <c r="A257" s="101">
        <v>255.0</v>
      </c>
      <c r="B257" s="102" t="s">
        <v>301</v>
      </c>
      <c r="C257" s="103"/>
      <c r="D257" s="96" t="str">
        <f t="shared" si="14"/>
        <v>torchic</v>
      </c>
      <c r="E257" s="96"/>
    </row>
    <row r="258">
      <c r="A258" s="104">
        <v>256.0</v>
      </c>
      <c r="B258" s="98" t="s">
        <v>568</v>
      </c>
      <c r="C258" s="99"/>
      <c r="D258" s="100" t="str">
        <f t="shared" si="14"/>
        <v>combusken</v>
      </c>
      <c r="E258" s="100"/>
    </row>
    <row r="259">
      <c r="A259" s="101">
        <v>257.0</v>
      </c>
      <c r="B259" s="102" t="s">
        <v>569</v>
      </c>
      <c r="C259" s="103"/>
      <c r="D259" s="96" t="str">
        <f t="shared" si="14"/>
        <v>blaziken</v>
      </c>
      <c r="E259" s="96"/>
    </row>
    <row r="260">
      <c r="A260" s="97">
        <v>258.0</v>
      </c>
      <c r="B260" s="98" t="s">
        <v>212</v>
      </c>
      <c r="C260" s="99"/>
      <c r="D260" s="100" t="str">
        <f t="shared" si="14"/>
        <v>mudkip</v>
      </c>
      <c r="E260" s="100"/>
    </row>
    <row r="261">
      <c r="A261" s="93">
        <v>259.0</v>
      </c>
      <c r="B261" s="102" t="s">
        <v>570</v>
      </c>
      <c r="C261" s="103"/>
      <c r="D261" s="96" t="str">
        <f t="shared" si="14"/>
        <v>marshtomp</v>
      </c>
      <c r="E261" s="96"/>
    </row>
    <row r="262">
      <c r="A262" s="97">
        <v>260.0</v>
      </c>
      <c r="B262" s="98" t="s">
        <v>571</v>
      </c>
      <c r="C262" s="99"/>
      <c r="D262" s="100" t="str">
        <f t="shared" si="14"/>
        <v>swampert</v>
      </c>
      <c r="E262" s="100"/>
    </row>
    <row r="263">
      <c r="A263" s="101">
        <v>261.0</v>
      </c>
      <c r="B263" s="102" t="s">
        <v>572</v>
      </c>
      <c r="C263" s="103"/>
      <c r="D263" s="96" t="str">
        <f t="shared" si="14"/>
        <v>poochyena</v>
      </c>
      <c r="E263" s="96"/>
    </row>
    <row r="264">
      <c r="A264" s="104">
        <v>262.0</v>
      </c>
      <c r="B264" s="98" t="s">
        <v>573</v>
      </c>
      <c r="C264" s="99"/>
      <c r="D264" s="100" t="str">
        <f t="shared" si="14"/>
        <v>mightyena</v>
      </c>
      <c r="E264" s="100"/>
    </row>
    <row r="265">
      <c r="A265" s="101">
        <v>263.0</v>
      </c>
      <c r="B265" s="102" t="s">
        <v>574</v>
      </c>
      <c r="C265" s="103"/>
      <c r="D265" s="96" t="str">
        <f t="shared" si="14"/>
        <v>zigzagoon</v>
      </c>
      <c r="E265" s="96"/>
    </row>
    <row r="266">
      <c r="A266" s="97">
        <v>264.0</v>
      </c>
      <c r="B266" s="98" t="s">
        <v>575</v>
      </c>
      <c r="C266" s="99"/>
      <c r="D266" s="100" t="str">
        <f t="shared" si="14"/>
        <v>linoone</v>
      </c>
      <c r="E266" s="100"/>
    </row>
    <row r="267">
      <c r="A267" s="93">
        <v>265.0</v>
      </c>
      <c r="B267" s="102" t="s">
        <v>576</v>
      </c>
      <c r="C267" s="103"/>
      <c r="D267" s="96" t="str">
        <f t="shared" si="14"/>
        <v>wurmple</v>
      </c>
      <c r="E267" s="96"/>
    </row>
    <row r="268">
      <c r="A268" s="97">
        <v>266.0</v>
      </c>
      <c r="B268" s="98" t="s">
        <v>577</v>
      </c>
      <c r="C268" s="99"/>
      <c r="D268" s="100" t="str">
        <f t="shared" si="14"/>
        <v>silcoon</v>
      </c>
      <c r="E268" s="100"/>
    </row>
    <row r="269">
      <c r="A269" s="101">
        <v>267.0</v>
      </c>
      <c r="B269" s="102" t="s">
        <v>578</v>
      </c>
      <c r="C269" s="103"/>
      <c r="D269" s="96" t="str">
        <f t="shared" si="14"/>
        <v>beautifly</v>
      </c>
      <c r="E269" s="96"/>
    </row>
    <row r="270">
      <c r="A270" s="104">
        <v>268.0</v>
      </c>
      <c r="B270" s="98" t="s">
        <v>579</v>
      </c>
      <c r="C270" s="99"/>
      <c r="D270" s="100" t="str">
        <f t="shared" si="14"/>
        <v>cascoon</v>
      </c>
      <c r="E270" s="100"/>
    </row>
    <row r="271">
      <c r="A271" s="101">
        <v>269.0</v>
      </c>
      <c r="B271" s="102" t="s">
        <v>580</v>
      </c>
      <c r="C271" s="103"/>
      <c r="D271" s="96" t="str">
        <f t="shared" si="14"/>
        <v>dustox</v>
      </c>
      <c r="E271" s="96"/>
    </row>
    <row r="272">
      <c r="A272" s="97">
        <v>270.0</v>
      </c>
      <c r="B272" s="98" t="s">
        <v>191</v>
      </c>
      <c r="C272" s="99"/>
      <c r="D272" s="100" t="str">
        <f t="shared" si="14"/>
        <v>lotad</v>
      </c>
      <c r="E272" s="100"/>
    </row>
    <row r="273">
      <c r="A273" s="93">
        <v>271.0</v>
      </c>
      <c r="B273" s="102" t="s">
        <v>581</v>
      </c>
      <c r="C273" s="103"/>
      <c r="D273" s="96" t="str">
        <f t="shared" si="14"/>
        <v>lombre</v>
      </c>
      <c r="E273" s="96"/>
    </row>
    <row r="274">
      <c r="A274" s="97">
        <v>272.0</v>
      </c>
      <c r="B274" s="98" t="s">
        <v>582</v>
      </c>
      <c r="C274" s="99"/>
      <c r="D274" s="100" t="str">
        <f t="shared" si="14"/>
        <v>ludicolo</v>
      </c>
      <c r="E274" s="100"/>
    </row>
    <row r="275">
      <c r="A275" s="101">
        <v>273.0</v>
      </c>
      <c r="B275" s="102" t="s">
        <v>255</v>
      </c>
      <c r="C275" s="103"/>
      <c r="D275" s="96" t="str">
        <f t="shared" si="14"/>
        <v>seedot</v>
      </c>
      <c r="E275" s="96"/>
    </row>
    <row r="276">
      <c r="A276" s="104">
        <v>274.0</v>
      </c>
      <c r="B276" s="98" t="s">
        <v>583</v>
      </c>
      <c r="C276" s="99"/>
      <c r="D276" s="100" t="str">
        <f t="shared" si="14"/>
        <v>nuzleaf</v>
      </c>
      <c r="E276" s="100"/>
    </row>
    <row r="277">
      <c r="A277" s="101">
        <v>275.0</v>
      </c>
      <c r="B277" s="102" t="s">
        <v>584</v>
      </c>
      <c r="C277" s="103"/>
      <c r="D277" s="96" t="str">
        <f t="shared" si="14"/>
        <v>shiftry</v>
      </c>
      <c r="E277" s="96"/>
    </row>
    <row r="278">
      <c r="A278" s="97">
        <v>276.0</v>
      </c>
      <c r="B278" s="98" t="s">
        <v>585</v>
      </c>
      <c r="C278" s="99"/>
      <c r="D278" s="100" t="str">
        <f t="shared" si="14"/>
        <v>taillow</v>
      </c>
      <c r="E278" s="100"/>
    </row>
    <row r="279">
      <c r="A279" s="93">
        <v>277.0</v>
      </c>
      <c r="B279" s="102" t="s">
        <v>586</v>
      </c>
      <c r="C279" s="103"/>
      <c r="D279" s="96" t="str">
        <f t="shared" si="14"/>
        <v>swellow</v>
      </c>
      <c r="E279" s="96"/>
    </row>
    <row r="280">
      <c r="A280" s="97">
        <v>278.0</v>
      </c>
      <c r="B280" s="98" t="s">
        <v>587</v>
      </c>
      <c r="C280" s="99"/>
      <c r="D280" s="100" t="str">
        <f t="shared" si="14"/>
        <v>wingull</v>
      </c>
      <c r="E280" s="100"/>
    </row>
    <row r="281">
      <c r="A281" s="101">
        <v>279.0</v>
      </c>
      <c r="B281" s="102" t="s">
        <v>588</v>
      </c>
      <c r="C281" s="103"/>
      <c r="D281" s="96" t="str">
        <f t="shared" si="14"/>
        <v>pelipper</v>
      </c>
      <c r="E281" s="96"/>
    </row>
    <row r="282">
      <c r="A282" s="104">
        <v>280.0</v>
      </c>
      <c r="B282" s="98" t="s">
        <v>238</v>
      </c>
      <c r="C282" s="99"/>
      <c r="D282" s="100" t="str">
        <f t="shared" si="14"/>
        <v>ralts</v>
      </c>
      <c r="E282" s="100"/>
    </row>
    <row r="283">
      <c r="A283" s="101">
        <v>281.0</v>
      </c>
      <c r="B283" s="102" t="s">
        <v>589</v>
      </c>
      <c r="C283" s="103"/>
      <c r="D283" s="96" t="str">
        <f t="shared" si="14"/>
        <v>kirlia</v>
      </c>
      <c r="E283" s="96"/>
    </row>
    <row r="284">
      <c r="A284" s="97">
        <v>282.0</v>
      </c>
      <c r="B284" s="98" t="s">
        <v>590</v>
      </c>
      <c r="C284" s="99"/>
      <c r="D284" s="100" t="str">
        <f t="shared" si="14"/>
        <v>gardevoir</v>
      </c>
      <c r="E284" s="100"/>
    </row>
    <row r="285">
      <c r="A285" s="93">
        <v>283.0</v>
      </c>
      <c r="B285" s="102" t="s">
        <v>591</v>
      </c>
      <c r="C285" s="103"/>
      <c r="D285" s="96" t="str">
        <f t="shared" si="14"/>
        <v>surskit</v>
      </c>
      <c r="E285" s="96"/>
    </row>
    <row r="286">
      <c r="A286" s="97">
        <v>284.0</v>
      </c>
      <c r="B286" s="98" t="s">
        <v>592</v>
      </c>
      <c r="C286" s="99"/>
      <c r="D286" s="100" t="str">
        <f t="shared" si="14"/>
        <v>masquerain</v>
      </c>
      <c r="E286" s="100"/>
    </row>
    <row r="287">
      <c r="A287" s="101">
        <v>285.0</v>
      </c>
      <c r="B287" s="102" t="s">
        <v>593</v>
      </c>
      <c r="C287" s="103"/>
      <c r="D287" s="96" t="str">
        <f t="shared" si="14"/>
        <v>shroomish</v>
      </c>
      <c r="E287" s="96"/>
    </row>
    <row r="288">
      <c r="A288" s="104">
        <v>286.0</v>
      </c>
      <c r="B288" s="98" t="s">
        <v>594</v>
      </c>
      <c r="C288" s="99"/>
      <c r="D288" s="100" t="str">
        <f t="shared" si="14"/>
        <v>breloom</v>
      </c>
      <c r="E288" s="100"/>
    </row>
    <row r="289">
      <c r="A289" s="101">
        <v>287.0</v>
      </c>
      <c r="B289" s="102" t="s">
        <v>270</v>
      </c>
      <c r="C289" s="103"/>
      <c r="D289" s="96" t="str">
        <f t="shared" si="14"/>
        <v>slakoth</v>
      </c>
      <c r="E289" s="96"/>
    </row>
    <row r="290">
      <c r="A290" s="97">
        <v>288.0</v>
      </c>
      <c r="B290" s="98" t="s">
        <v>595</v>
      </c>
      <c r="C290" s="99"/>
      <c r="D290" s="100" t="str">
        <f t="shared" si="14"/>
        <v>vigoroth</v>
      </c>
      <c r="E290" s="100"/>
    </row>
    <row r="291">
      <c r="A291" s="93">
        <v>289.0</v>
      </c>
      <c r="B291" s="102" t="s">
        <v>596</v>
      </c>
      <c r="C291" s="103"/>
      <c r="D291" s="96" t="str">
        <f t="shared" si="14"/>
        <v>slaking</v>
      </c>
      <c r="E291" s="96"/>
    </row>
    <row r="292">
      <c r="A292" s="97">
        <v>290.0</v>
      </c>
      <c r="B292" s="98" t="s">
        <v>597</v>
      </c>
      <c r="C292" s="99"/>
      <c r="D292" s="100" t="str">
        <f t="shared" si="14"/>
        <v>nincada</v>
      </c>
      <c r="E292" s="100"/>
    </row>
    <row r="293">
      <c r="A293" s="101">
        <v>291.0</v>
      </c>
      <c r="B293" s="102" t="s">
        <v>598</v>
      </c>
      <c r="C293" s="103"/>
      <c r="D293" s="96" t="str">
        <f t="shared" si="14"/>
        <v>ninjask</v>
      </c>
      <c r="E293" s="96"/>
    </row>
    <row r="294">
      <c r="A294" s="104">
        <v>292.0</v>
      </c>
      <c r="B294" s="98" t="s">
        <v>599</v>
      </c>
      <c r="C294" s="99"/>
      <c r="D294" s="100" t="str">
        <f t="shared" si="14"/>
        <v>shedinja</v>
      </c>
      <c r="E294" s="100"/>
    </row>
    <row r="295">
      <c r="A295" s="101">
        <v>293.0</v>
      </c>
      <c r="B295" s="102" t="s">
        <v>324</v>
      </c>
      <c r="C295" s="103"/>
      <c r="D295" s="96" t="str">
        <f t="shared" si="14"/>
        <v>whismur</v>
      </c>
      <c r="E295" s="96"/>
    </row>
    <row r="296">
      <c r="A296" s="97">
        <v>294.0</v>
      </c>
      <c r="B296" s="98" t="s">
        <v>600</v>
      </c>
      <c r="C296" s="99"/>
      <c r="D296" s="100" t="str">
        <f t="shared" si="14"/>
        <v>loudred</v>
      </c>
      <c r="E296" s="100"/>
    </row>
    <row r="297">
      <c r="A297" s="93">
        <v>295.0</v>
      </c>
      <c r="B297" s="102" t="s">
        <v>601</v>
      </c>
      <c r="C297" s="103"/>
      <c r="D297" s="96" t="str">
        <f t="shared" si="14"/>
        <v>exploud</v>
      </c>
      <c r="E297" s="96"/>
    </row>
    <row r="298">
      <c r="A298" s="97">
        <v>296.0</v>
      </c>
      <c r="B298" s="98" t="s">
        <v>193</v>
      </c>
      <c r="C298" s="99"/>
      <c r="D298" s="100" t="str">
        <f t="shared" si="14"/>
        <v>makuhita</v>
      </c>
      <c r="E298" s="100"/>
    </row>
    <row r="299">
      <c r="A299" s="101">
        <v>297.0</v>
      </c>
      <c r="B299" s="102" t="s">
        <v>602</v>
      </c>
      <c r="C299" s="103"/>
      <c r="D299" s="96" t="str">
        <f t="shared" si="14"/>
        <v>hariyama</v>
      </c>
      <c r="E299" s="96"/>
    </row>
    <row r="300">
      <c r="A300" s="104">
        <v>298.0</v>
      </c>
      <c r="B300" s="98" t="s">
        <v>603</v>
      </c>
      <c r="C300" s="99"/>
      <c r="D300" s="100" t="str">
        <f t="shared" si="14"/>
        <v>azurill</v>
      </c>
      <c r="E300" s="100"/>
    </row>
    <row r="301">
      <c r="A301" s="101">
        <v>299.0</v>
      </c>
      <c r="B301" s="102" t="s">
        <v>604</v>
      </c>
      <c r="C301" s="103"/>
      <c r="D301" s="96" t="str">
        <f t="shared" si="14"/>
        <v>nosepass</v>
      </c>
      <c r="E301" s="96"/>
    </row>
    <row r="302">
      <c r="A302" s="97">
        <v>300.0</v>
      </c>
      <c r="B302" s="98" t="s">
        <v>266</v>
      </c>
      <c r="C302" s="99"/>
      <c r="D302" s="100" t="str">
        <f t="shared" si="14"/>
        <v>skitty</v>
      </c>
      <c r="E302" s="100"/>
    </row>
    <row r="303">
      <c r="A303" s="93">
        <v>301.0</v>
      </c>
      <c r="B303" s="102" t="s">
        <v>605</v>
      </c>
      <c r="C303" s="103"/>
      <c r="D303" s="96" t="str">
        <f t="shared" si="14"/>
        <v>delcatty</v>
      </c>
      <c r="E303" s="96"/>
    </row>
    <row r="304">
      <c r="A304" s="97">
        <v>302.0</v>
      </c>
      <c r="B304" s="98" t="s">
        <v>311</v>
      </c>
      <c r="C304" s="99"/>
      <c r="D304" s="100" t="str">
        <f t="shared" si="14"/>
        <v>sableye</v>
      </c>
      <c r="E304" s="100"/>
    </row>
    <row r="305">
      <c r="A305" s="101">
        <v>303.0</v>
      </c>
      <c r="B305" s="102" t="s">
        <v>606</v>
      </c>
      <c r="C305" s="103"/>
      <c r="D305" s="96" t="str">
        <f t="shared" si="14"/>
        <v>mawile</v>
      </c>
      <c r="E305" s="96"/>
    </row>
    <row r="306">
      <c r="A306" s="104">
        <v>304.0</v>
      </c>
      <c r="B306" s="98" t="s">
        <v>26</v>
      </c>
      <c r="C306" s="99"/>
      <c r="D306" s="100" t="str">
        <f t="shared" si="14"/>
        <v>aron</v>
      </c>
      <c r="E306" s="100"/>
    </row>
    <row r="307">
      <c r="A307" s="101">
        <v>305.0</v>
      </c>
      <c r="B307" s="102" t="s">
        <v>607</v>
      </c>
      <c r="C307" s="103"/>
      <c r="D307" s="96" t="str">
        <f t="shared" si="14"/>
        <v>lairon</v>
      </c>
      <c r="E307" s="96"/>
    </row>
    <row r="308">
      <c r="A308" s="97">
        <v>306.0</v>
      </c>
      <c r="B308" s="98" t="s">
        <v>608</v>
      </c>
      <c r="C308" s="99"/>
      <c r="D308" s="100" t="str">
        <f t="shared" si="14"/>
        <v>aggron</v>
      </c>
      <c r="E308" s="100"/>
    </row>
    <row r="309">
      <c r="A309" s="93">
        <v>307.0</v>
      </c>
      <c r="B309" s="102" t="s">
        <v>609</v>
      </c>
      <c r="C309" s="103"/>
      <c r="D309" s="96" t="str">
        <f t="shared" si="14"/>
        <v>meditite</v>
      </c>
      <c r="E309" s="96"/>
    </row>
    <row r="310">
      <c r="A310" s="97">
        <v>308.0</v>
      </c>
      <c r="B310" s="98" t="s">
        <v>610</v>
      </c>
      <c r="C310" s="99"/>
      <c r="D310" s="100" t="str">
        <f t="shared" si="14"/>
        <v>medicham</v>
      </c>
      <c r="E310" s="100"/>
    </row>
    <row r="311">
      <c r="A311" s="101">
        <v>309.0</v>
      </c>
      <c r="B311" s="102" t="s">
        <v>135</v>
      </c>
      <c r="C311" s="103"/>
      <c r="D311" s="96" t="str">
        <f t="shared" si="14"/>
        <v>electrike</v>
      </c>
      <c r="E311" s="96"/>
    </row>
    <row r="312">
      <c r="A312" s="104">
        <v>310.0</v>
      </c>
      <c r="B312" s="98" t="s">
        <v>611</v>
      </c>
      <c r="C312" s="99"/>
      <c r="D312" s="100" t="str">
        <f t="shared" si="14"/>
        <v>manectric</v>
      </c>
      <c r="E312" s="100"/>
    </row>
    <row r="313">
      <c r="A313" s="101">
        <v>311.0</v>
      </c>
      <c r="B313" s="102" t="s">
        <v>288</v>
      </c>
      <c r="C313" s="103"/>
      <c r="D313" s="96" t="str">
        <f t="shared" si="14"/>
        <v>plusle</v>
      </c>
      <c r="E313" s="96"/>
    </row>
    <row r="314">
      <c r="A314" s="97">
        <v>312.0</v>
      </c>
      <c r="B314" s="98" t="s">
        <v>207</v>
      </c>
      <c r="C314" s="99"/>
      <c r="D314" s="100" t="str">
        <f t="shared" si="14"/>
        <v>minun</v>
      </c>
      <c r="E314" s="100"/>
    </row>
    <row r="315">
      <c r="A315" s="93">
        <v>313.0</v>
      </c>
      <c r="B315" s="102" t="s">
        <v>347</v>
      </c>
      <c r="C315" s="103"/>
      <c r="D315" s="96" t="str">
        <f t="shared" si="14"/>
        <v>volbeat</v>
      </c>
      <c r="E315" s="96"/>
    </row>
    <row r="316">
      <c r="A316" s="97">
        <v>314.0</v>
      </c>
      <c r="B316" s="98" t="s">
        <v>208</v>
      </c>
      <c r="C316" s="99"/>
      <c r="D316" s="100" t="str">
        <f t="shared" si="14"/>
        <v>illumise</v>
      </c>
      <c r="E316" s="100"/>
    </row>
    <row r="317">
      <c r="A317" s="101">
        <v>315.0</v>
      </c>
      <c r="B317" s="102" t="s">
        <v>612</v>
      </c>
      <c r="C317" s="103"/>
      <c r="D317" s="96" t="str">
        <f t="shared" si="14"/>
        <v>roselia</v>
      </c>
      <c r="E317" s="96"/>
    </row>
    <row r="318">
      <c r="A318" s="104">
        <v>316.0</v>
      </c>
      <c r="B318" s="98" t="s">
        <v>167</v>
      </c>
      <c r="C318" s="99"/>
      <c r="D318" s="100" t="str">
        <f t="shared" si="14"/>
        <v>gulpin</v>
      </c>
      <c r="E318" s="100"/>
    </row>
    <row r="319">
      <c r="A319" s="101">
        <v>317.0</v>
      </c>
      <c r="B319" s="102" t="s">
        <v>613</v>
      </c>
      <c r="C319" s="103"/>
      <c r="D319" s="96" t="str">
        <f t="shared" si="14"/>
        <v>swalot</v>
      </c>
      <c r="E319" s="96"/>
    </row>
    <row r="320">
      <c r="A320" s="97">
        <v>318.0</v>
      </c>
      <c r="B320" s="98" t="s">
        <v>77</v>
      </c>
      <c r="C320" s="99"/>
      <c r="D320" s="100" t="str">
        <f t="shared" si="14"/>
        <v>carvanha</v>
      </c>
      <c r="E320" s="100"/>
    </row>
    <row r="321">
      <c r="A321" s="93">
        <v>319.0</v>
      </c>
      <c r="B321" s="102" t="s">
        <v>614</v>
      </c>
      <c r="C321" s="103"/>
      <c r="D321" s="96" t="str">
        <f t="shared" si="14"/>
        <v>sharpedo</v>
      </c>
      <c r="E321" s="96"/>
    </row>
    <row r="322">
      <c r="A322" s="97">
        <v>320.0</v>
      </c>
      <c r="B322" s="98" t="s">
        <v>323</v>
      </c>
      <c r="C322" s="99"/>
      <c r="D322" s="100" t="str">
        <f t="shared" si="14"/>
        <v>wailmer</v>
      </c>
      <c r="E322" s="100"/>
    </row>
    <row r="323">
      <c r="A323" s="101">
        <v>321.0</v>
      </c>
      <c r="B323" s="102" t="s">
        <v>615</v>
      </c>
      <c r="C323" s="103"/>
      <c r="D323" s="96" t="str">
        <f t="shared" si="14"/>
        <v>wailord</v>
      </c>
      <c r="E323" s="96"/>
    </row>
    <row r="324">
      <c r="A324" s="104">
        <v>322.0</v>
      </c>
      <c r="B324" s="98" t="s">
        <v>616</v>
      </c>
      <c r="C324" s="99"/>
      <c r="D324" s="100" t="str">
        <f t="shared" si="14"/>
        <v>numel</v>
      </c>
      <c r="E324" s="100"/>
    </row>
    <row r="325">
      <c r="A325" s="101">
        <v>323.0</v>
      </c>
      <c r="B325" s="102" t="s">
        <v>617</v>
      </c>
      <c r="C325" s="103"/>
      <c r="D325" s="96" t="str">
        <f t="shared" si="14"/>
        <v>camerupt</v>
      </c>
      <c r="E325" s="96"/>
    </row>
    <row r="326">
      <c r="A326" s="97">
        <v>324.0</v>
      </c>
      <c r="B326" s="98" t="s">
        <v>345</v>
      </c>
      <c r="C326" s="99"/>
      <c r="D326" s="100" t="str">
        <f t="shared" si="14"/>
        <v>torkoal</v>
      </c>
      <c r="E326" s="100"/>
    </row>
    <row r="327">
      <c r="A327" s="93">
        <v>325.0</v>
      </c>
      <c r="B327" s="102" t="s">
        <v>282</v>
      </c>
      <c r="C327" s="103"/>
      <c r="D327" s="96" t="str">
        <f t="shared" si="14"/>
        <v>spoink</v>
      </c>
      <c r="E327" s="96"/>
    </row>
    <row r="328">
      <c r="A328" s="97">
        <v>326.0</v>
      </c>
      <c r="B328" s="98" t="s">
        <v>618</v>
      </c>
      <c r="C328" s="99"/>
      <c r="D328" s="100" t="str">
        <f t="shared" si="14"/>
        <v>grumpig</v>
      </c>
      <c r="E328" s="100"/>
    </row>
    <row r="329">
      <c r="A329" s="101">
        <v>327.0</v>
      </c>
      <c r="B329" s="102" t="s">
        <v>337</v>
      </c>
      <c r="C329" s="103"/>
      <c r="D329" s="96" t="str">
        <f t="shared" si="14"/>
        <v>spinda</v>
      </c>
      <c r="E329" s="96"/>
    </row>
    <row r="330">
      <c r="A330" s="104">
        <v>328.0</v>
      </c>
      <c r="B330" s="98" t="s">
        <v>304</v>
      </c>
      <c r="C330" s="99"/>
      <c r="D330" s="100" t="str">
        <f t="shared" si="14"/>
        <v>trapinch</v>
      </c>
      <c r="E330" s="100"/>
    </row>
    <row r="331">
      <c r="A331" s="101">
        <v>329.0</v>
      </c>
      <c r="B331" s="102" t="s">
        <v>619</v>
      </c>
      <c r="C331" s="103"/>
      <c r="D331" s="96" t="str">
        <f t="shared" si="14"/>
        <v>vibrava</v>
      </c>
      <c r="E331" s="96"/>
    </row>
    <row r="332">
      <c r="A332" s="97">
        <v>330.0</v>
      </c>
      <c r="B332" s="98" t="s">
        <v>620</v>
      </c>
      <c r="C332" s="99"/>
      <c r="D332" s="100" t="s">
        <v>621</v>
      </c>
      <c r="E332" s="100"/>
    </row>
    <row r="333">
      <c r="A333" s="93">
        <v>331.0</v>
      </c>
      <c r="B333" s="102" t="s">
        <v>73</v>
      </c>
      <c r="C333" s="103"/>
      <c r="D333" s="96" t="str">
        <f t="shared" ref="D333:D334" si="15">LOWER(B333)</f>
        <v>cacnea</v>
      </c>
      <c r="E333" s="96"/>
    </row>
    <row r="334">
      <c r="A334" s="97">
        <v>332.0</v>
      </c>
      <c r="B334" s="98" t="s">
        <v>622</v>
      </c>
      <c r="C334" s="99"/>
      <c r="D334" s="100" t="str">
        <f t="shared" si="15"/>
        <v>cacturne</v>
      </c>
      <c r="E334" s="100"/>
    </row>
    <row r="335">
      <c r="A335" s="101">
        <v>333.0</v>
      </c>
      <c r="B335" s="102" t="s">
        <v>292</v>
      </c>
      <c r="C335" s="103"/>
      <c r="D335" s="96" t="s">
        <v>623</v>
      </c>
      <c r="E335" s="96"/>
    </row>
    <row r="336">
      <c r="A336" s="104">
        <v>334.0</v>
      </c>
      <c r="B336" s="98" t="s">
        <v>624</v>
      </c>
      <c r="C336" s="99"/>
      <c r="D336" s="100" t="s">
        <v>625</v>
      </c>
      <c r="E336" s="100"/>
    </row>
    <row r="337">
      <c r="A337" s="101">
        <v>335.0</v>
      </c>
      <c r="B337" s="102" t="s">
        <v>349</v>
      </c>
      <c r="C337" s="103"/>
      <c r="D337" s="96" t="s">
        <v>626</v>
      </c>
      <c r="E337" s="96"/>
    </row>
    <row r="338">
      <c r="A338" s="97">
        <v>336.0</v>
      </c>
      <c r="B338" s="98" t="s">
        <v>322</v>
      </c>
      <c r="C338" s="99"/>
      <c r="D338" s="100" t="s">
        <v>627</v>
      </c>
      <c r="E338" s="100"/>
    </row>
    <row r="339">
      <c r="A339" s="93">
        <v>337.0</v>
      </c>
      <c r="B339" s="102" t="s">
        <v>233</v>
      </c>
      <c r="C339" s="103"/>
      <c r="D339" s="96" t="s">
        <v>628</v>
      </c>
      <c r="E339" s="96"/>
    </row>
    <row r="340">
      <c r="A340" s="97">
        <v>338.0</v>
      </c>
      <c r="B340" s="98" t="s">
        <v>336</v>
      </c>
      <c r="C340" s="99"/>
      <c r="D340" s="100" t="s">
        <v>629</v>
      </c>
      <c r="E340" s="100"/>
    </row>
    <row r="341">
      <c r="A341" s="101">
        <v>339.0</v>
      </c>
      <c r="B341" s="102" t="s">
        <v>41</v>
      </c>
      <c r="C341" s="103"/>
      <c r="D341" s="96" t="s">
        <v>630</v>
      </c>
      <c r="E341" s="96"/>
    </row>
    <row r="342">
      <c r="A342" s="104">
        <v>340.0</v>
      </c>
      <c r="B342" s="98" t="s">
        <v>631</v>
      </c>
      <c r="C342" s="99"/>
      <c r="D342" s="100" t="s">
        <v>632</v>
      </c>
      <c r="E342" s="100"/>
    </row>
    <row r="343">
      <c r="A343" s="101">
        <v>341.0</v>
      </c>
      <c r="B343" s="102" t="s">
        <v>104</v>
      </c>
      <c r="C343" s="103"/>
      <c r="D343" s="96" t="s">
        <v>633</v>
      </c>
      <c r="E343" s="96"/>
    </row>
    <row r="344">
      <c r="A344" s="97">
        <v>342.0</v>
      </c>
      <c r="B344" s="98" t="s">
        <v>634</v>
      </c>
      <c r="C344" s="99"/>
      <c r="D344" s="100" t="str">
        <f t="shared" ref="D344:D488" si="16">LOWER(B344)</f>
        <v>crawdaunt</v>
      </c>
      <c r="E344" s="100"/>
    </row>
    <row r="345">
      <c r="A345" s="93">
        <v>343.0</v>
      </c>
      <c r="B345" s="102" t="s">
        <v>38</v>
      </c>
      <c r="C345" s="103"/>
      <c r="D345" s="96" t="str">
        <f t="shared" si="16"/>
        <v>baltoy</v>
      </c>
      <c r="E345" s="96"/>
    </row>
    <row r="346">
      <c r="A346" s="97">
        <v>344.0</v>
      </c>
      <c r="B346" s="98" t="s">
        <v>635</v>
      </c>
      <c r="C346" s="99"/>
      <c r="D346" s="100" t="str">
        <f t="shared" si="16"/>
        <v>claydol</v>
      </c>
      <c r="E346" s="100"/>
    </row>
    <row r="347">
      <c r="A347" s="101">
        <v>345.0</v>
      </c>
      <c r="B347" s="102" t="s">
        <v>188</v>
      </c>
      <c r="C347" s="103"/>
      <c r="D347" s="96" t="str">
        <f t="shared" si="16"/>
        <v>lileep</v>
      </c>
      <c r="E347" s="96"/>
    </row>
    <row r="348">
      <c r="A348" s="104">
        <v>346.0</v>
      </c>
      <c r="B348" s="98" t="s">
        <v>636</v>
      </c>
      <c r="C348" s="99"/>
      <c r="D348" s="100" t="str">
        <f t="shared" si="16"/>
        <v>cradily</v>
      </c>
      <c r="E348" s="100"/>
    </row>
    <row r="349">
      <c r="A349" s="101">
        <v>347.0</v>
      </c>
      <c r="B349" s="102" t="s">
        <v>17</v>
      </c>
      <c r="C349" s="103"/>
      <c r="D349" s="96" t="str">
        <f t="shared" si="16"/>
        <v>anorith</v>
      </c>
      <c r="E349" s="96"/>
    </row>
    <row r="350">
      <c r="A350" s="97">
        <v>348.0</v>
      </c>
      <c r="B350" s="98" t="s">
        <v>637</v>
      </c>
      <c r="C350" s="99"/>
      <c r="D350" s="100" t="str">
        <f t="shared" si="16"/>
        <v>armaldo</v>
      </c>
      <c r="E350" s="100"/>
    </row>
    <row r="351">
      <c r="A351" s="93">
        <v>349.0</v>
      </c>
      <c r="B351" s="102" t="s">
        <v>142</v>
      </c>
      <c r="C351" s="103"/>
      <c r="D351" s="96" t="str">
        <f t="shared" si="16"/>
        <v>feebas</v>
      </c>
      <c r="E351" s="96"/>
    </row>
    <row r="352">
      <c r="A352" s="97">
        <v>350.0</v>
      </c>
      <c r="B352" s="98" t="s">
        <v>638</v>
      </c>
      <c r="C352" s="99"/>
      <c r="D352" s="100" t="str">
        <f t="shared" si="16"/>
        <v>milotic</v>
      </c>
      <c r="E352" s="100"/>
    </row>
    <row r="353">
      <c r="A353" s="101">
        <v>351.0</v>
      </c>
      <c r="B353" s="102" t="s">
        <v>94</v>
      </c>
      <c r="C353" s="103"/>
      <c r="D353" s="96" t="str">
        <f t="shared" si="16"/>
        <v>castform</v>
      </c>
      <c r="E353" s="96"/>
    </row>
    <row r="354">
      <c r="A354" s="104">
        <v>352.0</v>
      </c>
      <c r="B354" s="98" t="s">
        <v>218</v>
      </c>
      <c r="C354" s="99"/>
      <c r="D354" s="100" t="str">
        <f t="shared" si="16"/>
        <v>kecleon</v>
      </c>
      <c r="E354" s="100"/>
    </row>
    <row r="355">
      <c r="A355" s="101">
        <v>353.0</v>
      </c>
      <c r="B355" s="102" t="s">
        <v>262</v>
      </c>
      <c r="C355" s="103"/>
      <c r="D355" s="96" t="str">
        <f t="shared" si="16"/>
        <v>shuppet</v>
      </c>
      <c r="E355" s="96"/>
    </row>
    <row r="356">
      <c r="A356" s="97">
        <v>354.0</v>
      </c>
      <c r="B356" s="98" t="s">
        <v>639</v>
      </c>
      <c r="C356" s="99"/>
      <c r="D356" s="100" t="str">
        <f t="shared" si="16"/>
        <v>banette</v>
      </c>
      <c r="E356" s="100"/>
    </row>
    <row r="357">
      <c r="A357" s="93">
        <v>355.0</v>
      </c>
      <c r="B357" s="102" t="s">
        <v>131</v>
      </c>
      <c r="C357" s="103"/>
      <c r="D357" s="96" t="str">
        <f t="shared" si="16"/>
        <v>duskull</v>
      </c>
      <c r="E357" s="96"/>
    </row>
    <row r="358">
      <c r="A358" s="97">
        <v>356.0</v>
      </c>
      <c r="B358" s="98" t="s">
        <v>640</v>
      </c>
      <c r="C358" s="99"/>
      <c r="D358" s="100" t="str">
        <f t="shared" si="16"/>
        <v>dusclops</v>
      </c>
      <c r="E358" s="100"/>
    </row>
    <row r="359">
      <c r="A359" s="101">
        <v>357.0</v>
      </c>
      <c r="B359" s="102" t="s">
        <v>346</v>
      </c>
      <c r="C359" s="103"/>
      <c r="D359" s="96" t="str">
        <f t="shared" si="16"/>
        <v>tropius</v>
      </c>
      <c r="E359" s="96"/>
    </row>
    <row r="360">
      <c r="A360" s="104">
        <v>358.0</v>
      </c>
      <c r="B360" s="98" t="s">
        <v>641</v>
      </c>
      <c r="C360" s="99"/>
      <c r="D360" s="100" t="str">
        <f t="shared" si="16"/>
        <v>chimecho</v>
      </c>
      <c r="E360" s="100"/>
    </row>
    <row r="361">
      <c r="A361" s="101">
        <v>359.0</v>
      </c>
      <c r="B361" s="102" t="s">
        <v>642</v>
      </c>
      <c r="C361" s="103"/>
      <c r="D361" s="96" t="str">
        <f t="shared" si="16"/>
        <v>absol</v>
      </c>
      <c r="E361" s="96"/>
    </row>
    <row r="362">
      <c r="A362" s="97">
        <v>360.0</v>
      </c>
      <c r="B362" s="98" t="s">
        <v>328</v>
      </c>
      <c r="C362" s="99"/>
      <c r="D362" s="100" t="str">
        <f t="shared" si="16"/>
        <v>wynaut</v>
      </c>
      <c r="E362" s="100"/>
    </row>
    <row r="363">
      <c r="A363" s="93">
        <v>361.0</v>
      </c>
      <c r="B363" s="102" t="s">
        <v>276</v>
      </c>
      <c r="C363" s="103"/>
      <c r="D363" s="96" t="str">
        <f t="shared" si="16"/>
        <v>snorunt</v>
      </c>
      <c r="E363" s="96"/>
    </row>
    <row r="364">
      <c r="A364" s="97">
        <v>362.0</v>
      </c>
      <c r="B364" s="98" t="s">
        <v>643</v>
      </c>
      <c r="C364" s="99"/>
      <c r="D364" s="100" t="str">
        <f t="shared" si="16"/>
        <v>glalie</v>
      </c>
      <c r="E364" s="100"/>
    </row>
    <row r="365">
      <c r="A365" s="101">
        <v>363.0</v>
      </c>
      <c r="B365" s="102" t="s">
        <v>281</v>
      </c>
      <c r="C365" s="103"/>
      <c r="D365" s="96" t="str">
        <f t="shared" si="16"/>
        <v>spheal</v>
      </c>
      <c r="E365" s="96"/>
    </row>
    <row r="366">
      <c r="A366" s="104">
        <v>364.0</v>
      </c>
      <c r="B366" s="98" t="s">
        <v>644</v>
      </c>
      <c r="C366" s="99"/>
      <c r="D366" s="100" t="str">
        <f t="shared" si="16"/>
        <v>sealeo</v>
      </c>
      <c r="E366" s="100"/>
    </row>
    <row r="367">
      <c r="A367" s="101">
        <v>365.0</v>
      </c>
      <c r="B367" s="94" t="s">
        <v>645</v>
      </c>
      <c r="C367" s="103"/>
      <c r="D367" s="96" t="str">
        <f t="shared" si="16"/>
        <v>walrein</v>
      </c>
      <c r="E367" s="96"/>
    </row>
    <row r="368">
      <c r="A368" s="97">
        <v>366.0</v>
      </c>
      <c r="B368" s="98" t="s">
        <v>96</v>
      </c>
      <c r="C368" s="99"/>
      <c r="D368" s="100" t="str">
        <f t="shared" si="16"/>
        <v>clamperl</v>
      </c>
      <c r="E368" s="100"/>
    </row>
    <row r="369">
      <c r="A369" s="93">
        <v>367.0</v>
      </c>
      <c r="B369" s="102" t="s">
        <v>646</v>
      </c>
      <c r="C369" s="103"/>
      <c r="D369" s="96" t="str">
        <f t="shared" si="16"/>
        <v>huntail</v>
      </c>
      <c r="E369" s="96"/>
    </row>
    <row r="370">
      <c r="A370" s="97">
        <v>368.0</v>
      </c>
      <c r="B370" s="98" t="s">
        <v>647</v>
      </c>
      <c r="C370" s="99"/>
      <c r="D370" s="100" t="str">
        <f t="shared" si="16"/>
        <v>gorebyss</v>
      </c>
      <c r="E370" s="100"/>
    </row>
    <row r="371">
      <c r="A371" s="101">
        <v>369.0</v>
      </c>
      <c r="B371" s="102" t="s">
        <v>299</v>
      </c>
      <c r="C371" s="103"/>
      <c r="D371" s="96" t="str">
        <f t="shared" si="16"/>
        <v>relicanth</v>
      </c>
      <c r="E371" s="96"/>
    </row>
    <row r="372">
      <c r="A372" s="104">
        <v>370.0</v>
      </c>
      <c r="B372" s="98" t="s">
        <v>234</v>
      </c>
      <c r="C372" s="99"/>
      <c r="D372" s="100" t="str">
        <f t="shared" si="16"/>
        <v>luvdisc</v>
      </c>
      <c r="E372" s="100"/>
    </row>
    <row r="373">
      <c r="A373" s="101">
        <v>371.0</v>
      </c>
      <c r="B373" s="102" t="s">
        <v>35</v>
      </c>
      <c r="C373" s="103"/>
      <c r="D373" s="96" t="str">
        <f t="shared" si="16"/>
        <v>bagon</v>
      </c>
      <c r="E373" s="96"/>
    </row>
    <row r="374">
      <c r="A374" s="97">
        <v>372.0</v>
      </c>
      <c r="B374" s="98" t="s">
        <v>648</v>
      </c>
      <c r="C374" s="99"/>
      <c r="D374" s="100" t="str">
        <f t="shared" si="16"/>
        <v>shelgon</v>
      </c>
      <c r="E374" s="100"/>
    </row>
    <row r="375">
      <c r="A375" s="93">
        <v>373.0</v>
      </c>
      <c r="B375" s="102" t="s">
        <v>649</v>
      </c>
      <c r="C375" s="103"/>
      <c r="D375" s="96" t="str">
        <f t="shared" si="16"/>
        <v>salamence</v>
      </c>
      <c r="E375" s="96"/>
    </row>
    <row r="376">
      <c r="A376" s="97">
        <v>374.0</v>
      </c>
      <c r="B376" s="98" t="s">
        <v>44</v>
      </c>
      <c r="C376" s="99"/>
      <c r="D376" s="100" t="str">
        <f t="shared" si="16"/>
        <v>beldum</v>
      </c>
      <c r="E376" s="100"/>
    </row>
    <row r="377">
      <c r="A377" s="101">
        <v>375.0</v>
      </c>
      <c r="B377" s="102" t="s">
        <v>650</v>
      </c>
      <c r="C377" s="103"/>
      <c r="D377" s="96" t="str">
        <f t="shared" si="16"/>
        <v>metang</v>
      </c>
      <c r="E377" s="96"/>
    </row>
    <row r="378">
      <c r="A378" s="104">
        <v>376.0</v>
      </c>
      <c r="B378" s="98" t="s">
        <v>651</v>
      </c>
      <c r="C378" s="99"/>
      <c r="D378" s="100" t="str">
        <f t="shared" si="16"/>
        <v>metagross</v>
      </c>
      <c r="E378" s="100"/>
    </row>
    <row r="379">
      <c r="A379" s="101">
        <v>377.0</v>
      </c>
      <c r="B379" s="102" t="s">
        <v>652</v>
      </c>
      <c r="C379" s="103"/>
      <c r="D379" s="96" t="str">
        <f t="shared" si="16"/>
        <v>regirock</v>
      </c>
      <c r="E379" s="96"/>
    </row>
    <row r="380">
      <c r="A380" s="97">
        <v>378.0</v>
      </c>
      <c r="B380" s="98" t="s">
        <v>653</v>
      </c>
      <c r="C380" s="99"/>
      <c r="D380" s="100" t="str">
        <f t="shared" si="16"/>
        <v>regice</v>
      </c>
      <c r="E380" s="100"/>
    </row>
    <row r="381">
      <c r="A381" s="93">
        <v>379.0</v>
      </c>
      <c r="B381" s="102" t="s">
        <v>654</v>
      </c>
      <c r="C381" s="103"/>
      <c r="D381" s="96" t="str">
        <f t="shared" si="16"/>
        <v>registeel</v>
      </c>
      <c r="E381" s="96"/>
    </row>
    <row r="382">
      <c r="A382" s="97">
        <v>380.0</v>
      </c>
      <c r="B382" s="98" t="s">
        <v>655</v>
      </c>
      <c r="C382" s="99"/>
      <c r="D382" s="100" t="str">
        <f t="shared" si="16"/>
        <v>latias</v>
      </c>
      <c r="E382" s="100"/>
    </row>
    <row r="383">
      <c r="A383" s="101">
        <v>381.0</v>
      </c>
      <c r="B383" s="102" t="s">
        <v>656</v>
      </c>
      <c r="C383" s="103"/>
      <c r="D383" s="96" t="str">
        <f t="shared" si="16"/>
        <v>latios</v>
      </c>
      <c r="E383" s="96"/>
    </row>
    <row r="384">
      <c r="A384" s="104">
        <v>382.0</v>
      </c>
      <c r="B384" s="98" t="s">
        <v>657</v>
      </c>
      <c r="C384" s="99"/>
      <c r="D384" s="100" t="str">
        <f t="shared" si="16"/>
        <v>kyogre</v>
      </c>
      <c r="E384" s="100"/>
    </row>
    <row r="385">
      <c r="A385" s="101">
        <v>383.0</v>
      </c>
      <c r="B385" s="102" t="s">
        <v>658</v>
      </c>
      <c r="C385" s="103"/>
      <c r="D385" s="96" t="str">
        <f t="shared" si="16"/>
        <v>groudon</v>
      </c>
      <c r="E385" s="96"/>
    </row>
    <row r="386">
      <c r="A386" s="97">
        <v>384.0</v>
      </c>
      <c r="B386" s="98" t="s">
        <v>659</v>
      </c>
      <c r="C386" s="99"/>
      <c r="D386" s="100" t="str">
        <f t="shared" si="16"/>
        <v>rayquaza</v>
      </c>
      <c r="E386" s="100"/>
    </row>
    <row r="387">
      <c r="A387" s="93">
        <v>385.0</v>
      </c>
      <c r="B387" s="102" t="s">
        <v>660</v>
      </c>
      <c r="C387" s="103"/>
      <c r="D387" s="96" t="str">
        <f t="shared" si="16"/>
        <v>jirachi</v>
      </c>
      <c r="E387" s="96"/>
    </row>
    <row r="388">
      <c r="A388" s="97">
        <v>386.0</v>
      </c>
      <c r="B388" s="98" t="s">
        <v>661</v>
      </c>
      <c r="C388" s="99"/>
      <c r="D388" s="100" t="str">
        <f t="shared" si="16"/>
        <v>deoxys</v>
      </c>
      <c r="E388" s="100"/>
    </row>
    <row r="389">
      <c r="A389" s="101">
        <v>387.0</v>
      </c>
      <c r="B389" s="102" t="s">
        <v>308</v>
      </c>
      <c r="C389" s="103"/>
      <c r="D389" s="96" t="str">
        <f t="shared" si="16"/>
        <v>turtwig</v>
      </c>
      <c r="E389" s="96"/>
    </row>
    <row r="390">
      <c r="A390" s="104">
        <v>388.0</v>
      </c>
      <c r="B390" s="98" t="s">
        <v>662</v>
      </c>
      <c r="C390" s="99"/>
      <c r="D390" s="100" t="str">
        <f t="shared" si="16"/>
        <v>grotle</v>
      </c>
      <c r="E390" s="100"/>
    </row>
    <row r="391">
      <c r="A391" s="101">
        <v>389.0</v>
      </c>
      <c r="B391" s="102" t="s">
        <v>663</v>
      </c>
      <c r="C391" s="103"/>
      <c r="D391" s="96" t="str">
        <f t="shared" si="16"/>
        <v>torterra</v>
      </c>
      <c r="E391" s="96"/>
    </row>
    <row r="392">
      <c r="A392" s="97">
        <v>390.0</v>
      </c>
      <c r="B392" s="98" t="s">
        <v>91</v>
      </c>
      <c r="C392" s="99"/>
      <c r="D392" s="100" t="str">
        <f t="shared" si="16"/>
        <v>chimchar</v>
      </c>
      <c r="E392" s="100"/>
    </row>
    <row r="393">
      <c r="A393" s="93">
        <v>391.0</v>
      </c>
      <c r="B393" s="102" t="s">
        <v>664</v>
      </c>
      <c r="C393" s="103"/>
      <c r="D393" s="96" t="str">
        <f t="shared" si="16"/>
        <v>monferno</v>
      </c>
      <c r="E393" s="96"/>
    </row>
    <row r="394">
      <c r="A394" s="97">
        <v>392.0</v>
      </c>
      <c r="B394" s="98" t="s">
        <v>665</v>
      </c>
      <c r="C394" s="99"/>
      <c r="D394" s="100" t="str">
        <f t="shared" si="16"/>
        <v>infernape</v>
      </c>
      <c r="E394" s="100"/>
    </row>
    <row r="395">
      <c r="A395" s="101">
        <v>393.0</v>
      </c>
      <c r="B395" s="102" t="s">
        <v>230</v>
      </c>
      <c r="C395" s="103"/>
      <c r="D395" s="96" t="str">
        <f t="shared" si="16"/>
        <v>piplup</v>
      </c>
      <c r="E395" s="96"/>
    </row>
    <row r="396">
      <c r="A396" s="104">
        <v>394.0</v>
      </c>
      <c r="B396" s="98" t="s">
        <v>666</v>
      </c>
      <c r="C396" s="99"/>
      <c r="D396" s="100" t="str">
        <f t="shared" si="16"/>
        <v>prinplup</v>
      </c>
      <c r="E396" s="100"/>
    </row>
    <row r="397">
      <c r="A397" s="101">
        <v>395.0</v>
      </c>
      <c r="B397" s="102" t="s">
        <v>667</v>
      </c>
      <c r="C397" s="103"/>
      <c r="D397" s="96" t="str">
        <f t="shared" si="16"/>
        <v>empoleon</v>
      </c>
      <c r="E397" s="96"/>
    </row>
    <row r="398">
      <c r="A398" s="97">
        <v>396.0</v>
      </c>
      <c r="B398" s="98" t="s">
        <v>668</v>
      </c>
      <c r="C398" s="99"/>
      <c r="D398" s="100" t="str">
        <f t="shared" si="16"/>
        <v>starly</v>
      </c>
      <c r="E398" s="100"/>
    </row>
    <row r="399">
      <c r="A399" s="93">
        <v>397.0</v>
      </c>
      <c r="B399" s="102" t="s">
        <v>669</v>
      </c>
      <c r="C399" s="103"/>
      <c r="D399" s="96" t="str">
        <f t="shared" si="16"/>
        <v>staravia</v>
      </c>
      <c r="E399" s="96"/>
    </row>
    <row r="400">
      <c r="A400" s="97">
        <v>398.0</v>
      </c>
      <c r="B400" s="98" t="s">
        <v>670</v>
      </c>
      <c r="C400" s="99"/>
      <c r="D400" s="100" t="str">
        <f t="shared" si="16"/>
        <v>staraptor</v>
      </c>
      <c r="E400" s="100"/>
    </row>
    <row r="401">
      <c r="A401" s="101">
        <v>399.0</v>
      </c>
      <c r="B401" s="102" t="s">
        <v>671</v>
      </c>
      <c r="C401" s="103"/>
      <c r="D401" s="96" t="str">
        <f t="shared" si="16"/>
        <v>bidoof</v>
      </c>
      <c r="E401" s="96"/>
    </row>
    <row r="402">
      <c r="A402" s="104">
        <v>400.0</v>
      </c>
      <c r="B402" s="98" t="s">
        <v>672</v>
      </c>
      <c r="C402" s="99"/>
      <c r="D402" s="100" t="str">
        <f t="shared" si="16"/>
        <v>bibarel</v>
      </c>
      <c r="E402" s="100"/>
    </row>
    <row r="403">
      <c r="A403" s="101">
        <v>401.0</v>
      </c>
      <c r="B403" s="102" t="s">
        <v>673</v>
      </c>
      <c r="C403" s="103"/>
      <c r="D403" s="96" t="str">
        <f t="shared" si="16"/>
        <v>kricketot</v>
      </c>
      <c r="E403" s="96"/>
    </row>
    <row r="404">
      <c r="A404" s="97">
        <v>402.0</v>
      </c>
      <c r="B404" s="105" t="s">
        <v>674</v>
      </c>
      <c r="C404" s="99"/>
      <c r="D404" s="100" t="str">
        <f t="shared" si="16"/>
        <v>kricketune</v>
      </c>
      <c r="E404" s="100"/>
    </row>
    <row r="405">
      <c r="A405" s="93">
        <v>403.0</v>
      </c>
      <c r="B405" s="102" t="s">
        <v>675</v>
      </c>
      <c r="C405" s="103"/>
      <c r="D405" s="96" t="str">
        <f t="shared" si="16"/>
        <v>shinx</v>
      </c>
      <c r="E405" s="96"/>
    </row>
    <row r="406">
      <c r="A406" s="97">
        <v>404.0</v>
      </c>
      <c r="B406" s="98" t="s">
        <v>676</v>
      </c>
      <c r="C406" s="99"/>
      <c r="D406" s="100" t="str">
        <f t="shared" si="16"/>
        <v>luxio</v>
      </c>
      <c r="E406" s="100"/>
    </row>
    <row r="407">
      <c r="A407" s="101">
        <v>405.0</v>
      </c>
      <c r="B407" s="102" t="s">
        <v>677</v>
      </c>
      <c r="C407" s="103"/>
      <c r="D407" s="96" t="str">
        <f t="shared" si="16"/>
        <v>luxray</v>
      </c>
      <c r="E407" s="96"/>
    </row>
    <row r="408">
      <c r="A408" s="104">
        <v>406.0</v>
      </c>
      <c r="B408" s="98" t="s">
        <v>678</v>
      </c>
      <c r="C408" s="99"/>
      <c r="D408" s="100" t="str">
        <f t="shared" si="16"/>
        <v>budew</v>
      </c>
      <c r="E408" s="100"/>
    </row>
    <row r="409">
      <c r="A409" s="101">
        <v>407.0</v>
      </c>
      <c r="B409" s="102" t="s">
        <v>679</v>
      </c>
      <c r="C409" s="103"/>
      <c r="D409" s="96" t="str">
        <f t="shared" si="16"/>
        <v>roserade</v>
      </c>
      <c r="E409" s="96"/>
    </row>
    <row r="410">
      <c r="A410" s="97">
        <v>408.0</v>
      </c>
      <c r="B410" s="98" t="s">
        <v>110</v>
      </c>
      <c r="C410" s="99"/>
      <c r="D410" s="100" t="str">
        <f t="shared" si="16"/>
        <v>cranidos</v>
      </c>
      <c r="E410" s="100"/>
    </row>
    <row r="411">
      <c r="A411" s="93">
        <v>409.0</v>
      </c>
      <c r="B411" s="102" t="s">
        <v>680</v>
      </c>
      <c r="C411" s="103"/>
      <c r="D411" s="96" t="str">
        <f t="shared" si="16"/>
        <v>rampardos</v>
      </c>
      <c r="E411" s="96"/>
    </row>
    <row r="412">
      <c r="A412" s="97">
        <v>410.0</v>
      </c>
      <c r="B412" s="98" t="s">
        <v>261</v>
      </c>
      <c r="C412" s="99"/>
      <c r="D412" s="100" t="str">
        <f t="shared" si="16"/>
        <v>shieldon</v>
      </c>
      <c r="E412" s="100"/>
    </row>
    <row r="413">
      <c r="A413" s="101">
        <v>411.0</v>
      </c>
      <c r="B413" s="102" t="s">
        <v>681</v>
      </c>
      <c r="C413" s="103"/>
      <c r="D413" s="96" t="str">
        <f t="shared" si="16"/>
        <v>bastiodon</v>
      </c>
      <c r="E413" s="96"/>
    </row>
    <row r="414">
      <c r="A414" s="104">
        <v>412.0</v>
      </c>
      <c r="B414" s="98" t="s">
        <v>682</v>
      </c>
      <c r="C414" s="99"/>
      <c r="D414" s="100" t="str">
        <f t="shared" si="16"/>
        <v>burmy</v>
      </c>
      <c r="E414" s="100"/>
    </row>
    <row r="415">
      <c r="A415" s="101">
        <v>413.0</v>
      </c>
      <c r="B415" s="102" t="s">
        <v>683</v>
      </c>
      <c r="C415" s="103"/>
      <c r="D415" s="96" t="str">
        <f t="shared" si="16"/>
        <v>wormadam</v>
      </c>
      <c r="E415" s="96"/>
    </row>
    <row r="416">
      <c r="A416" s="97">
        <v>414.0</v>
      </c>
      <c r="B416" s="98" t="s">
        <v>684</v>
      </c>
      <c r="C416" s="99"/>
      <c r="D416" s="100" t="str">
        <f t="shared" si="16"/>
        <v>mothim</v>
      </c>
      <c r="E416" s="100"/>
    </row>
    <row r="417">
      <c r="A417" s="93">
        <v>415.0</v>
      </c>
      <c r="B417" s="102" t="s">
        <v>685</v>
      </c>
      <c r="C417" s="103"/>
      <c r="D417" s="96" t="str">
        <f t="shared" si="16"/>
        <v>combee</v>
      </c>
      <c r="E417" s="96"/>
    </row>
    <row r="418">
      <c r="A418" s="97">
        <v>416.0</v>
      </c>
      <c r="B418" s="98" t="s">
        <v>686</v>
      </c>
      <c r="C418" s="99"/>
      <c r="D418" s="100" t="str">
        <f t="shared" si="16"/>
        <v>vespiquen</v>
      </c>
      <c r="E418" s="100"/>
    </row>
    <row r="419">
      <c r="A419" s="101">
        <v>417.0</v>
      </c>
      <c r="B419" s="102" t="s">
        <v>274</v>
      </c>
      <c r="C419" s="103"/>
      <c r="D419" s="96" t="str">
        <f t="shared" si="16"/>
        <v>pachirisu</v>
      </c>
      <c r="E419" s="96"/>
    </row>
    <row r="420">
      <c r="A420" s="104">
        <v>418.0</v>
      </c>
      <c r="B420" s="98" t="s">
        <v>64</v>
      </c>
      <c r="C420" s="99"/>
      <c r="D420" s="100" t="str">
        <f t="shared" si="16"/>
        <v>buizel</v>
      </c>
      <c r="E420" s="100"/>
    </row>
    <row r="421">
      <c r="A421" s="101">
        <v>419.0</v>
      </c>
      <c r="B421" s="102" t="s">
        <v>687</v>
      </c>
      <c r="C421" s="103"/>
      <c r="D421" s="96" t="str">
        <f t="shared" si="16"/>
        <v>floatzel</v>
      </c>
      <c r="E421" s="96"/>
    </row>
    <row r="422">
      <c r="A422" s="97">
        <v>420.0</v>
      </c>
      <c r="B422" s="98" t="s">
        <v>688</v>
      </c>
      <c r="C422" s="99"/>
      <c r="D422" s="100" t="str">
        <f t="shared" si="16"/>
        <v>cherubi</v>
      </c>
      <c r="E422" s="100"/>
    </row>
    <row r="423">
      <c r="A423" s="93">
        <v>421.0</v>
      </c>
      <c r="B423" s="102" t="s">
        <v>689</v>
      </c>
      <c r="C423" s="103"/>
      <c r="D423" s="96" t="str">
        <f t="shared" si="16"/>
        <v>cherrim</v>
      </c>
      <c r="E423" s="96"/>
    </row>
    <row r="424">
      <c r="A424" s="97">
        <v>422.0</v>
      </c>
      <c r="B424" s="98" t="s">
        <v>690</v>
      </c>
      <c r="C424" s="99"/>
      <c r="D424" s="100" t="str">
        <f t="shared" si="16"/>
        <v>shellos</v>
      </c>
      <c r="E424" s="100"/>
    </row>
    <row r="425">
      <c r="A425" s="101">
        <v>423.0</v>
      </c>
      <c r="B425" s="94" t="s">
        <v>691</v>
      </c>
      <c r="C425" s="103"/>
      <c r="D425" s="96" t="str">
        <f t="shared" si="16"/>
        <v>gastrodon</v>
      </c>
      <c r="E425" s="96"/>
    </row>
    <row r="426">
      <c r="A426" s="104">
        <v>424.0</v>
      </c>
      <c r="B426" s="98" t="s">
        <v>692</v>
      </c>
      <c r="C426" s="99"/>
      <c r="D426" s="100" t="str">
        <f t="shared" si="16"/>
        <v>ambipom</v>
      </c>
      <c r="E426" s="100"/>
    </row>
    <row r="427">
      <c r="A427" s="101">
        <v>425.0</v>
      </c>
      <c r="B427" s="102" t="s">
        <v>693</v>
      </c>
      <c r="C427" s="103"/>
      <c r="D427" s="96" t="str">
        <f t="shared" si="16"/>
        <v>drifloon</v>
      </c>
      <c r="E427" s="96"/>
    </row>
    <row r="428">
      <c r="A428" s="97">
        <v>426.0</v>
      </c>
      <c r="B428" s="98" t="s">
        <v>694</v>
      </c>
      <c r="C428" s="99"/>
      <c r="D428" s="100" t="str">
        <f t="shared" si="16"/>
        <v>drifblim</v>
      </c>
      <c r="E428" s="100"/>
    </row>
    <row r="429">
      <c r="A429" s="93">
        <v>427.0</v>
      </c>
      <c r="B429" s="102" t="s">
        <v>69</v>
      </c>
      <c r="C429" s="103"/>
      <c r="D429" s="96" t="str">
        <f t="shared" si="16"/>
        <v>buneary</v>
      </c>
      <c r="E429" s="96"/>
    </row>
    <row r="430">
      <c r="A430" s="97">
        <v>428.0</v>
      </c>
      <c r="B430" s="98" t="s">
        <v>695</v>
      </c>
      <c r="C430" s="99"/>
      <c r="D430" s="100" t="str">
        <f t="shared" si="16"/>
        <v>lopunny</v>
      </c>
      <c r="E430" s="100"/>
    </row>
    <row r="431">
      <c r="A431" s="101">
        <v>429.0</v>
      </c>
      <c r="B431" s="102" t="s">
        <v>696</v>
      </c>
      <c r="C431" s="103"/>
      <c r="D431" s="96" t="str">
        <f t="shared" si="16"/>
        <v>mismagius</v>
      </c>
      <c r="E431" s="96"/>
    </row>
    <row r="432">
      <c r="A432" s="104">
        <v>430.0</v>
      </c>
      <c r="B432" s="98" t="s">
        <v>697</v>
      </c>
      <c r="C432" s="99"/>
      <c r="D432" s="100" t="str">
        <f t="shared" si="16"/>
        <v>honchkrow</v>
      </c>
      <c r="E432" s="100"/>
    </row>
    <row r="433">
      <c r="A433" s="101">
        <v>431.0</v>
      </c>
      <c r="B433" s="102" t="s">
        <v>698</v>
      </c>
      <c r="C433" s="103"/>
      <c r="D433" s="96" t="str">
        <f t="shared" si="16"/>
        <v>glameow</v>
      </c>
      <c r="E433" s="96"/>
    </row>
    <row r="434">
      <c r="A434" s="97">
        <v>432.0</v>
      </c>
      <c r="B434" s="98" t="s">
        <v>699</v>
      </c>
      <c r="C434" s="99"/>
      <c r="D434" s="100" t="str">
        <f t="shared" si="16"/>
        <v>purugly</v>
      </c>
      <c r="E434" s="100"/>
    </row>
    <row r="435">
      <c r="A435" s="93">
        <v>433.0</v>
      </c>
      <c r="B435" s="102" t="s">
        <v>93</v>
      </c>
      <c r="C435" s="103"/>
      <c r="D435" s="96" t="str">
        <f t="shared" si="16"/>
        <v>chingling</v>
      </c>
      <c r="E435" s="96"/>
    </row>
    <row r="436">
      <c r="A436" s="97">
        <v>434.0</v>
      </c>
      <c r="B436" s="98" t="s">
        <v>700</v>
      </c>
      <c r="C436" s="99"/>
      <c r="D436" s="100" t="str">
        <f t="shared" si="16"/>
        <v>stunky</v>
      </c>
      <c r="E436" s="100"/>
    </row>
    <row r="437">
      <c r="A437" s="101">
        <v>435.0</v>
      </c>
      <c r="B437" s="102" t="s">
        <v>701</v>
      </c>
      <c r="C437" s="103"/>
      <c r="D437" s="96" t="str">
        <f t="shared" si="16"/>
        <v>skuntank</v>
      </c>
      <c r="E437" s="96"/>
    </row>
    <row r="438">
      <c r="A438" s="104">
        <v>436.0</v>
      </c>
      <c r="B438" s="98" t="s">
        <v>62</v>
      </c>
      <c r="C438" s="99"/>
      <c r="D438" s="100" t="str">
        <f t="shared" si="16"/>
        <v>bronzor</v>
      </c>
      <c r="E438" s="100"/>
    </row>
    <row r="439">
      <c r="A439" s="101">
        <v>437.0</v>
      </c>
      <c r="B439" s="102" t="s">
        <v>702</v>
      </c>
      <c r="C439" s="103"/>
      <c r="D439" s="96" t="str">
        <f t="shared" si="16"/>
        <v>bronzong</v>
      </c>
      <c r="E439" s="96"/>
    </row>
    <row r="440">
      <c r="A440" s="97">
        <v>438.0</v>
      </c>
      <c r="B440" s="98" t="s">
        <v>57</v>
      </c>
      <c r="C440" s="99"/>
      <c r="D440" s="100" t="str">
        <f t="shared" si="16"/>
        <v>bonsly</v>
      </c>
      <c r="E440" s="100"/>
    </row>
    <row r="441">
      <c r="A441" s="93">
        <v>439.0</v>
      </c>
      <c r="B441" s="94" t="s">
        <v>204</v>
      </c>
      <c r="C441" s="103"/>
      <c r="D441" s="96" t="str">
        <f t="shared" si="16"/>
        <v>mime jr.</v>
      </c>
      <c r="E441" s="96"/>
    </row>
    <row r="442">
      <c r="A442" s="97">
        <v>440.0</v>
      </c>
      <c r="B442" s="98" t="s">
        <v>168</v>
      </c>
      <c r="C442" s="99"/>
      <c r="D442" s="100" t="str">
        <f t="shared" si="16"/>
        <v>happiny</v>
      </c>
      <c r="E442" s="100"/>
    </row>
    <row r="443">
      <c r="A443" s="101">
        <v>441.0</v>
      </c>
      <c r="B443" s="102" t="s">
        <v>102</v>
      </c>
      <c r="C443" s="103"/>
      <c r="D443" s="96" t="str">
        <f t="shared" si="16"/>
        <v>chatot</v>
      </c>
      <c r="E443" s="96"/>
    </row>
    <row r="444">
      <c r="A444" s="104">
        <v>442.0</v>
      </c>
      <c r="B444" s="98" t="s">
        <v>338</v>
      </c>
      <c r="C444" s="99"/>
      <c r="D444" s="100" t="str">
        <f t="shared" si="16"/>
        <v>spiritomb</v>
      </c>
      <c r="E444" s="100"/>
    </row>
    <row r="445">
      <c r="A445" s="101">
        <v>443.0</v>
      </c>
      <c r="B445" s="102" t="s">
        <v>157</v>
      </c>
      <c r="C445" s="103"/>
      <c r="D445" s="96" t="str">
        <f t="shared" si="16"/>
        <v>gible</v>
      </c>
      <c r="E445" s="96"/>
    </row>
    <row r="446">
      <c r="A446" s="97">
        <v>444.0</v>
      </c>
      <c r="B446" s="98" t="s">
        <v>703</v>
      </c>
      <c r="C446" s="99"/>
      <c r="D446" s="100" t="str">
        <f t="shared" si="16"/>
        <v>gabite</v>
      </c>
      <c r="E446" s="100"/>
    </row>
    <row r="447">
      <c r="A447" s="93">
        <v>445.0</v>
      </c>
      <c r="B447" s="102" t="s">
        <v>704</v>
      </c>
      <c r="C447" s="103"/>
      <c r="D447" s="96" t="str">
        <f t="shared" si="16"/>
        <v>garchomp</v>
      </c>
      <c r="E447" s="96"/>
    </row>
    <row r="448">
      <c r="A448" s="97">
        <v>446.0</v>
      </c>
      <c r="B448" s="98" t="s">
        <v>214</v>
      </c>
      <c r="C448" s="99"/>
      <c r="D448" s="100" t="str">
        <f t="shared" si="16"/>
        <v>munchlax</v>
      </c>
      <c r="E448" s="99"/>
    </row>
    <row r="449">
      <c r="A449" s="101">
        <v>447.0</v>
      </c>
      <c r="B449" s="102" t="s">
        <v>242</v>
      </c>
      <c r="C449" s="103"/>
      <c r="D449" s="96" t="str">
        <f t="shared" si="16"/>
        <v>riolu</v>
      </c>
      <c r="E449" s="103"/>
    </row>
    <row r="450">
      <c r="A450" s="104">
        <v>448.0</v>
      </c>
      <c r="B450" s="98" t="s">
        <v>705</v>
      </c>
      <c r="C450" s="99"/>
      <c r="D450" s="100" t="str">
        <f t="shared" si="16"/>
        <v>lucario</v>
      </c>
      <c r="E450" s="99"/>
    </row>
    <row r="451">
      <c r="A451" s="101">
        <v>449.0</v>
      </c>
      <c r="B451" s="102" t="s">
        <v>171</v>
      </c>
      <c r="C451" s="103"/>
      <c r="D451" s="96" t="str">
        <f t="shared" si="16"/>
        <v>hippopotas</v>
      </c>
      <c r="E451" s="96"/>
    </row>
    <row r="452">
      <c r="A452" s="97">
        <v>450.0</v>
      </c>
      <c r="B452" s="98" t="s">
        <v>706</v>
      </c>
      <c r="C452" s="99"/>
      <c r="D452" s="100" t="str">
        <f t="shared" si="16"/>
        <v>hippowdon</v>
      </c>
      <c r="E452" s="100"/>
    </row>
    <row r="453">
      <c r="A453" s="93">
        <v>451.0</v>
      </c>
      <c r="B453" s="102" t="s">
        <v>267</v>
      </c>
      <c r="C453" s="103"/>
      <c r="D453" s="96" t="str">
        <f t="shared" si="16"/>
        <v>skorupi</v>
      </c>
      <c r="E453" s="96"/>
    </row>
    <row r="454">
      <c r="A454" s="97">
        <v>452.0</v>
      </c>
      <c r="B454" s="98" t="s">
        <v>707</v>
      </c>
      <c r="C454" s="99"/>
      <c r="D454" s="100" t="str">
        <f t="shared" si="16"/>
        <v>drapion</v>
      </c>
      <c r="E454" s="100"/>
    </row>
    <row r="455">
      <c r="A455" s="101">
        <v>453.0</v>
      </c>
      <c r="B455" s="102" t="s">
        <v>111</v>
      </c>
      <c r="C455" s="103"/>
      <c r="D455" s="96" t="str">
        <f t="shared" si="16"/>
        <v>croagunk</v>
      </c>
      <c r="E455" s="96"/>
    </row>
    <row r="456">
      <c r="A456" s="104">
        <v>454.0</v>
      </c>
      <c r="B456" s="98" t="s">
        <v>708</v>
      </c>
      <c r="C456" s="99"/>
      <c r="D456" s="100" t="str">
        <f t="shared" si="16"/>
        <v>toxicroak</v>
      </c>
      <c r="E456" s="100"/>
    </row>
    <row r="457">
      <c r="A457" s="101">
        <v>455.0</v>
      </c>
      <c r="B457" s="102" t="s">
        <v>89</v>
      </c>
      <c r="C457" s="103"/>
      <c r="D457" s="96" t="str">
        <f t="shared" si="16"/>
        <v>carnivine</v>
      </c>
      <c r="E457" s="96"/>
    </row>
    <row r="458">
      <c r="A458" s="97">
        <v>456.0</v>
      </c>
      <c r="B458" s="98" t="s">
        <v>145</v>
      </c>
      <c r="C458" s="99"/>
      <c r="D458" s="100" t="str">
        <f t="shared" si="16"/>
        <v>finneon</v>
      </c>
      <c r="E458" s="100"/>
    </row>
    <row r="459">
      <c r="A459" s="93">
        <v>457.0</v>
      </c>
      <c r="B459" s="102" t="s">
        <v>709</v>
      </c>
      <c r="C459" s="103"/>
      <c r="D459" s="96" t="str">
        <f t="shared" si="16"/>
        <v>lumineon</v>
      </c>
      <c r="E459" s="96"/>
    </row>
    <row r="460">
      <c r="A460" s="97">
        <v>458.0</v>
      </c>
      <c r="B460" s="98" t="s">
        <v>194</v>
      </c>
      <c r="C460" s="99"/>
      <c r="D460" s="100" t="str">
        <f t="shared" si="16"/>
        <v>mantyke</v>
      </c>
      <c r="E460" s="100"/>
    </row>
    <row r="461">
      <c r="A461" s="101">
        <v>459.0</v>
      </c>
      <c r="B461" s="102" t="s">
        <v>278</v>
      </c>
      <c r="C461" s="103"/>
      <c r="D461" s="96" t="str">
        <f t="shared" si="16"/>
        <v>snover</v>
      </c>
      <c r="E461" s="96"/>
    </row>
    <row r="462">
      <c r="A462" s="104">
        <v>460.0</v>
      </c>
      <c r="B462" s="98" t="s">
        <v>710</v>
      </c>
      <c r="C462" s="99"/>
      <c r="D462" s="100" t="str">
        <f t="shared" si="16"/>
        <v>abomasnow</v>
      </c>
      <c r="E462" s="100"/>
    </row>
    <row r="463">
      <c r="A463" s="101">
        <v>461.0</v>
      </c>
      <c r="B463" s="102" t="s">
        <v>711</v>
      </c>
      <c r="C463" s="103"/>
      <c r="D463" s="96" t="str">
        <f t="shared" si="16"/>
        <v>weavile</v>
      </c>
      <c r="E463" s="96"/>
    </row>
    <row r="464">
      <c r="A464" s="97">
        <v>462.0</v>
      </c>
      <c r="B464" s="98" t="s">
        <v>712</v>
      </c>
      <c r="C464" s="99"/>
      <c r="D464" s="100" t="str">
        <f t="shared" si="16"/>
        <v>magnezone</v>
      </c>
      <c r="E464" s="100"/>
    </row>
    <row r="465">
      <c r="A465" s="93">
        <v>463.0</v>
      </c>
      <c r="B465" s="102" t="s">
        <v>713</v>
      </c>
      <c r="C465" s="103"/>
      <c r="D465" s="96" t="str">
        <f t="shared" si="16"/>
        <v>lickilicky</v>
      </c>
      <c r="E465" s="96"/>
    </row>
    <row r="466">
      <c r="A466" s="97">
        <v>464.0</v>
      </c>
      <c r="B466" s="98" t="s">
        <v>714</v>
      </c>
      <c r="C466" s="99"/>
      <c r="D466" s="100" t="str">
        <f t="shared" si="16"/>
        <v>rhyperior</v>
      </c>
      <c r="E466" s="100"/>
    </row>
    <row r="467">
      <c r="A467" s="101">
        <v>465.0</v>
      </c>
      <c r="B467" s="102" t="s">
        <v>715</v>
      </c>
      <c r="C467" s="103"/>
      <c r="D467" s="96" t="str">
        <f t="shared" si="16"/>
        <v>tangrowth</v>
      </c>
      <c r="E467" s="96"/>
    </row>
    <row r="468">
      <c r="A468" s="104">
        <v>466.0</v>
      </c>
      <c r="B468" s="98" t="s">
        <v>716</v>
      </c>
      <c r="C468" s="99"/>
      <c r="D468" s="100" t="str">
        <f t="shared" si="16"/>
        <v>electivire</v>
      </c>
      <c r="E468" s="100"/>
    </row>
    <row r="469">
      <c r="A469" s="101">
        <v>467.0</v>
      </c>
      <c r="B469" s="102" t="s">
        <v>717</v>
      </c>
      <c r="C469" s="103"/>
      <c r="D469" s="96" t="str">
        <f t="shared" si="16"/>
        <v>magmortar</v>
      </c>
      <c r="E469" s="96"/>
    </row>
    <row r="470">
      <c r="A470" s="97">
        <v>468.0</v>
      </c>
      <c r="B470" s="98" t="s">
        <v>718</v>
      </c>
      <c r="C470" s="99"/>
      <c r="D470" s="100" t="str">
        <f t="shared" si="16"/>
        <v>togekiss</v>
      </c>
      <c r="E470" s="100"/>
    </row>
    <row r="471">
      <c r="A471" s="93">
        <v>469.0</v>
      </c>
      <c r="B471" s="102" t="s">
        <v>719</v>
      </c>
      <c r="C471" s="103"/>
      <c r="D471" s="96" t="str">
        <f t="shared" si="16"/>
        <v>yanmega</v>
      </c>
      <c r="E471" s="96"/>
    </row>
    <row r="472">
      <c r="A472" s="97">
        <v>470.0</v>
      </c>
      <c r="B472" s="98" t="s">
        <v>720</v>
      </c>
      <c r="C472" s="99"/>
      <c r="D472" s="100" t="str">
        <f t="shared" si="16"/>
        <v>leafeon</v>
      </c>
      <c r="E472" s="100"/>
    </row>
    <row r="473">
      <c r="A473" s="101">
        <v>471.0</v>
      </c>
      <c r="B473" s="102" t="s">
        <v>721</v>
      </c>
      <c r="C473" s="103"/>
      <c r="D473" s="96" t="str">
        <f t="shared" si="16"/>
        <v>glaceon</v>
      </c>
      <c r="E473" s="96"/>
    </row>
    <row r="474">
      <c r="A474" s="104">
        <v>472.0</v>
      </c>
      <c r="B474" s="98" t="s">
        <v>722</v>
      </c>
      <c r="C474" s="99"/>
      <c r="D474" s="100" t="str">
        <f t="shared" si="16"/>
        <v>gliscor</v>
      </c>
      <c r="E474" s="100"/>
    </row>
    <row r="475">
      <c r="A475" s="101">
        <v>473.0</v>
      </c>
      <c r="B475" s="102" t="s">
        <v>723</v>
      </c>
      <c r="C475" s="103"/>
      <c r="D475" s="96" t="str">
        <f t="shared" si="16"/>
        <v>mamoswine</v>
      </c>
      <c r="E475" s="96"/>
    </row>
    <row r="476">
      <c r="A476" s="97">
        <v>474.0</v>
      </c>
      <c r="B476" s="105" t="s">
        <v>724</v>
      </c>
      <c r="C476" s="99"/>
      <c r="D476" s="100" t="str">
        <f t="shared" si="16"/>
        <v>porygon-z</v>
      </c>
      <c r="E476" s="100"/>
    </row>
    <row r="477">
      <c r="A477" s="93">
        <v>475.0</v>
      </c>
      <c r="B477" s="102" t="s">
        <v>725</v>
      </c>
      <c r="C477" s="103"/>
      <c r="D477" s="96" t="str">
        <f t="shared" si="16"/>
        <v>gallade</v>
      </c>
      <c r="E477" s="96"/>
    </row>
    <row r="478">
      <c r="A478" s="97">
        <v>476.0</v>
      </c>
      <c r="B478" s="98" t="s">
        <v>726</v>
      </c>
      <c r="C478" s="99"/>
      <c r="D478" s="100" t="str">
        <f t="shared" si="16"/>
        <v>probopass</v>
      </c>
      <c r="E478" s="100"/>
    </row>
    <row r="479">
      <c r="A479" s="101">
        <v>477.0</v>
      </c>
      <c r="B479" s="102" t="s">
        <v>727</v>
      </c>
      <c r="C479" s="103"/>
      <c r="D479" s="96" t="str">
        <f t="shared" si="16"/>
        <v>dusknoir</v>
      </c>
      <c r="E479" s="96"/>
    </row>
    <row r="480">
      <c r="A480" s="104">
        <v>478.0</v>
      </c>
      <c r="B480" s="98" t="s">
        <v>728</v>
      </c>
      <c r="C480" s="99"/>
      <c r="D480" s="100" t="str">
        <f t="shared" si="16"/>
        <v>froslass</v>
      </c>
      <c r="E480" s="100"/>
    </row>
    <row r="481">
      <c r="A481" s="101">
        <v>479.0</v>
      </c>
      <c r="B481" s="102" t="s">
        <v>307</v>
      </c>
      <c r="C481" s="103"/>
      <c r="D481" s="96" t="str">
        <f t="shared" si="16"/>
        <v>rotom</v>
      </c>
      <c r="E481" s="96"/>
    </row>
    <row r="482">
      <c r="A482" s="97">
        <v>480.0</v>
      </c>
      <c r="B482" s="98" t="s">
        <v>729</v>
      </c>
      <c r="C482" s="99"/>
      <c r="D482" s="100" t="str">
        <f t="shared" si="16"/>
        <v>uxie</v>
      </c>
      <c r="E482" s="100"/>
    </row>
    <row r="483">
      <c r="A483" s="93">
        <v>481.0</v>
      </c>
      <c r="B483" s="102" t="s">
        <v>730</v>
      </c>
      <c r="C483" s="103"/>
      <c r="D483" s="96" t="str">
        <f t="shared" si="16"/>
        <v>mesprit</v>
      </c>
      <c r="E483" s="96"/>
    </row>
    <row r="484">
      <c r="A484" s="97">
        <v>482.0</v>
      </c>
      <c r="B484" s="98" t="s">
        <v>731</v>
      </c>
      <c r="C484" s="99"/>
      <c r="D484" s="100" t="str">
        <f t="shared" si="16"/>
        <v>azelf</v>
      </c>
      <c r="E484" s="100"/>
    </row>
    <row r="485">
      <c r="A485" s="101">
        <v>483.0</v>
      </c>
      <c r="B485" s="102" t="s">
        <v>732</v>
      </c>
      <c r="C485" s="103"/>
      <c r="D485" s="96" t="str">
        <f t="shared" si="16"/>
        <v>dialga</v>
      </c>
      <c r="E485" s="96"/>
    </row>
    <row r="486">
      <c r="A486" s="104">
        <v>484.0</v>
      </c>
      <c r="B486" s="98" t="s">
        <v>733</v>
      </c>
      <c r="C486" s="99"/>
      <c r="D486" s="100" t="str">
        <f t="shared" si="16"/>
        <v>palkia</v>
      </c>
      <c r="E486" s="100"/>
    </row>
    <row r="487">
      <c r="A487" s="101">
        <v>485.0</v>
      </c>
      <c r="B487" s="102" t="s">
        <v>734</v>
      </c>
      <c r="C487" s="103"/>
      <c r="D487" s="96" t="str">
        <f t="shared" si="16"/>
        <v>heatran</v>
      </c>
      <c r="E487" s="96"/>
    </row>
    <row r="488">
      <c r="A488" s="97">
        <v>486.0</v>
      </c>
      <c r="B488" s="98" t="s">
        <v>735</v>
      </c>
      <c r="C488" s="99"/>
      <c r="D488" s="100" t="str">
        <f t="shared" si="16"/>
        <v>regigigas</v>
      </c>
      <c r="E488" s="100"/>
    </row>
    <row r="489">
      <c r="A489" s="93">
        <v>487.0</v>
      </c>
      <c r="B489" s="102" t="s">
        <v>736</v>
      </c>
      <c r="C489" s="103"/>
      <c r="D489" s="96" t="s">
        <v>737</v>
      </c>
      <c r="E489" s="96"/>
    </row>
    <row r="490">
      <c r="A490" s="97">
        <v>488.0</v>
      </c>
      <c r="B490" s="98" t="s">
        <v>738</v>
      </c>
      <c r="C490" s="99"/>
      <c r="D490" s="100" t="str">
        <f>LOWER(B490)</f>
        <v>cresselia</v>
      </c>
      <c r="E490" s="100"/>
    </row>
    <row r="491">
      <c r="A491" s="101">
        <v>489.0</v>
      </c>
      <c r="B491" s="102" t="s">
        <v>228</v>
      </c>
      <c r="C491" s="103"/>
      <c r="D491" s="96" t="s">
        <v>739</v>
      </c>
      <c r="E491" s="96"/>
    </row>
    <row r="492">
      <c r="A492" s="104">
        <v>490.0</v>
      </c>
      <c r="B492" s="98" t="s">
        <v>740</v>
      </c>
      <c r="C492" s="99"/>
      <c r="D492" s="100" t="str">
        <f t="shared" ref="D492:D495" si="17">LOWER(B492)</f>
        <v>manaphy</v>
      </c>
      <c r="E492" s="100"/>
    </row>
    <row r="493">
      <c r="A493" s="101">
        <v>491.0</v>
      </c>
      <c r="B493" s="102" t="s">
        <v>741</v>
      </c>
      <c r="C493" s="103"/>
      <c r="D493" s="96" t="str">
        <f t="shared" si="17"/>
        <v>darkrai</v>
      </c>
      <c r="E493" s="96"/>
    </row>
    <row r="494">
      <c r="A494" s="97">
        <v>492.0</v>
      </c>
      <c r="B494" s="98" t="s">
        <v>742</v>
      </c>
      <c r="C494" s="99"/>
      <c r="D494" s="100" t="str">
        <f t="shared" si="17"/>
        <v>shaymin</v>
      </c>
      <c r="E494" s="100"/>
    </row>
    <row r="495">
      <c r="A495" s="93">
        <v>493.0</v>
      </c>
      <c r="B495" s="102" t="s">
        <v>743</v>
      </c>
      <c r="C495" s="103"/>
      <c r="D495" s="96" t="str">
        <f t="shared" si="17"/>
        <v>arceus</v>
      </c>
      <c r="E495" s="96"/>
    </row>
    <row r="496">
      <c r="A496" s="97">
        <v>494.0</v>
      </c>
      <c r="B496" s="98" t="s">
        <v>744</v>
      </c>
      <c r="C496" s="99"/>
      <c r="D496" s="100" t="s">
        <v>745</v>
      </c>
      <c r="E496" s="100"/>
    </row>
    <row r="497">
      <c r="A497" s="101">
        <v>495.0</v>
      </c>
      <c r="B497" s="102" t="s">
        <v>273</v>
      </c>
      <c r="C497" s="103"/>
      <c r="D497" s="96" t="s">
        <v>746</v>
      </c>
      <c r="E497" s="96"/>
    </row>
    <row r="498">
      <c r="A498" s="104">
        <v>496.0</v>
      </c>
      <c r="B498" s="98" t="s">
        <v>747</v>
      </c>
      <c r="C498" s="99"/>
      <c r="D498" s="100" t="s">
        <v>748</v>
      </c>
      <c r="E498" s="100"/>
    </row>
    <row r="499">
      <c r="A499" s="101">
        <v>497.0</v>
      </c>
      <c r="B499" s="102" t="s">
        <v>749</v>
      </c>
      <c r="C499" s="103"/>
      <c r="D499" s="96" t="str">
        <f t="shared" ref="D499:D537" si="18">LOWER(B499)</f>
        <v>serperior</v>
      </c>
      <c r="E499" s="96"/>
    </row>
    <row r="500">
      <c r="A500" s="97">
        <v>498.0</v>
      </c>
      <c r="B500" s="98" t="s">
        <v>294</v>
      </c>
      <c r="C500" s="99"/>
      <c r="D500" s="100" t="str">
        <f t="shared" si="18"/>
        <v>tepig</v>
      </c>
      <c r="E500" s="100"/>
    </row>
    <row r="501">
      <c r="A501" s="93">
        <v>499.0</v>
      </c>
      <c r="B501" s="102" t="s">
        <v>750</v>
      </c>
      <c r="C501" s="103"/>
      <c r="D501" s="96" t="str">
        <f t="shared" si="18"/>
        <v>pignite</v>
      </c>
      <c r="E501" s="96"/>
    </row>
    <row r="502">
      <c r="A502" s="97">
        <v>500.0</v>
      </c>
      <c r="B502" s="98" t="s">
        <v>751</v>
      </c>
      <c r="C502" s="99"/>
      <c r="D502" s="100" t="str">
        <f t="shared" si="18"/>
        <v>emboar</v>
      </c>
      <c r="E502" s="100"/>
    </row>
    <row r="503">
      <c r="A503" s="101">
        <v>501.0</v>
      </c>
      <c r="B503" s="102" t="s">
        <v>223</v>
      </c>
      <c r="C503" s="103"/>
      <c r="D503" s="96" t="str">
        <f t="shared" si="18"/>
        <v>oshawott</v>
      </c>
      <c r="E503" s="96"/>
    </row>
    <row r="504">
      <c r="A504" s="104">
        <v>502.0</v>
      </c>
      <c r="B504" s="98" t="s">
        <v>752</v>
      </c>
      <c r="C504" s="99"/>
      <c r="D504" s="100" t="str">
        <f t="shared" si="18"/>
        <v>dewott</v>
      </c>
      <c r="E504" s="100"/>
    </row>
    <row r="505">
      <c r="A505" s="101">
        <v>503.0</v>
      </c>
      <c r="B505" s="102" t="s">
        <v>753</v>
      </c>
      <c r="C505" s="103"/>
      <c r="D505" s="96" t="str">
        <f t="shared" si="18"/>
        <v>samurott</v>
      </c>
      <c r="E505" s="96"/>
    </row>
    <row r="506">
      <c r="A506" s="97">
        <v>504.0</v>
      </c>
      <c r="B506" s="98" t="s">
        <v>754</v>
      </c>
      <c r="C506" s="99"/>
      <c r="D506" s="100" t="str">
        <f t="shared" si="18"/>
        <v>patrat</v>
      </c>
      <c r="E506" s="100"/>
    </row>
    <row r="507">
      <c r="A507" s="93">
        <v>505.0</v>
      </c>
      <c r="B507" s="102" t="s">
        <v>755</v>
      </c>
      <c r="C507" s="103"/>
      <c r="D507" s="96" t="str">
        <f t="shared" si="18"/>
        <v>watchog</v>
      </c>
      <c r="E507" s="96"/>
    </row>
    <row r="508">
      <c r="A508" s="97">
        <v>506.0</v>
      </c>
      <c r="B508" s="98" t="s">
        <v>756</v>
      </c>
      <c r="C508" s="99"/>
      <c r="D508" s="100" t="str">
        <f t="shared" si="18"/>
        <v>lillipup</v>
      </c>
      <c r="E508" s="100"/>
    </row>
    <row r="509">
      <c r="A509" s="101">
        <v>507.0</v>
      </c>
      <c r="B509" s="102" t="s">
        <v>757</v>
      </c>
      <c r="C509" s="103"/>
      <c r="D509" s="96" t="str">
        <f t="shared" si="18"/>
        <v>herdier</v>
      </c>
      <c r="E509" s="96"/>
    </row>
    <row r="510">
      <c r="A510" s="104">
        <v>508.0</v>
      </c>
      <c r="B510" s="98" t="s">
        <v>758</v>
      </c>
      <c r="C510" s="99"/>
      <c r="D510" s="100" t="str">
        <f t="shared" si="18"/>
        <v>stoutland</v>
      </c>
      <c r="E510" s="100"/>
    </row>
    <row r="511">
      <c r="A511" s="101">
        <v>509.0</v>
      </c>
      <c r="B511" s="102" t="s">
        <v>237</v>
      </c>
      <c r="C511" s="103"/>
      <c r="D511" s="96" t="str">
        <f t="shared" si="18"/>
        <v>purrloin</v>
      </c>
      <c r="E511" s="96"/>
    </row>
    <row r="512">
      <c r="A512" s="97">
        <v>510.0</v>
      </c>
      <c r="B512" s="98" t="s">
        <v>759</v>
      </c>
      <c r="C512" s="99"/>
      <c r="D512" s="100" t="str">
        <f t="shared" si="18"/>
        <v>liepard</v>
      </c>
      <c r="E512" s="100"/>
    </row>
    <row r="513">
      <c r="A513" s="93">
        <v>511.0</v>
      </c>
      <c r="B513" s="102" t="s">
        <v>760</v>
      </c>
      <c r="C513" s="103"/>
      <c r="D513" s="96" t="str">
        <f t="shared" si="18"/>
        <v>pansage</v>
      </c>
      <c r="E513" s="96"/>
    </row>
    <row r="514">
      <c r="A514" s="97">
        <v>512.0</v>
      </c>
      <c r="B514" s="98" t="s">
        <v>761</v>
      </c>
      <c r="C514" s="99"/>
      <c r="D514" s="100" t="str">
        <f t="shared" si="18"/>
        <v>simisage</v>
      </c>
      <c r="E514" s="100"/>
    </row>
    <row r="515">
      <c r="A515" s="101">
        <v>513.0</v>
      </c>
      <c r="B515" s="102" t="s">
        <v>762</v>
      </c>
      <c r="C515" s="103"/>
      <c r="D515" s="96" t="str">
        <f t="shared" si="18"/>
        <v>pansear</v>
      </c>
      <c r="E515" s="96"/>
    </row>
    <row r="516">
      <c r="A516" s="104">
        <v>514.0</v>
      </c>
      <c r="B516" s="98" t="s">
        <v>763</v>
      </c>
      <c r="C516" s="99"/>
      <c r="D516" s="100" t="str">
        <f t="shared" si="18"/>
        <v>simisear</v>
      </c>
      <c r="E516" s="100"/>
    </row>
    <row r="517">
      <c r="A517" s="101">
        <v>515.0</v>
      </c>
      <c r="B517" s="102" t="s">
        <v>764</v>
      </c>
      <c r="C517" s="103"/>
      <c r="D517" s="96" t="str">
        <f t="shared" si="18"/>
        <v>panpour</v>
      </c>
      <c r="E517" s="96"/>
    </row>
    <row r="518">
      <c r="A518" s="97">
        <v>516.0</v>
      </c>
      <c r="B518" s="98" t="s">
        <v>765</v>
      </c>
      <c r="C518" s="99"/>
      <c r="D518" s="100" t="str">
        <f t="shared" si="18"/>
        <v>simipour</v>
      </c>
      <c r="E518" s="100"/>
    </row>
    <row r="519">
      <c r="A519" s="93">
        <v>517.0</v>
      </c>
      <c r="B519" s="102" t="s">
        <v>215</v>
      </c>
      <c r="C519" s="103"/>
      <c r="D519" s="96" t="str">
        <f t="shared" si="18"/>
        <v>munna</v>
      </c>
      <c r="E519" s="96"/>
    </row>
    <row r="520">
      <c r="A520" s="97">
        <v>518.0</v>
      </c>
      <c r="B520" s="98" t="s">
        <v>766</v>
      </c>
      <c r="C520" s="99"/>
      <c r="D520" s="100" t="str">
        <f t="shared" si="18"/>
        <v>musharna</v>
      </c>
      <c r="E520" s="100"/>
    </row>
    <row r="521">
      <c r="A521" s="101">
        <v>519.0</v>
      </c>
      <c r="B521" s="102" t="s">
        <v>767</v>
      </c>
      <c r="C521" s="103"/>
      <c r="D521" s="96" t="str">
        <f t="shared" si="18"/>
        <v>pidove</v>
      </c>
      <c r="E521" s="96"/>
    </row>
    <row r="522">
      <c r="A522" s="104">
        <v>520.0</v>
      </c>
      <c r="B522" s="98" t="s">
        <v>768</v>
      </c>
      <c r="C522" s="99"/>
      <c r="D522" s="100" t="str">
        <f t="shared" si="18"/>
        <v>tranquill</v>
      </c>
      <c r="E522" s="100"/>
    </row>
    <row r="523">
      <c r="A523" s="101">
        <v>521.0</v>
      </c>
      <c r="B523" s="102" t="s">
        <v>769</v>
      </c>
      <c r="C523" s="103"/>
      <c r="D523" s="96" t="str">
        <f t="shared" si="18"/>
        <v>unfezant</v>
      </c>
      <c r="E523" s="96"/>
    </row>
    <row r="524">
      <c r="A524" s="97">
        <v>522.0</v>
      </c>
      <c r="B524" s="98" t="s">
        <v>54</v>
      </c>
      <c r="C524" s="99"/>
      <c r="D524" s="100" t="str">
        <f t="shared" si="18"/>
        <v>blitzle</v>
      </c>
      <c r="E524" s="100"/>
    </row>
    <row r="525">
      <c r="A525" s="93">
        <v>523.0</v>
      </c>
      <c r="B525" s="94" t="s">
        <v>770</v>
      </c>
      <c r="C525" s="103"/>
      <c r="D525" s="96" t="str">
        <f t="shared" si="18"/>
        <v>zebstrika</v>
      </c>
      <c r="E525" s="96"/>
    </row>
    <row r="526">
      <c r="A526" s="97">
        <v>524.0</v>
      </c>
      <c r="B526" s="98" t="s">
        <v>243</v>
      </c>
      <c r="C526" s="99"/>
      <c r="D526" s="100" t="str">
        <f t="shared" si="18"/>
        <v>roggenrola</v>
      </c>
      <c r="E526" s="99"/>
    </row>
    <row r="527">
      <c r="A527" s="101">
        <v>525.0</v>
      </c>
      <c r="B527" s="102" t="s">
        <v>771</v>
      </c>
      <c r="C527" s="103"/>
      <c r="D527" s="96" t="str">
        <f t="shared" si="18"/>
        <v>boldore</v>
      </c>
      <c r="E527" s="103"/>
    </row>
    <row r="528">
      <c r="A528" s="104">
        <v>526.0</v>
      </c>
      <c r="B528" s="98" t="s">
        <v>772</v>
      </c>
      <c r="C528" s="99"/>
      <c r="D528" s="100" t="str">
        <f t="shared" si="18"/>
        <v>gigalith</v>
      </c>
      <c r="E528" s="100"/>
    </row>
    <row r="529">
      <c r="A529" s="101">
        <v>527.0</v>
      </c>
      <c r="B529" s="102" t="s">
        <v>773</v>
      </c>
      <c r="C529" s="103"/>
      <c r="D529" s="96" t="str">
        <f t="shared" si="18"/>
        <v>woobat</v>
      </c>
      <c r="E529" s="96"/>
    </row>
    <row r="530">
      <c r="A530" s="97">
        <v>528.0</v>
      </c>
      <c r="B530" s="98" t="s">
        <v>774</v>
      </c>
      <c r="C530" s="99"/>
      <c r="D530" s="100" t="str">
        <f t="shared" si="18"/>
        <v>swoobat</v>
      </c>
      <c r="E530" s="100"/>
    </row>
    <row r="531">
      <c r="A531" s="93">
        <v>529.0</v>
      </c>
      <c r="B531" s="102" t="s">
        <v>128</v>
      </c>
      <c r="C531" s="103"/>
      <c r="D531" s="96" t="str">
        <f t="shared" si="18"/>
        <v>drilbur</v>
      </c>
      <c r="E531" s="96"/>
    </row>
    <row r="532">
      <c r="A532" s="97">
        <v>530.0</v>
      </c>
      <c r="B532" s="98" t="s">
        <v>775</v>
      </c>
      <c r="C532" s="99"/>
      <c r="D532" s="100" t="str">
        <f t="shared" si="18"/>
        <v>excadrill</v>
      </c>
      <c r="E532" s="100"/>
    </row>
    <row r="533">
      <c r="A533" s="101">
        <v>531.0</v>
      </c>
      <c r="B533" s="102" t="s">
        <v>776</v>
      </c>
      <c r="C533" s="103"/>
      <c r="D533" s="96" t="str">
        <f t="shared" si="18"/>
        <v>audino</v>
      </c>
      <c r="E533" s="96"/>
    </row>
    <row r="534">
      <c r="A534" s="104">
        <v>532.0</v>
      </c>
      <c r="B534" s="98" t="s">
        <v>296</v>
      </c>
      <c r="C534" s="99"/>
      <c r="D534" s="100" t="str">
        <f t="shared" si="18"/>
        <v>timburr</v>
      </c>
      <c r="E534" s="100"/>
    </row>
    <row r="535">
      <c r="A535" s="101">
        <v>533.0</v>
      </c>
      <c r="B535" s="102" t="s">
        <v>777</v>
      </c>
      <c r="C535" s="103"/>
      <c r="D535" s="96" t="str">
        <f t="shared" si="18"/>
        <v>gurdurr</v>
      </c>
      <c r="E535" s="96"/>
    </row>
    <row r="536">
      <c r="A536" s="97">
        <v>534.0</v>
      </c>
      <c r="B536" s="98" t="s">
        <v>778</v>
      </c>
      <c r="C536" s="99"/>
      <c r="D536" s="100" t="str">
        <f t="shared" si="18"/>
        <v>conkeldurr</v>
      </c>
      <c r="E536" s="99"/>
    </row>
    <row r="537">
      <c r="A537" s="93">
        <v>535.0</v>
      </c>
      <c r="B537" s="102" t="s">
        <v>779</v>
      </c>
      <c r="C537" s="103"/>
      <c r="D537" s="96" t="str">
        <f t="shared" si="18"/>
        <v>tympole</v>
      </c>
      <c r="E537" s="96"/>
    </row>
    <row r="538">
      <c r="A538" s="97">
        <v>536.0</v>
      </c>
      <c r="B538" s="98" t="s">
        <v>780</v>
      </c>
      <c r="C538" s="99"/>
      <c r="D538" s="100"/>
      <c r="E538" s="100"/>
    </row>
    <row r="539">
      <c r="A539" s="101">
        <v>537.0</v>
      </c>
      <c r="B539" s="102" t="s">
        <v>781</v>
      </c>
      <c r="C539" s="103"/>
      <c r="D539" s="96" t="s">
        <v>782</v>
      </c>
      <c r="E539" s="96"/>
    </row>
    <row r="540">
      <c r="A540" s="104">
        <v>538.0</v>
      </c>
      <c r="B540" s="98" t="s">
        <v>343</v>
      </c>
      <c r="C540" s="99"/>
      <c r="D540" s="100" t="s">
        <v>783</v>
      </c>
      <c r="E540" s="100"/>
    </row>
    <row r="541">
      <c r="A541" s="101">
        <v>539.0</v>
      </c>
      <c r="B541" s="102" t="s">
        <v>314</v>
      </c>
      <c r="C541" s="103"/>
      <c r="D541" s="96" t="str">
        <f t="shared" ref="D541:D556" si="19">LOWER(B541)</f>
        <v>sawk</v>
      </c>
      <c r="E541" s="96"/>
    </row>
    <row r="542">
      <c r="A542" s="97">
        <v>540.0</v>
      </c>
      <c r="B542" s="98" t="s">
        <v>784</v>
      </c>
      <c r="C542" s="99"/>
      <c r="D542" s="100" t="str">
        <f t="shared" si="19"/>
        <v>sewaddle</v>
      </c>
      <c r="E542" s="100"/>
    </row>
    <row r="543">
      <c r="A543" s="93">
        <v>541.0</v>
      </c>
      <c r="B543" s="102" t="s">
        <v>785</v>
      </c>
      <c r="C543" s="103"/>
      <c r="D543" s="96" t="str">
        <f t="shared" si="19"/>
        <v>swadloon</v>
      </c>
      <c r="E543" s="96"/>
    </row>
    <row r="544">
      <c r="A544" s="97">
        <v>542.0</v>
      </c>
      <c r="B544" s="98" t="s">
        <v>786</v>
      </c>
      <c r="C544" s="99"/>
      <c r="D544" s="100" t="str">
        <f t="shared" si="19"/>
        <v>leavanny</v>
      </c>
      <c r="E544" s="100"/>
    </row>
    <row r="545">
      <c r="A545" s="101">
        <v>543.0</v>
      </c>
      <c r="B545" s="102" t="s">
        <v>315</v>
      </c>
      <c r="C545" s="103"/>
      <c r="D545" s="96" t="str">
        <f t="shared" si="19"/>
        <v>venipede</v>
      </c>
      <c r="E545" s="96"/>
    </row>
    <row r="546">
      <c r="A546" s="104">
        <v>544.0</v>
      </c>
      <c r="B546" s="98" t="s">
        <v>787</v>
      </c>
      <c r="C546" s="99"/>
      <c r="D546" s="100" t="str">
        <f t="shared" si="19"/>
        <v>whirlipede</v>
      </c>
      <c r="E546" s="100"/>
    </row>
    <row r="547">
      <c r="A547" s="101">
        <v>545.0</v>
      </c>
      <c r="B547" s="102" t="s">
        <v>788</v>
      </c>
      <c r="C547" s="103"/>
      <c r="D547" s="96" t="str">
        <f t="shared" si="19"/>
        <v>scolipede</v>
      </c>
      <c r="E547" s="96"/>
    </row>
    <row r="548">
      <c r="A548" s="97">
        <v>546.0</v>
      </c>
      <c r="B548" s="98" t="s">
        <v>789</v>
      </c>
      <c r="C548" s="99"/>
      <c r="D548" s="100" t="str">
        <f t="shared" si="19"/>
        <v>cottonee</v>
      </c>
      <c r="E548" s="100"/>
    </row>
    <row r="549">
      <c r="A549" s="93">
        <v>547.0</v>
      </c>
      <c r="B549" s="102" t="s">
        <v>790</v>
      </c>
      <c r="C549" s="103"/>
      <c r="D549" s="96" t="str">
        <f t="shared" si="19"/>
        <v>whimsicott</v>
      </c>
      <c r="E549" s="96"/>
    </row>
    <row r="550">
      <c r="A550" s="97">
        <v>548.0</v>
      </c>
      <c r="B550" s="98" t="s">
        <v>226</v>
      </c>
      <c r="C550" s="99"/>
      <c r="D550" s="100" t="str">
        <f t="shared" si="19"/>
        <v>petilil</v>
      </c>
      <c r="E550" s="100"/>
    </row>
    <row r="551">
      <c r="A551" s="101">
        <v>549.0</v>
      </c>
      <c r="B551" s="102" t="s">
        <v>791</v>
      </c>
      <c r="C551" s="103"/>
      <c r="D551" s="96" t="str">
        <f t="shared" si="19"/>
        <v>lilligant</v>
      </c>
      <c r="E551" s="96"/>
    </row>
    <row r="552">
      <c r="A552" s="104">
        <v>550.0</v>
      </c>
      <c r="B552" s="98" t="s">
        <v>48</v>
      </c>
      <c r="C552" s="99"/>
      <c r="D552" s="100" t="str">
        <f t="shared" si="19"/>
        <v>basculin</v>
      </c>
      <c r="E552" s="100"/>
    </row>
    <row r="553">
      <c r="A553" s="101">
        <v>551.0</v>
      </c>
      <c r="B553" s="102" t="s">
        <v>792</v>
      </c>
      <c r="C553" s="103"/>
      <c r="D553" s="96" t="str">
        <f t="shared" si="19"/>
        <v>sandile</v>
      </c>
      <c r="E553" s="96"/>
    </row>
    <row r="554">
      <c r="A554" s="97">
        <v>552.0</v>
      </c>
      <c r="B554" s="98" t="s">
        <v>793</v>
      </c>
      <c r="C554" s="99"/>
      <c r="D554" s="100" t="str">
        <f t="shared" si="19"/>
        <v>krokorok</v>
      </c>
      <c r="E554" s="100"/>
    </row>
    <row r="555">
      <c r="A555" s="93">
        <v>553.0</v>
      </c>
      <c r="B555" s="102" t="s">
        <v>794</v>
      </c>
      <c r="C555" s="103"/>
      <c r="D555" s="96" t="str">
        <f t="shared" si="19"/>
        <v>krookodile</v>
      </c>
      <c r="E555" s="96"/>
    </row>
    <row r="556">
      <c r="A556" s="97">
        <v>554.0</v>
      </c>
      <c r="B556" s="98" t="s">
        <v>117</v>
      </c>
      <c r="C556" s="99"/>
      <c r="D556" s="100" t="str">
        <f t="shared" si="19"/>
        <v>darumaka</v>
      </c>
      <c r="E556" s="100"/>
    </row>
    <row r="557">
      <c r="A557" s="101">
        <v>555.0</v>
      </c>
      <c r="B557" s="102" t="s">
        <v>795</v>
      </c>
      <c r="C557" s="103"/>
      <c r="D557" s="96" t="s">
        <v>796</v>
      </c>
      <c r="E557" s="96"/>
    </row>
    <row r="558">
      <c r="A558" s="104">
        <v>556.0</v>
      </c>
      <c r="B558" s="98" t="s">
        <v>239</v>
      </c>
      <c r="C558" s="99"/>
      <c r="D558" s="100" t="str">
        <f t="shared" ref="D558:D594" si="20">LOWER(B558)</f>
        <v>maractus</v>
      </c>
      <c r="E558" s="100"/>
    </row>
    <row r="559">
      <c r="A559" s="101">
        <v>557.0</v>
      </c>
      <c r="B559" s="102" t="s">
        <v>132</v>
      </c>
      <c r="C559" s="103"/>
      <c r="D559" s="96" t="str">
        <f t="shared" si="20"/>
        <v>dwebble</v>
      </c>
      <c r="E559" s="96"/>
    </row>
    <row r="560">
      <c r="A560" s="97">
        <v>558.0</v>
      </c>
      <c r="B560" s="98" t="s">
        <v>797</v>
      </c>
      <c r="C560" s="99"/>
      <c r="D560" s="100" t="str">
        <f t="shared" si="20"/>
        <v>crustle</v>
      </c>
      <c r="E560" s="100"/>
    </row>
    <row r="561">
      <c r="A561" s="93">
        <v>559.0</v>
      </c>
      <c r="B561" s="102" t="s">
        <v>254</v>
      </c>
      <c r="C561" s="103"/>
      <c r="D561" s="96" t="str">
        <f t="shared" si="20"/>
        <v>scraggy</v>
      </c>
      <c r="E561" s="96"/>
    </row>
    <row r="562">
      <c r="A562" s="97">
        <v>560.0</v>
      </c>
      <c r="B562" s="98" t="s">
        <v>798</v>
      </c>
      <c r="C562" s="99"/>
      <c r="D562" s="100" t="str">
        <f t="shared" si="20"/>
        <v>scrafty</v>
      </c>
      <c r="E562" s="100"/>
    </row>
    <row r="563">
      <c r="A563" s="101">
        <v>561.0</v>
      </c>
      <c r="B563" s="102" t="s">
        <v>329</v>
      </c>
      <c r="C563" s="103"/>
      <c r="D563" s="96" t="str">
        <f t="shared" si="20"/>
        <v>sigilyph</v>
      </c>
      <c r="E563" s="96"/>
    </row>
    <row r="564">
      <c r="A564" s="104">
        <v>562.0</v>
      </c>
      <c r="B564" s="98" t="s">
        <v>330</v>
      </c>
      <c r="C564" s="99"/>
      <c r="D564" s="100" t="str">
        <f t="shared" si="20"/>
        <v>yamask</v>
      </c>
      <c r="E564" s="100"/>
    </row>
    <row r="565">
      <c r="A565" s="101">
        <v>563.0</v>
      </c>
      <c r="B565" s="102" t="s">
        <v>799</v>
      </c>
      <c r="C565" s="103"/>
      <c r="D565" s="96" t="str">
        <f t="shared" si="20"/>
        <v>cofagrigus</v>
      </c>
      <c r="E565" s="96"/>
    </row>
    <row r="566">
      <c r="A566" s="97">
        <v>564.0</v>
      </c>
      <c r="B566" s="98" t="s">
        <v>298</v>
      </c>
      <c r="C566" s="99"/>
      <c r="D566" s="100" t="str">
        <f t="shared" si="20"/>
        <v>tirtouga</v>
      </c>
      <c r="E566" s="100"/>
    </row>
    <row r="567">
      <c r="A567" s="93">
        <v>565.0</v>
      </c>
      <c r="B567" s="102" t="s">
        <v>800</v>
      </c>
      <c r="C567" s="103"/>
      <c r="D567" s="96" t="str">
        <f t="shared" si="20"/>
        <v>carracosta</v>
      </c>
      <c r="E567" s="96"/>
    </row>
    <row r="568">
      <c r="A568" s="97">
        <v>566.0</v>
      </c>
      <c r="B568" s="98" t="s">
        <v>23</v>
      </c>
      <c r="C568" s="99"/>
      <c r="D568" s="100" t="str">
        <f t="shared" si="20"/>
        <v>archen</v>
      </c>
      <c r="E568" s="100"/>
    </row>
    <row r="569">
      <c r="A569" s="101">
        <v>567.0</v>
      </c>
      <c r="B569" s="102" t="s">
        <v>801</v>
      </c>
      <c r="C569" s="103"/>
      <c r="D569" s="96" t="str">
        <f t="shared" si="20"/>
        <v>archeops</v>
      </c>
      <c r="E569" s="96"/>
    </row>
    <row r="570">
      <c r="A570" s="104">
        <v>568.0</v>
      </c>
      <c r="B570" s="98" t="s">
        <v>306</v>
      </c>
      <c r="C570" s="99"/>
      <c r="D570" s="100" t="str">
        <f t="shared" si="20"/>
        <v>trubbish</v>
      </c>
      <c r="E570" s="100"/>
    </row>
    <row r="571">
      <c r="A571" s="101">
        <v>569.0</v>
      </c>
      <c r="B571" s="102" t="s">
        <v>802</v>
      </c>
      <c r="C571" s="103"/>
      <c r="D571" s="96" t="str">
        <f t="shared" si="20"/>
        <v>garbodor</v>
      </c>
      <c r="E571" s="96"/>
    </row>
    <row r="572">
      <c r="A572" s="97">
        <v>570.0</v>
      </c>
      <c r="B572" s="98" t="s">
        <v>333</v>
      </c>
      <c r="C572" s="99"/>
      <c r="D572" s="100" t="str">
        <f t="shared" si="20"/>
        <v>zorua</v>
      </c>
      <c r="E572" s="100"/>
    </row>
    <row r="573">
      <c r="A573" s="93">
        <v>571.0</v>
      </c>
      <c r="B573" s="102" t="s">
        <v>803</v>
      </c>
      <c r="C573" s="103"/>
      <c r="D573" s="96" t="str">
        <f t="shared" si="20"/>
        <v>zoroark</v>
      </c>
      <c r="E573" s="96"/>
    </row>
    <row r="574">
      <c r="A574" s="97">
        <v>572.0</v>
      </c>
      <c r="B574" s="98" t="s">
        <v>205</v>
      </c>
      <c r="C574" s="99"/>
      <c r="D574" s="100" t="str">
        <f t="shared" si="20"/>
        <v>minccino</v>
      </c>
      <c r="E574" s="100"/>
    </row>
    <row r="575">
      <c r="A575" s="101">
        <v>573.0</v>
      </c>
      <c r="B575" s="102" t="s">
        <v>804</v>
      </c>
      <c r="C575" s="103"/>
      <c r="D575" s="96" t="str">
        <f t="shared" si="20"/>
        <v>cinccino</v>
      </c>
      <c r="E575" s="96"/>
    </row>
    <row r="576">
      <c r="A576" s="104">
        <v>574.0</v>
      </c>
      <c r="B576" s="98" t="s">
        <v>805</v>
      </c>
      <c r="C576" s="99"/>
      <c r="D576" s="100" t="str">
        <f t="shared" si="20"/>
        <v>gothita</v>
      </c>
      <c r="E576" s="100"/>
    </row>
    <row r="577">
      <c r="A577" s="101">
        <v>575.0</v>
      </c>
      <c r="B577" s="102" t="s">
        <v>806</v>
      </c>
      <c r="C577" s="103"/>
      <c r="D577" s="96" t="str">
        <f t="shared" si="20"/>
        <v>gothorita</v>
      </c>
      <c r="E577" s="96"/>
    </row>
    <row r="578">
      <c r="A578" s="97">
        <v>576.0</v>
      </c>
      <c r="B578" s="98" t="s">
        <v>807</v>
      </c>
      <c r="C578" s="99"/>
      <c r="D578" s="100" t="str">
        <f t="shared" si="20"/>
        <v>gothitelle</v>
      </c>
      <c r="E578" s="100"/>
    </row>
    <row r="579">
      <c r="A579" s="93">
        <v>577.0</v>
      </c>
      <c r="B579" s="102" t="s">
        <v>280</v>
      </c>
      <c r="C579" s="103"/>
      <c r="D579" s="96" t="str">
        <f t="shared" si="20"/>
        <v>solosis</v>
      </c>
      <c r="E579" s="96"/>
    </row>
    <row r="580">
      <c r="A580" s="97">
        <v>578.0</v>
      </c>
      <c r="B580" s="98" t="s">
        <v>808</v>
      </c>
      <c r="C580" s="99"/>
      <c r="D580" s="100" t="str">
        <f t="shared" si="20"/>
        <v>duosion</v>
      </c>
      <c r="E580" s="100"/>
    </row>
    <row r="581">
      <c r="A581" s="101">
        <v>579.0</v>
      </c>
      <c r="B581" s="102" t="s">
        <v>809</v>
      </c>
      <c r="C581" s="103"/>
      <c r="D581" s="96" t="str">
        <f t="shared" si="20"/>
        <v>reuniclus</v>
      </c>
      <c r="E581" s="96"/>
    </row>
    <row r="582">
      <c r="A582" s="104">
        <v>580.0</v>
      </c>
      <c r="B582" s="98" t="s">
        <v>130</v>
      </c>
      <c r="C582" s="99"/>
      <c r="D582" s="100" t="str">
        <f t="shared" si="20"/>
        <v>ducklett</v>
      </c>
      <c r="E582" s="100"/>
    </row>
    <row r="583">
      <c r="A583" s="101">
        <v>581.0</v>
      </c>
      <c r="B583" s="102" t="s">
        <v>810</v>
      </c>
      <c r="C583" s="103"/>
      <c r="D583" s="96" t="str">
        <f t="shared" si="20"/>
        <v>swanna</v>
      </c>
      <c r="E583" s="96"/>
    </row>
    <row r="584">
      <c r="A584" s="97">
        <v>582.0</v>
      </c>
      <c r="B584" s="98" t="s">
        <v>313</v>
      </c>
      <c r="C584" s="99"/>
      <c r="D584" s="100" t="str">
        <f t="shared" si="20"/>
        <v>vanillite</v>
      </c>
      <c r="E584" s="100"/>
    </row>
    <row r="585">
      <c r="A585" s="93">
        <v>583.0</v>
      </c>
      <c r="B585" s="102" t="s">
        <v>811</v>
      </c>
      <c r="C585" s="103"/>
      <c r="D585" s="96" t="str">
        <f t="shared" si="20"/>
        <v>vanillish</v>
      </c>
      <c r="E585" s="96"/>
    </row>
    <row r="586">
      <c r="A586" s="97">
        <v>584.0</v>
      </c>
      <c r="B586" s="98" t="s">
        <v>812</v>
      </c>
      <c r="C586" s="99"/>
      <c r="D586" s="100" t="str">
        <f t="shared" si="20"/>
        <v>vanilluxe</v>
      </c>
      <c r="E586" s="100"/>
    </row>
    <row r="587">
      <c r="A587" s="101">
        <v>585.0</v>
      </c>
      <c r="B587" s="102" t="s">
        <v>813</v>
      </c>
      <c r="C587" s="103"/>
      <c r="D587" s="96" t="str">
        <f t="shared" si="20"/>
        <v>deerling</v>
      </c>
      <c r="E587" s="96"/>
    </row>
    <row r="588">
      <c r="A588" s="104">
        <v>586.0</v>
      </c>
      <c r="B588" s="98" t="s">
        <v>814</v>
      </c>
      <c r="C588" s="99"/>
      <c r="D588" s="100" t="str">
        <f t="shared" si="20"/>
        <v>sawsbuck</v>
      </c>
      <c r="E588" s="100"/>
    </row>
    <row r="589">
      <c r="A589" s="101">
        <v>587.0</v>
      </c>
      <c r="B589" s="102" t="s">
        <v>137</v>
      </c>
      <c r="C589" s="103"/>
      <c r="D589" s="96" t="str">
        <f t="shared" si="20"/>
        <v>emolga</v>
      </c>
      <c r="E589" s="96"/>
    </row>
    <row r="590">
      <c r="A590" s="97">
        <v>588.0</v>
      </c>
      <c r="B590" s="98" t="s">
        <v>178</v>
      </c>
      <c r="C590" s="99"/>
      <c r="D590" s="100" t="str">
        <f t="shared" si="20"/>
        <v>karrablast</v>
      </c>
      <c r="E590" s="100"/>
    </row>
    <row r="591">
      <c r="A591" s="93">
        <v>589.0</v>
      </c>
      <c r="B591" s="102" t="s">
        <v>815</v>
      </c>
      <c r="C591" s="103"/>
      <c r="D591" s="96" t="str">
        <f t="shared" si="20"/>
        <v>escavalier</v>
      </c>
      <c r="E591" s="96"/>
    </row>
    <row r="592">
      <c r="A592" s="97">
        <v>590.0</v>
      </c>
      <c r="B592" s="98" t="s">
        <v>152</v>
      </c>
      <c r="C592" s="99"/>
      <c r="D592" s="100" t="str">
        <f t="shared" si="20"/>
        <v>foongus</v>
      </c>
      <c r="E592" s="100"/>
    </row>
    <row r="593">
      <c r="A593" s="101">
        <v>591.0</v>
      </c>
      <c r="B593" s="102" t="s">
        <v>816</v>
      </c>
      <c r="C593" s="103"/>
      <c r="D593" s="96" t="str">
        <f t="shared" si="20"/>
        <v>amoonguss</v>
      </c>
      <c r="E593" s="96"/>
    </row>
    <row r="594">
      <c r="A594" s="104">
        <v>592.0</v>
      </c>
      <c r="B594" s="98" t="s">
        <v>153</v>
      </c>
      <c r="C594" s="99"/>
      <c r="D594" s="100" t="str">
        <f t="shared" si="20"/>
        <v>frillish</v>
      </c>
      <c r="E594" s="100"/>
    </row>
    <row r="595">
      <c r="A595" s="101">
        <v>593.0</v>
      </c>
      <c r="B595" s="102" t="s">
        <v>817</v>
      </c>
      <c r="C595" s="103"/>
      <c r="D595" s="96" t="s">
        <v>818</v>
      </c>
      <c r="E595" s="96"/>
    </row>
    <row r="596">
      <c r="A596" s="97">
        <v>594.0</v>
      </c>
      <c r="B596" s="98" t="s">
        <v>14</v>
      </c>
      <c r="C596" s="99"/>
      <c r="D596" s="100" t="str">
        <f t="shared" ref="D596:D614" si="21">LOWER(B596)</f>
        <v>alomomola</v>
      </c>
      <c r="E596" s="100"/>
    </row>
    <row r="597">
      <c r="A597" s="93">
        <v>595.0</v>
      </c>
      <c r="B597" s="102" t="s">
        <v>819</v>
      </c>
      <c r="C597" s="103"/>
      <c r="D597" s="96" t="str">
        <f t="shared" si="21"/>
        <v>joltik</v>
      </c>
      <c r="E597" s="96"/>
    </row>
    <row r="598">
      <c r="A598" s="97">
        <v>596.0</v>
      </c>
      <c r="B598" s="98" t="s">
        <v>820</v>
      </c>
      <c r="C598" s="99"/>
      <c r="D598" s="100" t="str">
        <f t="shared" si="21"/>
        <v>galvantula</v>
      </c>
      <c r="E598" s="100"/>
    </row>
    <row r="599">
      <c r="A599" s="101">
        <v>597.0</v>
      </c>
      <c r="B599" s="102" t="s">
        <v>144</v>
      </c>
      <c r="C599" s="103"/>
      <c r="D599" s="96" t="str">
        <f t="shared" si="21"/>
        <v>ferroseed</v>
      </c>
      <c r="E599" s="96"/>
    </row>
    <row r="600">
      <c r="A600" s="104">
        <v>598.0</v>
      </c>
      <c r="B600" s="98" t="s">
        <v>821</v>
      </c>
      <c r="C600" s="99"/>
      <c r="D600" s="100" t="str">
        <f t="shared" si="21"/>
        <v>ferrothorn</v>
      </c>
      <c r="E600" s="100"/>
    </row>
    <row r="601">
      <c r="A601" s="101">
        <v>599.0</v>
      </c>
      <c r="B601" s="102" t="s">
        <v>179</v>
      </c>
      <c r="C601" s="103"/>
      <c r="D601" s="96" t="str">
        <f t="shared" si="21"/>
        <v>klink</v>
      </c>
      <c r="E601" s="96"/>
    </row>
    <row r="602">
      <c r="A602" s="97">
        <v>600.0</v>
      </c>
      <c r="B602" s="98" t="s">
        <v>822</v>
      </c>
      <c r="C602" s="99"/>
      <c r="D602" s="100" t="str">
        <f t="shared" si="21"/>
        <v>klang</v>
      </c>
      <c r="E602" s="100"/>
    </row>
    <row r="603">
      <c r="A603" s="93">
        <v>601.0</v>
      </c>
      <c r="B603" s="102" t="s">
        <v>823</v>
      </c>
      <c r="C603" s="103"/>
      <c r="D603" s="96" t="str">
        <f t="shared" si="21"/>
        <v>klinklang</v>
      </c>
      <c r="E603" s="96"/>
    </row>
    <row r="604">
      <c r="A604" s="97">
        <v>602.0</v>
      </c>
      <c r="B604" s="105" t="s">
        <v>309</v>
      </c>
      <c r="C604" s="99"/>
      <c r="D604" s="100" t="str">
        <f t="shared" si="21"/>
        <v>tynamo</v>
      </c>
      <c r="E604" s="100"/>
    </row>
    <row r="605">
      <c r="A605" s="101">
        <v>603.0</v>
      </c>
      <c r="B605" s="102" t="s">
        <v>824</v>
      </c>
      <c r="C605" s="103"/>
      <c r="D605" s="96" t="str">
        <f t="shared" si="21"/>
        <v>eelektrik</v>
      </c>
      <c r="E605" s="96"/>
    </row>
    <row r="606">
      <c r="A606" s="104">
        <v>604.0</v>
      </c>
      <c r="B606" s="98" t="s">
        <v>825</v>
      </c>
      <c r="C606" s="99"/>
      <c r="D606" s="100" t="str">
        <f t="shared" si="21"/>
        <v>eelektross</v>
      </c>
      <c r="E606" s="100"/>
    </row>
    <row r="607">
      <c r="A607" s="101">
        <v>605.0</v>
      </c>
      <c r="B607" s="102" t="s">
        <v>136</v>
      </c>
      <c r="C607" s="103"/>
      <c r="D607" s="96" t="str">
        <f t="shared" si="21"/>
        <v>elgyem</v>
      </c>
      <c r="E607" s="96"/>
    </row>
    <row r="608">
      <c r="A608" s="97">
        <v>606.0</v>
      </c>
      <c r="B608" s="98" t="s">
        <v>826</v>
      </c>
      <c r="C608" s="99"/>
      <c r="D608" s="100" t="str">
        <f t="shared" si="21"/>
        <v>beheeyem</v>
      </c>
      <c r="E608" s="100"/>
    </row>
    <row r="609">
      <c r="A609" s="93">
        <v>607.0</v>
      </c>
      <c r="B609" s="102" t="s">
        <v>190</v>
      </c>
      <c r="C609" s="103"/>
      <c r="D609" s="96" t="str">
        <f t="shared" si="21"/>
        <v>litwick</v>
      </c>
      <c r="E609" s="96"/>
    </row>
    <row r="610">
      <c r="A610" s="97">
        <v>608.0</v>
      </c>
      <c r="B610" s="98" t="s">
        <v>827</v>
      </c>
      <c r="C610" s="99"/>
      <c r="D610" s="100" t="str">
        <f t="shared" si="21"/>
        <v>lampent</v>
      </c>
      <c r="E610" s="100"/>
    </row>
    <row r="611">
      <c r="A611" s="101">
        <v>609.0</v>
      </c>
      <c r="B611" s="102" t="s">
        <v>828</v>
      </c>
      <c r="C611" s="103"/>
      <c r="D611" s="96" t="str">
        <f t="shared" si="21"/>
        <v>chandelure</v>
      </c>
      <c r="E611" s="96"/>
    </row>
    <row r="612">
      <c r="A612" s="104">
        <v>610.0</v>
      </c>
      <c r="B612" s="98" t="s">
        <v>32</v>
      </c>
      <c r="C612" s="99"/>
      <c r="D612" s="100" t="str">
        <f t="shared" si="21"/>
        <v>axew</v>
      </c>
      <c r="E612" s="100"/>
    </row>
    <row r="613">
      <c r="A613" s="101">
        <v>611.0</v>
      </c>
      <c r="B613" s="102" t="s">
        <v>829</v>
      </c>
      <c r="C613" s="103"/>
      <c r="D613" s="96" t="str">
        <f t="shared" si="21"/>
        <v>fraxure</v>
      </c>
      <c r="E613" s="96"/>
    </row>
    <row r="614">
      <c r="A614" s="97">
        <v>612.0</v>
      </c>
      <c r="B614" s="98" t="s">
        <v>830</v>
      </c>
      <c r="C614" s="99"/>
      <c r="D614" s="100" t="str">
        <f t="shared" si="21"/>
        <v>haxorus</v>
      </c>
      <c r="E614" s="100"/>
    </row>
    <row r="615">
      <c r="A615" s="93">
        <v>613.0</v>
      </c>
      <c r="B615" s="102" t="s">
        <v>112</v>
      </c>
      <c r="C615" s="103"/>
      <c r="D615" s="96" t="s">
        <v>831</v>
      </c>
      <c r="E615" s="96"/>
    </row>
    <row r="616">
      <c r="A616" s="97">
        <v>614.0</v>
      </c>
      <c r="B616" s="98" t="s">
        <v>832</v>
      </c>
      <c r="C616" s="99"/>
      <c r="D616" s="100" t="str">
        <f t="shared" ref="D616:D697" si="22">LOWER(B616)</f>
        <v>beartic</v>
      </c>
      <c r="E616" s="100"/>
    </row>
    <row r="617">
      <c r="A617" s="101">
        <v>615.0</v>
      </c>
      <c r="B617" s="102" t="s">
        <v>125</v>
      </c>
      <c r="C617" s="103"/>
      <c r="D617" s="96" t="str">
        <f t="shared" si="22"/>
        <v>cryogonal</v>
      </c>
      <c r="E617" s="96"/>
    </row>
    <row r="618">
      <c r="A618" s="104">
        <v>616.0</v>
      </c>
      <c r="B618" s="98" t="s">
        <v>260</v>
      </c>
      <c r="C618" s="99"/>
      <c r="D618" s="100" t="str">
        <f t="shared" si="22"/>
        <v>shelmet</v>
      </c>
      <c r="E618" s="100"/>
    </row>
    <row r="619">
      <c r="A619" s="101">
        <v>617.0</v>
      </c>
      <c r="B619" s="102" t="s">
        <v>833</v>
      </c>
      <c r="C619" s="103"/>
      <c r="D619" s="96" t="str">
        <f t="shared" si="22"/>
        <v>accelgor</v>
      </c>
      <c r="E619" s="96"/>
    </row>
    <row r="620">
      <c r="A620" s="97">
        <v>618.0</v>
      </c>
      <c r="B620" s="98" t="s">
        <v>340</v>
      </c>
      <c r="C620" s="99"/>
      <c r="D620" s="100" t="str">
        <f t="shared" si="22"/>
        <v>stunfisk</v>
      </c>
      <c r="E620" s="100"/>
    </row>
    <row r="621">
      <c r="A621" s="93">
        <v>619.0</v>
      </c>
      <c r="B621" s="102" t="s">
        <v>201</v>
      </c>
      <c r="C621" s="103"/>
      <c r="D621" s="96" t="str">
        <f t="shared" si="22"/>
        <v>mienfoo</v>
      </c>
      <c r="E621" s="96"/>
    </row>
    <row r="622">
      <c r="A622" s="97">
        <v>620.0</v>
      </c>
      <c r="B622" s="98" t="s">
        <v>834</v>
      </c>
      <c r="C622" s="99"/>
      <c r="D622" s="100" t="str">
        <f t="shared" si="22"/>
        <v>mienshao</v>
      </c>
      <c r="E622" s="100"/>
    </row>
    <row r="623">
      <c r="A623" s="101">
        <v>621.0</v>
      </c>
      <c r="B623" s="102" t="s">
        <v>147</v>
      </c>
      <c r="C623" s="103"/>
      <c r="D623" s="96" t="str">
        <f t="shared" si="22"/>
        <v>druddigon</v>
      </c>
      <c r="E623" s="103"/>
    </row>
    <row r="624">
      <c r="A624" s="104">
        <v>622.0</v>
      </c>
      <c r="B624" s="98" t="s">
        <v>158</v>
      </c>
      <c r="C624" s="99"/>
      <c r="D624" s="100" t="str">
        <f t="shared" si="22"/>
        <v>golett</v>
      </c>
      <c r="E624" s="99"/>
    </row>
    <row r="625">
      <c r="A625" s="101">
        <v>623.0</v>
      </c>
      <c r="B625" s="102" t="s">
        <v>835</v>
      </c>
      <c r="C625" s="103"/>
      <c r="D625" s="96" t="str">
        <f t="shared" si="22"/>
        <v>golurk</v>
      </c>
      <c r="E625" s="103"/>
    </row>
    <row r="626">
      <c r="A626" s="97">
        <v>624.0</v>
      </c>
      <c r="B626" s="98" t="s">
        <v>225</v>
      </c>
      <c r="C626" s="99"/>
      <c r="D626" s="100" t="str">
        <f t="shared" si="22"/>
        <v>pawniard</v>
      </c>
      <c r="E626" s="99"/>
    </row>
    <row r="627">
      <c r="A627" s="93">
        <v>625.0</v>
      </c>
      <c r="B627" s="102" t="s">
        <v>836</v>
      </c>
      <c r="C627" s="103"/>
      <c r="D627" s="96" t="str">
        <f t="shared" si="22"/>
        <v>bisharp</v>
      </c>
      <c r="E627" s="103"/>
    </row>
    <row r="628">
      <c r="A628" s="97">
        <v>626.0</v>
      </c>
      <c r="B628" s="98" t="s">
        <v>65</v>
      </c>
      <c r="C628" s="99"/>
      <c r="D628" s="100" t="str">
        <f t="shared" si="22"/>
        <v>bouffalant</v>
      </c>
      <c r="E628" s="99"/>
    </row>
    <row r="629">
      <c r="A629" s="101">
        <v>627.0</v>
      </c>
      <c r="B629" s="102" t="s">
        <v>248</v>
      </c>
      <c r="C629" s="103"/>
      <c r="D629" s="96" t="str">
        <f t="shared" si="22"/>
        <v>rufflet</v>
      </c>
      <c r="E629" s="103"/>
    </row>
    <row r="630">
      <c r="A630" s="104">
        <v>628.0</v>
      </c>
      <c r="B630" s="98" t="s">
        <v>837</v>
      </c>
      <c r="C630" s="99"/>
      <c r="D630" s="100" t="str">
        <f t="shared" si="22"/>
        <v>braviary</v>
      </c>
      <c r="E630" s="99"/>
    </row>
    <row r="631">
      <c r="A631" s="101">
        <v>629.0</v>
      </c>
      <c r="B631" s="102" t="s">
        <v>320</v>
      </c>
      <c r="C631" s="103"/>
      <c r="D631" s="96" t="str">
        <f t="shared" si="22"/>
        <v>vullaby</v>
      </c>
      <c r="E631" s="103"/>
    </row>
    <row r="632">
      <c r="A632" s="97">
        <v>630.0</v>
      </c>
      <c r="B632" s="98" t="s">
        <v>838</v>
      </c>
      <c r="C632" s="99"/>
      <c r="D632" s="100" t="str">
        <f t="shared" si="22"/>
        <v>mandibuzz</v>
      </c>
      <c r="E632" s="99"/>
    </row>
    <row r="633">
      <c r="A633" s="93">
        <v>631.0</v>
      </c>
      <c r="B633" s="102" t="s">
        <v>199</v>
      </c>
      <c r="C633" s="103"/>
      <c r="D633" s="96" t="str">
        <f t="shared" si="22"/>
        <v>heatmor</v>
      </c>
      <c r="E633" s="103"/>
    </row>
    <row r="634">
      <c r="A634" s="97">
        <v>632.0</v>
      </c>
      <c r="B634" s="98" t="s">
        <v>151</v>
      </c>
      <c r="C634" s="99"/>
      <c r="D634" s="100" t="str">
        <f t="shared" si="22"/>
        <v>durant</v>
      </c>
      <c r="E634" s="99"/>
    </row>
    <row r="635">
      <c r="A635" s="101">
        <v>633.0</v>
      </c>
      <c r="B635" s="102" t="s">
        <v>120</v>
      </c>
      <c r="C635" s="103"/>
      <c r="D635" s="96" t="str">
        <f t="shared" si="22"/>
        <v>deino</v>
      </c>
      <c r="E635" s="103"/>
    </row>
    <row r="636">
      <c r="A636" s="104">
        <v>634.0</v>
      </c>
      <c r="B636" s="98" t="s">
        <v>839</v>
      </c>
      <c r="C636" s="99"/>
      <c r="D636" s="100" t="str">
        <f t="shared" si="22"/>
        <v>zweilous</v>
      </c>
      <c r="E636" s="99"/>
    </row>
    <row r="637">
      <c r="A637" s="101">
        <v>635.0</v>
      </c>
      <c r="B637" s="102" t="s">
        <v>840</v>
      </c>
      <c r="C637" s="103"/>
      <c r="D637" s="96" t="str">
        <f t="shared" si="22"/>
        <v>hydreigon</v>
      </c>
      <c r="E637" s="103"/>
    </row>
    <row r="638">
      <c r="A638" s="97">
        <v>636.0</v>
      </c>
      <c r="B638" s="98" t="s">
        <v>184</v>
      </c>
      <c r="C638" s="99"/>
      <c r="D638" s="100" t="str">
        <f t="shared" si="22"/>
        <v>larvesta</v>
      </c>
      <c r="E638" s="99"/>
    </row>
    <row r="639">
      <c r="A639" s="93">
        <v>637.0</v>
      </c>
      <c r="B639" s="102" t="s">
        <v>841</v>
      </c>
      <c r="C639" s="103"/>
      <c r="D639" s="96" t="str">
        <f t="shared" si="22"/>
        <v>volcarona</v>
      </c>
      <c r="E639" s="103"/>
    </row>
    <row r="640">
      <c r="A640" s="97">
        <v>638.0</v>
      </c>
      <c r="B640" s="98" t="s">
        <v>842</v>
      </c>
      <c r="C640" s="99"/>
      <c r="D640" s="100" t="str">
        <f t="shared" si="22"/>
        <v>cobalion</v>
      </c>
      <c r="E640" s="100"/>
    </row>
    <row r="641">
      <c r="A641" s="101">
        <v>639.0</v>
      </c>
      <c r="B641" s="102" t="s">
        <v>843</v>
      </c>
      <c r="C641" s="103"/>
      <c r="D641" s="96" t="str">
        <f t="shared" si="22"/>
        <v>terrakion</v>
      </c>
      <c r="E641" s="96"/>
    </row>
    <row r="642">
      <c r="A642" s="104">
        <v>640.0</v>
      </c>
      <c r="B642" s="98" t="s">
        <v>844</v>
      </c>
      <c r="C642" s="99"/>
      <c r="D642" s="100" t="str">
        <f t="shared" si="22"/>
        <v>virizion</v>
      </c>
      <c r="E642" s="100"/>
    </row>
    <row r="643">
      <c r="A643" s="101">
        <v>641.0</v>
      </c>
      <c r="B643" s="94" t="s">
        <v>845</v>
      </c>
      <c r="C643" s="103"/>
      <c r="D643" s="96" t="str">
        <f t="shared" si="22"/>
        <v>tornadus-i</v>
      </c>
      <c r="E643" s="96"/>
    </row>
    <row r="644">
      <c r="A644" s="97">
        <v>642.0</v>
      </c>
      <c r="B644" s="105" t="s">
        <v>846</v>
      </c>
      <c r="C644" s="99"/>
      <c r="D644" s="100" t="str">
        <f t="shared" si="22"/>
        <v>thundurus-i</v>
      </c>
      <c r="E644" s="100"/>
    </row>
    <row r="645">
      <c r="A645" s="93">
        <v>643.0</v>
      </c>
      <c r="B645" s="102" t="s">
        <v>847</v>
      </c>
      <c r="C645" s="103"/>
      <c r="D645" s="96" t="str">
        <f t="shared" si="22"/>
        <v>reshiram</v>
      </c>
      <c r="E645" s="96"/>
    </row>
    <row r="646">
      <c r="A646" s="97">
        <v>644.0</v>
      </c>
      <c r="B646" s="98" t="s">
        <v>848</v>
      </c>
      <c r="C646" s="99"/>
      <c r="D646" s="100" t="str">
        <f t="shared" si="22"/>
        <v>zekrom</v>
      </c>
      <c r="E646" s="100"/>
    </row>
    <row r="647">
      <c r="A647" s="101">
        <v>645.0</v>
      </c>
      <c r="B647" s="94" t="s">
        <v>849</v>
      </c>
      <c r="C647" s="103"/>
      <c r="D647" s="96" t="str">
        <f t="shared" si="22"/>
        <v>landorus-i</v>
      </c>
      <c r="E647" s="96"/>
    </row>
    <row r="648">
      <c r="A648" s="104">
        <v>646.0</v>
      </c>
      <c r="B648" s="98" t="s">
        <v>850</v>
      </c>
      <c r="C648" s="99"/>
      <c r="D648" s="100" t="str">
        <f t="shared" si="22"/>
        <v>kyurem</v>
      </c>
      <c r="E648" s="100"/>
    </row>
    <row r="649">
      <c r="A649" s="101">
        <v>647.0</v>
      </c>
      <c r="B649" s="102" t="s">
        <v>851</v>
      </c>
      <c r="C649" s="103"/>
      <c r="D649" s="96" t="str">
        <f t="shared" si="22"/>
        <v>keldeo</v>
      </c>
      <c r="E649" s="96"/>
    </row>
    <row r="650">
      <c r="A650" s="97">
        <v>648.0</v>
      </c>
      <c r="B650" s="98" t="s">
        <v>852</v>
      </c>
      <c r="C650" s="99"/>
      <c r="D650" s="100" t="str">
        <f t="shared" si="22"/>
        <v>meloetta</v>
      </c>
      <c r="E650" s="100"/>
    </row>
    <row r="651">
      <c r="A651" s="93">
        <v>649.0</v>
      </c>
      <c r="B651" s="102" t="s">
        <v>853</v>
      </c>
      <c r="C651" s="103"/>
      <c r="D651" s="96" t="str">
        <f t="shared" si="22"/>
        <v>genesect</v>
      </c>
      <c r="E651" s="96"/>
    </row>
    <row r="652">
      <c r="A652" s="97">
        <v>650.0</v>
      </c>
      <c r="B652" s="98" t="s">
        <v>83</v>
      </c>
      <c r="C652" s="99"/>
      <c r="D652" s="100" t="str">
        <f t="shared" si="22"/>
        <v>chespin</v>
      </c>
      <c r="E652" s="100"/>
    </row>
    <row r="653">
      <c r="A653" s="101">
        <v>651.0</v>
      </c>
      <c r="B653" s="102" t="s">
        <v>854</v>
      </c>
      <c r="C653" s="103"/>
      <c r="D653" s="96" t="str">
        <f t="shared" si="22"/>
        <v>quilladin</v>
      </c>
      <c r="E653" s="96"/>
    </row>
    <row r="654">
      <c r="A654" s="104">
        <v>652.0</v>
      </c>
      <c r="B654" s="98" t="s">
        <v>855</v>
      </c>
      <c r="C654" s="99"/>
      <c r="D654" s="100" t="str">
        <f t="shared" si="22"/>
        <v>chesnaught</v>
      </c>
      <c r="E654" s="100"/>
    </row>
    <row r="655">
      <c r="A655" s="101">
        <v>653.0</v>
      </c>
      <c r="B655" s="102" t="s">
        <v>143</v>
      </c>
      <c r="C655" s="103"/>
      <c r="D655" s="96" t="str">
        <f t="shared" si="22"/>
        <v>fennekin</v>
      </c>
      <c r="E655" s="96"/>
    </row>
    <row r="656">
      <c r="A656" s="97">
        <v>654.0</v>
      </c>
      <c r="B656" s="98" t="s">
        <v>856</v>
      </c>
      <c r="C656" s="99"/>
      <c r="D656" s="100" t="str">
        <f t="shared" si="22"/>
        <v>braixen</v>
      </c>
      <c r="E656" s="100"/>
    </row>
    <row r="657">
      <c r="A657" s="93">
        <v>655.0</v>
      </c>
      <c r="B657" s="102" t="s">
        <v>857</v>
      </c>
      <c r="C657" s="103"/>
      <c r="D657" s="96" t="str">
        <f t="shared" si="22"/>
        <v>delphox</v>
      </c>
      <c r="E657" s="96"/>
    </row>
    <row r="658">
      <c r="A658" s="97">
        <v>656.0</v>
      </c>
      <c r="B658" s="98" t="s">
        <v>154</v>
      </c>
      <c r="C658" s="99"/>
      <c r="D658" s="100" t="str">
        <f t="shared" si="22"/>
        <v>froakie</v>
      </c>
      <c r="E658" s="100"/>
    </row>
    <row r="659">
      <c r="A659" s="101">
        <v>657.0</v>
      </c>
      <c r="B659" s="102" t="s">
        <v>858</v>
      </c>
      <c r="C659" s="103"/>
      <c r="D659" s="96" t="str">
        <f t="shared" si="22"/>
        <v>frogadier</v>
      </c>
      <c r="E659" s="96"/>
    </row>
    <row r="660">
      <c r="A660" s="104">
        <v>658.0</v>
      </c>
      <c r="B660" s="98" t="s">
        <v>859</v>
      </c>
      <c r="C660" s="99"/>
      <c r="D660" s="100" t="str">
        <f t="shared" si="22"/>
        <v>greninja</v>
      </c>
      <c r="E660" s="100"/>
    </row>
    <row r="661">
      <c r="A661" s="101">
        <v>659.0</v>
      </c>
      <c r="B661" s="102" t="s">
        <v>71</v>
      </c>
      <c r="C661" s="103"/>
      <c r="D661" s="96" t="str">
        <f t="shared" si="22"/>
        <v>bunnelby</v>
      </c>
      <c r="E661" s="96"/>
    </row>
    <row r="662">
      <c r="A662" s="97">
        <v>660.0</v>
      </c>
      <c r="B662" s="98" t="s">
        <v>860</v>
      </c>
      <c r="C662" s="99"/>
      <c r="D662" s="100" t="str">
        <f t="shared" si="22"/>
        <v>diggersby</v>
      </c>
      <c r="E662" s="100"/>
    </row>
    <row r="663">
      <c r="A663" s="93">
        <v>661.0</v>
      </c>
      <c r="B663" s="102" t="s">
        <v>148</v>
      </c>
      <c r="C663" s="103"/>
      <c r="D663" s="96" t="str">
        <f t="shared" si="22"/>
        <v>fletchling</v>
      </c>
      <c r="E663" s="96"/>
    </row>
    <row r="664">
      <c r="A664" s="97">
        <v>662.0</v>
      </c>
      <c r="B664" s="98" t="s">
        <v>861</v>
      </c>
      <c r="C664" s="99"/>
      <c r="D664" s="100" t="str">
        <f t="shared" si="22"/>
        <v>fletchinder</v>
      </c>
      <c r="E664" s="100"/>
    </row>
    <row r="665">
      <c r="A665" s="101">
        <v>663.0</v>
      </c>
      <c r="B665" s="102" t="s">
        <v>862</v>
      </c>
      <c r="C665" s="103"/>
      <c r="D665" s="96" t="str">
        <f t="shared" si="22"/>
        <v>talonflame</v>
      </c>
      <c r="E665" s="96"/>
    </row>
    <row r="666">
      <c r="A666" s="104">
        <v>664.0</v>
      </c>
      <c r="B666" s="98" t="s">
        <v>863</v>
      </c>
      <c r="C666" s="99"/>
      <c r="D666" s="100" t="str">
        <f t="shared" si="22"/>
        <v>scatterbug</v>
      </c>
      <c r="E666" s="100"/>
    </row>
    <row r="667">
      <c r="A667" s="101">
        <v>665.0</v>
      </c>
      <c r="B667" s="102" t="s">
        <v>864</v>
      </c>
      <c r="C667" s="103"/>
      <c r="D667" s="96" t="str">
        <f t="shared" si="22"/>
        <v>spewpa</v>
      </c>
      <c r="E667" s="96"/>
    </row>
    <row r="668">
      <c r="A668" s="97">
        <v>666.0</v>
      </c>
      <c r="B668" s="98" t="s">
        <v>865</v>
      </c>
      <c r="C668" s="99"/>
      <c r="D668" s="100" t="str">
        <f t="shared" si="22"/>
        <v>vivillon</v>
      </c>
      <c r="E668" s="100"/>
    </row>
    <row r="669">
      <c r="A669" s="93">
        <v>667.0</v>
      </c>
      <c r="B669" s="102" t="s">
        <v>866</v>
      </c>
      <c r="C669" s="103"/>
      <c r="D669" s="96" t="str">
        <f t="shared" si="22"/>
        <v>litleo</v>
      </c>
      <c r="E669" s="96"/>
    </row>
    <row r="670">
      <c r="A670" s="97">
        <v>668.0</v>
      </c>
      <c r="B670" s="98" t="s">
        <v>867</v>
      </c>
      <c r="C670" s="99"/>
      <c r="D670" s="100" t="str">
        <f t="shared" si="22"/>
        <v>pyroar</v>
      </c>
      <c r="E670" s="100"/>
    </row>
    <row r="671">
      <c r="A671" s="101">
        <v>669.0</v>
      </c>
      <c r="B671" s="94" t="s">
        <v>146</v>
      </c>
      <c r="C671" s="103"/>
      <c r="D671" s="96" t="str">
        <f t="shared" si="22"/>
        <v>flabébé</v>
      </c>
      <c r="E671" s="96"/>
    </row>
    <row r="672">
      <c r="A672" s="104">
        <v>670.0</v>
      </c>
      <c r="B672" s="98" t="s">
        <v>868</v>
      </c>
      <c r="C672" s="99"/>
      <c r="D672" s="100" t="str">
        <f t="shared" si="22"/>
        <v>floette</v>
      </c>
      <c r="E672" s="100"/>
    </row>
    <row r="673">
      <c r="A673" s="101">
        <v>671.0</v>
      </c>
      <c r="B673" s="102" t="s">
        <v>869</v>
      </c>
      <c r="C673" s="103"/>
      <c r="D673" s="96" t="str">
        <f t="shared" si="22"/>
        <v>florges</v>
      </c>
      <c r="E673" s="96"/>
    </row>
    <row r="674">
      <c r="A674" s="97">
        <v>672.0</v>
      </c>
      <c r="B674" s="98" t="s">
        <v>265</v>
      </c>
      <c r="C674" s="99"/>
      <c r="D674" s="100" t="str">
        <f t="shared" si="22"/>
        <v>skiddo</v>
      </c>
      <c r="E674" s="100"/>
    </row>
    <row r="675">
      <c r="A675" s="93">
        <v>673.0</v>
      </c>
      <c r="B675" s="102" t="s">
        <v>870</v>
      </c>
      <c r="C675" s="103"/>
      <c r="D675" s="96" t="str">
        <f t="shared" si="22"/>
        <v>gogoat</v>
      </c>
      <c r="E675" s="96"/>
    </row>
    <row r="676">
      <c r="A676" s="97">
        <v>674.0</v>
      </c>
      <c r="B676" s="98" t="s">
        <v>224</v>
      </c>
      <c r="C676" s="99"/>
      <c r="D676" s="100" t="str">
        <f t="shared" si="22"/>
        <v>pancham</v>
      </c>
      <c r="E676" s="100"/>
    </row>
    <row r="677">
      <c r="A677" s="101">
        <v>675.0</v>
      </c>
      <c r="B677" s="102" t="s">
        <v>871</v>
      </c>
      <c r="C677" s="103"/>
      <c r="D677" s="96" t="str">
        <f t="shared" si="22"/>
        <v>pangoro</v>
      </c>
      <c r="E677" s="96"/>
    </row>
    <row r="678">
      <c r="A678" s="104">
        <v>676.0</v>
      </c>
      <c r="B678" s="98" t="s">
        <v>180</v>
      </c>
      <c r="C678" s="99"/>
      <c r="D678" s="100" t="str">
        <f t="shared" si="22"/>
        <v>furfrou</v>
      </c>
      <c r="E678" s="100"/>
    </row>
    <row r="679">
      <c r="A679" s="101">
        <v>677.0</v>
      </c>
      <c r="B679" s="102" t="s">
        <v>139</v>
      </c>
      <c r="C679" s="103"/>
      <c r="D679" s="96" t="str">
        <f t="shared" si="22"/>
        <v>espurr</v>
      </c>
      <c r="E679" s="96"/>
    </row>
    <row r="680">
      <c r="A680" s="97">
        <v>678.0</v>
      </c>
      <c r="B680" s="98" t="s">
        <v>872</v>
      </c>
      <c r="C680" s="99"/>
      <c r="D680" s="100" t="str">
        <f t="shared" si="22"/>
        <v>meowstic</v>
      </c>
      <c r="E680" s="100"/>
    </row>
    <row r="681">
      <c r="A681" s="93">
        <v>679.0</v>
      </c>
      <c r="B681" s="102" t="s">
        <v>173</v>
      </c>
      <c r="C681" s="103"/>
      <c r="D681" s="96" t="str">
        <f t="shared" si="22"/>
        <v>honedge</v>
      </c>
      <c r="E681" s="96"/>
    </row>
    <row r="682">
      <c r="A682" s="97">
        <v>680.0</v>
      </c>
      <c r="B682" s="98" t="s">
        <v>873</v>
      </c>
      <c r="C682" s="99"/>
      <c r="D682" s="100" t="str">
        <f t="shared" si="22"/>
        <v>doublade</v>
      </c>
      <c r="E682" s="100"/>
    </row>
    <row r="683">
      <c r="A683" s="101">
        <v>681.0</v>
      </c>
      <c r="B683" s="102" t="s">
        <v>874</v>
      </c>
      <c r="C683" s="103"/>
      <c r="D683" s="96" t="str">
        <f t="shared" si="22"/>
        <v>aegislash</v>
      </c>
      <c r="E683" s="96"/>
    </row>
    <row r="684">
      <c r="A684" s="104">
        <v>682.0</v>
      </c>
      <c r="B684" s="98" t="s">
        <v>284</v>
      </c>
      <c r="C684" s="99"/>
      <c r="D684" s="100" t="str">
        <f t="shared" si="22"/>
        <v>spritzee</v>
      </c>
      <c r="E684" s="100"/>
    </row>
    <row r="685">
      <c r="A685" s="101">
        <v>683.0</v>
      </c>
      <c r="B685" s="102" t="s">
        <v>875</v>
      </c>
      <c r="C685" s="103"/>
      <c r="D685" s="96" t="str">
        <f t="shared" si="22"/>
        <v>aromatisse</v>
      </c>
      <c r="E685" s="96"/>
    </row>
    <row r="686">
      <c r="A686" s="97">
        <v>684.0</v>
      </c>
      <c r="B686" s="98" t="s">
        <v>876</v>
      </c>
      <c r="C686" s="99"/>
      <c r="D686" s="100" t="str">
        <f t="shared" si="22"/>
        <v>swirlix</v>
      </c>
      <c r="E686" s="100"/>
    </row>
    <row r="687">
      <c r="A687" s="93">
        <v>685.0</v>
      </c>
      <c r="B687" s="102" t="s">
        <v>877</v>
      </c>
      <c r="C687" s="103"/>
      <c r="D687" s="96" t="str">
        <f t="shared" si="22"/>
        <v>slurpuff</v>
      </c>
      <c r="E687" s="96"/>
    </row>
    <row r="688">
      <c r="A688" s="97">
        <v>686.0</v>
      </c>
      <c r="B688" s="98" t="s">
        <v>175</v>
      </c>
      <c r="C688" s="99"/>
      <c r="D688" s="100" t="str">
        <f t="shared" si="22"/>
        <v>inkay</v>
      </c>
      <c r="E688" s="100"/>
    </row>
    <row r="689">
      <c r="A689" s="101">
        <v>687.0</v>
      </c>
      <c r="B689" s="102" t="s">
        <v>878</v>
      </c>
      <c r="C689" s="103"/>
      <c r="D689" s="96" t="str">
        <f t="shared" si="22"/>
        <v>malamar</v>
      </c>
      <c r="E689" s="96"/>
    </row>
    <row r="690">
      <c r="A690" s="104">
        <v>688.0</v>
      </c>
      <c r="B690" s="98" t="s">
        <v>52</v>
      </c>
      <c r="C690" s="99"/>
      <c r="D690" s="100" t="str">
        <f t="shared" si="22"/>
        <v>binacle</v>
      </c>
      <c r="E690" s="100"/>
    </row>
    <row r="691">
      <c r="A691" s="101">
        <v>689.0</v>
      </c>
      <c r="B691" s="102" t="s">
        <v>879</v>
      </c>
      <c r="C691" s="103"/>
      <c r="D691" s="96" t="str">
        <f t="shared" si="22"/>
        <v>barbaracle</v>
      </c>
      <c r="E691" s="96"/>
    </row>
    <row r="692">
      <c r="A692" s="97">
        <v>690.0</v>
      </c>
      <c r="B692" s="98" t="s">
        <v>268</v>
      </c>
      <c r="C692" s="99"/>
      <c r="D692" s="100" t="str">
        <f t="shared" si="22"/>
        <v>skrelp</v>
      </c>
      <c r="E692" s="100"/>
    </row>
    <row r="693">
      <c r="A693" s="93">
        <v>691.0</v>
      </c>
      <c r="B693" s="102" t="s">
        <v>880</v>
      </c>
      <c r="C693" s="103"/>
      <c r="D693" s="96" t="str">
        <f t="shared" si="22"/>
        <v>dragalge</v>
      </c>
      <c r="E693" s="96"/>
    </row>
    <row r="694">
      <c r="A694" s="97">
        <v>692.0</v>
      </c>
      <c r="B694" s="98" t="s">
        <v>98</v>
      </c>
      <c r="C694" s="99"/>
      <c r="D694" s="100" t="str">
        <f t="shared" si="22"/>
        <v>clauncher</v>
      </c>
      <c r="E694" s="100"/>
    </row>
    <row r="695">
      <c r="A695" s="101">
        <v>693.0</v>
      </c>
      <c r="B695" s="102" t="s">
        <v>881</v>
      </c>
      <c r="C695" s="103"/>
      <c r="D695" s="96" t="str">
        <f t="shared" si="22"/>
        <v>clawitzer</v>
      </c>
      <c r="E695" s="96"/>
    </row>
    <row r="696">
      <c r="A696" s="104">
        <v>694.0</v>
      </c>
      <c r="B696" s="98" t="s">
        <v>170</v>
      </c>
      <c r="C696" s="99"/>
      <c r="D696" s="100" t="str">
        <f t="shared" si="22"/>
        <v>helioptile</v>
      </c>
      <c r="E696" s="100"/>
    </row>
    <row r="697">
      <c r="A697" s="101">
        <v>695.0</v>
      </c>
      <c r="B697" s="102" t="s">
        <v>882</v>
      </c>
      <c r="C697" s="103"/>
      <c r="D697" s="96" t="str">
        <f t="shared" si="22"/>
        <v>heliolisk</v>
      </c>
      <c r="E697" s="96"/>
    </row>
    <row r="698">
      <c r="A698" s="97">
        <v>696.0</v>
      </c>
      <c r="B698" s="98" t="s">
        <v>310</v>
      </c>
      <c r="C698" s="99"/>
      <c r="D698" s="100" t="s">
        <v>883</v>
      </c>
      <c r="E698" s="100"/>
    </row>
    <row r="699">
      <c r="A699" s="93">
        <v>697.0</v>
      </c>
      <c r="B699" s="102" t="s">
        <v>884</v>
      </c>
      <c r="C699" s="103"/>
      <c r="D699" s="96" t="str">
        <f t="shared" ref="D699:D706" si="23">LOWER(B699)</f>
        <v>tyrantrum</v>
      </c>
      <c r="E699" s="96"/>
    </row>
    <row r="700">
      <c r="A700" s="97">
        <v>698.0</v>
      </c>
      <c r="B700" s="98" t="s">
        <v>13</v>
      </c>
      <c r="C700" s="99"/>
      <c r="D700" s="100" t="str">
        <f t="shared" si="23"/>
        <v>amaura</v>
      </c>
      <c r="E700" s="100"/>
    </row>
    <row r="701">
      <c r="A701" s="101">
        <v>699.0</v>
      </c>
      <c r="B701" s="102" t="s">
        <v>885</v>
      </c>
      <c r="C701" s="103"/>
      <c r="D701" s="96" t="str">
        <f t="shared" si="23"/>
        <v>aurorus</v>
      </c>
      <c r="E701" s="96"/>
    </row>
    <row r="702">
      <c r="A702" s="104">
        <v>700.0</v>
      </c>
      <c r="B702" s="98" t="s">
        <v>886</v>
      </c>
      <c r="C702" s="99"/>
      <c r="D702" s="100" t="str">
        <f t="shared" si="23"/>
        <v>sylveon</v>
      </c>
      <c r="E702" s="100"/>
    </row>
    <row r="703">
      <c r="A703" s="101">
        <v>701.0</v>
      </c>
      <c r="B703" s="102" t="s">
        <v>197</v>
      </c>
      <c r="C703" s="103"/>
      <c r="D703" s="96" t="str">
        <f t="shared" si="23"/>
        <v>hawlucha</v>
      </c>
      <c r="E703" s="96"/>
    </row>
    <row r="704">
      <c r="A704" s="97">
        <v>702.0</v>
      </c>
      <c r="B704" s="98" t="s">
        <v>134</v>
      </c>
      <c r="C704" s="99"/>
      <c r="D704" s="100" t="str">
        <f t="shared" si="23"/>
        <v>dedenne</v>
      </c>
      <c r="E704" s="100"/>
    </row>
    <row r="705">
      <c r="A705" s="93">
        <v>703.0</v>
      </c>
      <c r="B705" s="102" t="s">
        <v>86</v>
      </c>
      <c r="C705" s="103"/>
      <c r="D705" s="96" t="str">
        <f t="shared" si="23"/>
        <v>carbink</v>
      </c>
      <c r="E705" s="96"/>
    </row>
    <row r="706">
      <c r="A706" s="97">
        <v>704.0</v>
      </c>
      <c r="B706" s="98" t="s">
        <v>160</v>
      </c>
      <c r="C706" s="99"/>
      <c r="D706" s="100" t="str">
        <f t="shared" si="23"/>
        <v>goomy</v>
      </c>
      <c r="E706" s="100"/>
    </row>
    <row r="707">
      <c r="A707" s="101">
        <v>705.0</v>
      </c>
      <c r="B707" s="102" t="s">
        <v>887</v>
      </c>
      <c r="C707" s="103"/>
      <c r="D707" s="96" t="s">
        <v>888</v>
      </c>
      <c r="E707" s="96"/>
    </row>
    <row r="708">
      <c r="A708" s="104">
        <v>706.0</v>
      </c>
      <c r="B708" s="98" t="s">
        <v>889</v>
      </c>
      <c r="C708" s="99"/>
      <c r="D708" s="100" t="str">
        <f t="shared" ref="D708:D722" si="24">LOWER(B708)</f>
        <v>goodra</v>
      </c>
      <c r="E708" s="100"/>
    </row>
    <row r="709">
      <c r="A709" s="101">
        <v>707.0</v>
      </c>
      <c r="B709" s="102" t="s">
        <v>220</v>
      </c>
      <c r="C709" s="103"/>
      <c r="D709" s="96" t="str">
        <f t="shared" si="24"/>
        <v>klefki</v>
      </c>
      <c r="E709" s="96"/>
    </row>
    <row r="710">
      <c r="A710" s="97">
        <v>708.0</v>
      </c>
      <c r="B710" s="98" t="s">
        <v>227</v>
      </c>
      <c r="C710" s="99"/>
      <c r="D710" s="100" t="str">
        <f t="shared" si="24"/>
        <v>phantump</v>
      </c>
      <c r="E710" s="100"/>
    </row>
    <row r="711">
      <c r="A711" s="93">
        <v>709.0</v>
      </c>
      <c r="B711" s="102" t="s">
        <v>890</v>
      </c>
      <c r="C711" s="103"/>
      <c r="D711" s="96" t="str">
        <f t="shared" si="24"/>
        <v>trevenant</v>
      </c>
      <c r="E711" s="96"/>
    </row>
    <row r="712">
      <c r="A712" s="97">
        <v>710.0</v>
      </c>
      <c r="B712" s="98" t="s">
        <v>891</v>
      </c>
      <c r="C712" s="99"/>
      <c r="D712" s="100" t="str">
        <f t="shared" si="24"/>
        <v>pumpkaboo</v>
      </c>
      <c r="E712" s="100"/>
    </row>
    <row r="713">
      <c r="A713" s="101">
        <v>711.0</v>
      </c>
      <c r="B713" s="94" t="s">
        <v>892</v>
      </c>
      <c r="C713" s="103"/>
      <c r="D713" s="96" t="str">
        <f t="shared" si="24"/>
        <v>gourgeist</v>
      </c>
      <c r="E713" s="96"/>
    </row>
    <row r="714">
      <c r="A714" s="104">
        <v>712.0</v>
      </c>
      <c r="B714" s="98" t="s">
        <v>50</v>
      </c>
      <c r="C714" s="99"/>
      <c r="D714" s="100" t="str">
        <f t="shared" si="24"/>
        <v>bergmite</v>
      </c>
      <c r="E714" s="100"/>
    </row>
    <row r="715">
      <c r="A715" s="101">
        <v>713.0</v>
      </c>
      <c r="B715" s="102" t="s">
        <v>893</v>
      </c>
      <c r="C715" s="103"/>
      <c r="D715" s="96" t="str">
        <f t="shared" si="24"/>
        <v>avalugg</v>
      </c>
      <c r="E715" s="96"/>
    </row>
    <row r="716">
      <c r="A716" s="97">
        <v>714.0</v>
      </c>
      <c r="B716" s="98" t="s">
        <v>894</v>
      </c>
      <c r="C716" s="99"/>
      <c r="D716" s="100" t="str">
        <f t="shared" si="24"/>
        <v>noibat</v>
      </c>
      <c r="E716" s="100"/>
    </row>
    <row r="717">
      <c r="A717" s="93">
        <v>715.0</v>
      </c>
      <c r="B717" s="102" t="s">
        <v>895</v>
      </c>
      <c r="C717" s="103"/>
      <c r="D717" s="96" t="str">
        <f t="shared" si="24"/>
        <v>noivern</v>
      </c>
      <c r="E717" s="96"/>
    </row>
    <row r="718">
      <c r="A718" s="97">
        <v>716.0</v>
      </c>
      <c r="B718" s="98" t="s">
        <v>896</v>
      </c>
      <c r="C718" s="99"/>
      <c r="D718" s="100" t="str">
        <f t="shared" si="24"/>
        <v>xerneas</v>
      </c>
      <c r="E718" s="100"/>
    </row>
    <row r="719">
      <c r="A719" s="101">
        <v>717.0</v>
      </c>
      <c r="B719" s="102" t="s">
        <v>897</v>
      </c>
      <c r="C719" s="103"/>
      <c r="D719" s="96" t="str">
        <f t="shared" si="24"/>
        <v>yveltal</v>
      </c>
      <c r="E719" s="96"/>
    </row>
    <row r="720">
      <c r="A720" s="104">
        <v>718.0</v>
      </c>
      <c r="B720" s="98" t="s">
        <v>898</v>
      </c>
      <c r="C720" s="99"/>
      <c r="D720" s="100" t="str">
        <f t="shared" si="24"/>
        <v>zygarde</v>
      </c>
      <c r="E720" s="100"/>
    </row>
    <row r="721">
      <c r="A721" s="101">
        <v>719.0</v>
      </c>
      <c r="B721" s="102" t="s">
        <v>899</v>
      </c>
      <c r="C721" s="103"/>
      <c r="D721" s="96" t="str">
        <f t="shared" si="24"/>
        <v>diancie</v>
      </c>
      <c r="E721" s="96"/>
    </row>
    <row r="722">
      <c r="A722" s="97">
        <v>720.0</v>
      </c>
      <c r="B722" s="98" t="s">
        <v>900</v>
      </c>
      <c r="C722" s="99"/>
      <c r="D722" s="100" t="str">
        <f t="shared" si="24"/>
        <v>hoopa</v>
      </c>
      <c r="E722" s="100"/>
    </row>
    <row r="723">
      <c r="A723" s="93">
        <v>721.0</v>
      </c>
      <c r="B723" s="102" t="s">
        <v>901</v>
      </c>
      <c r="C723" s="103"/>
      <c r="D723" s="96" t="s">
        <v>902</v>
      </c>
      <c r="E723" s="96"/>
    </row>
    <row r="724">
      <c r="A724" s="97">
        <v>722.0</v>
      </c>
      <c r="B724" s="98" t="s">
        <v>246</v>
      </c>
      <c r="C724" s="99"/>
      <c r="D724" s="100" t="str">
        <f t="shared" ref="D724:D795" si="25">LOWER(B724)</f>
        <v>rowlet</v>
      </c>
      <c r="E724" s="100"/>
    </row>
    <row r="725">
      <c r="A725" s="101">
        <v>723.0</v>
      </c>
      <c r="B725" s="102" t="s">
        <v>903</v>
      </c>
      <c r="C725" s="103"/>
      <c r="D725" s="96" t="str">
        <f t="shared" si="25"/>
        <v>dartrix</v>
      </c>
      <c r="E725" s="96"/>
    </row>
    <row r="726">
      <c r="A726" s="104">
        <v>724.0</v>
      </c>
      <c r="B726" s="98" t="s">
        <v>904</v>
      </c>
      <c r="C726" s="99"/>
      <c r="D726" s="100" t="str">
        <f t="shared" si="25"/>
        <v>decidueye</v>
      </c>
      <c r="E726" s="100"/>
    </row>
    <row r="727">
      <c r="A727" s="101">
        <v>725.0</v>
      </c>
      <c r="B727" s="102" t="s">
        <v>189</v>
      </c>
      <c r="C727" s="103"/>
      <c r="D727" s="96" t="str">
        <f t="shared" si="25"/>
        <v>litten</v>
      </c>
      <c r="E727" s="96"/>
    </row>
    <row r="728">
      <c r="A728" s="97">
        <v>726.0</v>
      </c>
      <c r="B728" s="98" t="s">
        <v>905</v>
      </c>
      <c r="C728" s="99"/>
      <c r="D728" s="100" t="str">
        <f t="shared" si="25"/>
        <v>torracat</v>
      </c>
      <c r="E728" s="100"/>
    </row>
    <row r="729">
      <c r="A729" s="93">
        <v>727.0</v>
      </c>
      <c r="B729" s="102" t="s">
        <v>906</v>
      </c>
      <c r="C729" s="103"/>
      <c r="D729" s="96" t="str">
        <f t="shared" si="25"/>
        <v>incineroar</v>
      </c>
      <c r="E729" s="96"/>
    </row>
    <row r="730">
      <c r="A730" s="97">
        <v>728.0</v>
      </c>
      <c r="B730" s="98" t="s">
        <v>236</v>
      </c>
      <c r="C730" s="99"/>
      <c r="D730" s="100" t="str">
        <f t="shared" si="25"/>
        <v>popplio</v>
      </c>
      <c r="E730" s="100"/>
    </row>
    <row r="731">
      <c r="A731" s="101">
        <v>729.0</v>
      </c>
      <c r="B731" s="102" t="s">
        <v>907</v>
      </c>
      <c r="C731" s="103"/>
      <c r="D731" s="96" t="str">
        <f t="shared" si="25"/>
        <v>brionne</v>
      </c>
      <c r="E731" s="96"/>
    </row>
    <row r="732">
      <c r="A732" s="104">
        <v>730.0</v>
      </c>
      <c r="B732" s="98" t="s">
        <v>908</v>
      </c>
      <c r="C732" s="99"/>
      <c r="D732" s="100" t="str">
        <f t="shared" si="25"/>
        <v>primarina</v>
      </c>
      <c r="E732" s="100"/>
    </row>
    <row r="733">
      <c r="A733" s="101">
        <v>731.0</v>
      </c>
      <c r="B733" s="102" t="s">
        <v>909</v>
      </c>
      <c r="C733" s="103"/>
      <c r="D733" s="96" t="str">
        <f t="shared" si="25"/>
        <v>pikipek</v>
      </c>
      <c r="E733" s="96"/>
    </row>
    <row r="734">
      <c r="A734" s="97">
        <v>732.0</v>
      </c>
      <c r="B734" s="98" t="s">
        <v>910</v>
      </c>
      <c r="C734" s="99"/>
      <c r="D734" s="100" t="str">
        <f t="shared" si="25"/>
        <v>trumbeak</v>
      </c>
      <c r="E734" s="100"/>
    </row>
    <row r="735">
      <c r="A735" s="93">
        <v>733.0</v>
      </c>
      <c r="B735" s="102" t="s">
        <v>911</v>
      </c>
      <c r="C735" s="103"/>
      <c r="D735" s="96" t="str">
        <f t="shared" si="25"/>
        <v>toucannon</v>
      </c>
      <c r="E735" s="96"/>
    </row>
    <row r="736">
      <c r="A736" s="97">
        <v>734.0</v>
      </c>
      <c r="B736" s="98" t="s">
        <v>912</v>
      </c>
      <c r="C736" s="99"/>
      <c r="D736" s="100" t="str">
        <f t="shared" si="25"/>
        <v>yungoos</v>
      </c>
      <c r="E736" s="100"/>
    </row>
    <row r="737">
      <c r="A737" s="101">
        <v>735.0</v>
      </c>
      <c r="B737" s="102" t="s">
        <v>913</v>
      </c>
      <c r="C737" s="103"/>
      <c r="D737" s="96" t="str">
        <f t="shared" si="25"/>
        <v>gumshoos</v>
      </c>
      <c r="E737" s="96"/>
    </row>
    <row r="738">
      <c r="A738" s="104">
        <v>736.0</v>
      </c>
      <c r="B738" s="98" t="s">
        <v>914</v>
      </c>
      <c r="C738" s="99"/>
      <c r="D738" s="100" t="str">
        <f t="shared" si="25"/>
        <v>grubbin</v>
      </c>
      <c r="E738" s="100"/>
    </row>
    <row r="739">
      <c r="A739" s="101">
        <v>737.0</v>
      </c>
      <c r="B739" s="102" t="s">
        <v>915</v>
      </c>
      <c r="C739" s="103"/>
      <c r="D739" s="96" t="str">
        <f t="shared" si="25"/>
        <v>charjabug</v>
      </c>
      <c r="E739" s="96"/>
    </row>
    <row r="740">
      <c r="A740" s="97">
        <v>738.0</v>
      </c>
      <c r="B740" s="98" t="s">
        <v>916</v>
      </c>
      <c r="C740" s="99"/>
      <c r="D740" s="100" t="str">
        <f t="shared" si="25"/>
        <v>vikavolt</v>
      </c>
      <c r="E740" s="100"/>
    </row>
    <row r="741">
      <c r="A741" s="93">
        <v>739.0</v>
      </c>
      <c r="B741" s="102" t="s">
        <v>109</v>
      </c>
      <c r="C741" s="103"/>
      <c r="D741" s="96" t="str">
        <f t="shared" si="25"/>
        <v>crabrawler</v>
      </c>
      <c r="E741" s="96"/>
    </row>
    <row r="742">
      <c r="A742" s="97">
        <v>740.0</v>
      </c>
      <c r="B742" s="98" t="s">
        <v>917</v>
      </c>
      <c r="C742" s="99"/>
      <c r="D742" s="100" t="str">
        <f t="shared" si="25"/>
        <v>crabominable</v>
      </c>
      <c r="E742" s="100"/>
    </row>
    <row r="743">
      <c r="A743" s="101">
        <v>741.0</v>
      </c>
      <c r="B743" s="102" t="s">
        <v>271</v>
      </c>
      <c r="C743" s="103"/>
      <c r="D743" s="96" t="str">
        <f t="shared" si="25"/>
        <v>oricorio</v>
      </c>
      <c r="E743" s="96"/>
    </row>
    <row r="744">
      <c r="A744" s="104">
        <v>742.0</v>
      </c>
      <c r="B744" s="98" t="s">
        <v>918</v>
      </c>
      <c r="C744" s="99"/>
      <c r="D744" s="100" t="str">
        <f t="shared" si="25"/>
        <v>cutiefly</v>
      </c>
      <c r="E744" s="100"/>
    </row>
    <row r="745">
      <c r="A745" s="101">
        <v>743.0</v>
      </c>
      <c r="B745" s="102" t="s">
        <v>919</v>
      </c>
      <c r="C745" s="103"/>
      <c r="D745" s="96" t="str">
        <f t="shared" si="25"/>
        <v>ribombee</v>
      </c>
      <c r="E745" s="96"/>
    </row>
    <row r="746">
      <c r="A746" s="97">
        <v>744.0</v>
      </c>
      <c r="B746" s="98" t="s">
        <v>920</v>
      </c>
      <c r="C746" s="99"/>
      <c r="D746" s="100" t="str">
        <f t="shared" si="25"/>
        <v>rockruff</v>
      </c>
      <c r="E746" s="100"/>
    </row>
    <row r="747">
      <c r="A747" s="93">
        <v>745.0</v>
      </c>
      <c r="B747" s="102" t="s">
        <v>921</v>
      </c>
      <c r="C747" s="103"/>
      <c r="D747" s="96" t="str">
        <f t="shared" si="25"/>
        <v>lycanroc</v>
      </c>
      <c r="E747" s="96"/>
    </row>
    <row r="748">
      <c r="A748" s="97">
        <v>746.0</v>
      </c>
      <c r="B748" s="98" t="s">
        <v>348</v>
      </c>
      <c r="C748" s="99"/>
      <c r="D748" s="100" t="str">
        <f t="shared" si="25"/>
        <v>wishiwashi</v>
      </c>
      <c r="E748" s="100"/>
    </row>
    <row r="749">
      <c r="A749" s="101">
        <v>747.0</v>
      </c>
      <c r="B749" s="102" t="s">
        <v>195</v>
      </c>
      <c r="C749" s="103"/>
      <c r="D749" s="96" t="str">
        <f t="shared" si="25"/>
        <v>mareanie</v>
      </c>
      <c r="E749" s="96"/>
    </row>
    <row r="750">
      <c r="A750" s="104">
        <v>748.0</v>
      </c>
      <c r="B750" s="98" t="s">
        <v>922</v>
      </c>
      <c r="C750" s="99"/>
      <c r="D750" s="100" t="str">
        <f t="shared" si="25"/>
        <v>toxapex</v>
      </c>
      <c r="E750" s="100"/>
    </row>
    <row r="751">
      <c r="A751" s="101">
        <v>749.0</v>
      </c>
      <c r="B751" s="102" t="s">
        <v>210</v>
      </c>
      <c r="C751" s="103"/>
      <c r="D751" s="96" t="str">
        <f t="shared" si="25"/>
        <v>mudbray</v>
      </c>
      <c r="E751" s="96"/>
    </row>
    <row r="752">
      <c r="A752" s="97">
        <v>750.0</v>
      </c>
      <c r="B752" s="98" t="s">
        <v>923</v>
      </c>
      <c r="C752" s="99"/>
      <c r="D752" s="100" t="str">
        <f t="shared" si="25"/>
        <v>mudsdale</v>
      </c>
      <c r="E752" s="100"/>
    </row>
    <row r="753">
      <c r="A753" s="93">
        <v>751.0</v>
      </c>
      <c r="B753" s="102" t="s">
        <v>121</v>
      </c>
      <c r="C753" s="103"/>
      <c r="D753" s="96" t="str">
        <f t="shared" si="25"/>
        <v>dewpider</v>
      </c>
      <c r="E753" s="96"/>
    </row>
    <row r="754">
      <c r="A754" s="97">
        <v>752.0</v>
      </c>
      <c r="B754" s="98" t="s">
        <v>924</v>
      </c>
      <c r="C754" s="99"/>
      <c r="D754" s="100" t="str">
        <f t="shared" si="25"/>
        <v>araquanid</v>
      </c>
      <c r="E754" s="100"/>
    </row>
    <row r="755">
      <c r="A755" s="101">
        <v>753.0</v>
      </c>
      <c r="B755" s="102" t="s">
        <v>150</v>
      </c>
      <c r="C755" s="103"/>
      <c r="D755" s="96" t="str">
        <f t="shared" si="25"/>
        <v>fomantis</v>
      </c>
      <c r="E755" s="96"/>
    </row>
    <row r="756">
      <c r="A756" s="104">
        <v>754.0</v>
      </c>
      <c r="B756" s="98" t="s">
        <v>925</v>
      </c>
      <c r="C756" s="99"/>
      <c r="D756" s="100" t="str">
        <f t="shared" si="25"/>
        <v>lurantis</v>
      </c>
      <c r="E756" s="100"/>
    </row>
    <row r="757">
      <c r="A757" s="101">
        <v>755.0</v>
      </c>
      <c r="B757" s="102" t="s">
        <v>209</v>
      </c>
      <c r="C757" s="103"/>
      <c r="D757" s="96" t="str">
        <f t="shared" si="25"/>
        <v>morelull</v>
      </c>
      <c r="E757" s="96"/>
    </row>
    <row r="758">
      <c r="A758" s="97">
        <v>756.0</v>
      </c>
      <c r="B758" s="98" t="s">
        <v>926</v>
      </c>
      <c r="C758" s="99"/>
      <c r="D758" s="100" t="str">
        <f t="shared" si="25"/>
        <v>shiinotic</v>
      </c>
      <c r="E758" s="100"/>
    </row>
    <row r="759">
      <c r="A759" s="93">
        <v>757.0</v>
      </c>
      <c r="B759" s="102" t="s">
        <v>249</v>
      </c>
      <c r="C759" s="103"/>
      <c r="D759" s="96" t="str">
        <f t="shared" si="25"/>
        <v>salandit</v>
      </c>
      <c r="E759" s="96"/>
    </row>
    <row r="760">
      <c r="A760" s="97">
        <v>758.0</v>
      </c>
      <c r="B760" s="98" t="s">
        <v>927</v>
      </c>
      <c r="C760" s="99"/>
      <c r="D760" s="100" t="str">
        <f t="shared" si="25"/>
        <v>salazzle</v>
      </c>
      <c r="E760" s="100"/>
    </row>
    <row r="761">
      <c r="A761" s="101">
        <v>759.0</v>
      </c>
      <c r="B761" s="102" t="s">
        <v>290</v>
      </c>
      <c r="C761" s="103"/>
      <c r="D761" s="96" t="str">
        <f t="shared" si="25"/>
        <v>stufful</v>
      </c>
      <c r="E761" s="96"/>
    </row>
    <row r="762">
      <c r="A762" s="104">
        <v>760.0</v>
      </c>
      <c r="B762" s="98" t="s">
        <v>928</v>
      </c>
      <c r="C762" s="99"/>
      <c r="D762" s="100" t="str">
        <f t="shared" si="25"/>
        <v>bewear</v>
      </c>
      <c r="E762" s="100"/>
    </row>
    <row r="763">
      <c r="A763" s="101">
        <v>761.0</v>
      </c>
      <c r="B763" s="102" t="s">
        <v>59</v>
      </c>
      <c r="C763" s="103"/>
      <c r="D763" s="96" t="str">
        <f t="shared" si="25"/>
        <v>bounsweet</v>
      </c>
      <c r="E763" s="96"/>
    </row>
    <row r="764">
      <c r="A764" s="97">
        <v>762.0</v>
      </c>
      <c r="B764" s="98" t="s">
        <v>929</v>
      </c>
      <c r="C764" s="99"/>
      <c r="D764" s="100" t="str">
        <f t="shared" si="25"/>
        <v>steenee</v>
      </c>
      <c r="E764" s="100"/>
    </row>
    <row r="765">
      <c r="A765" s="93">
        <v>763.0</v>
      </c>
      <c r="B765" s="102" t="s">
        <v>930</v>
      </c>
      <c r="C765" s="103"/>
      <c r="D765" s="96" t="str">
        <f t="shared" si="25"/>
        <v>tsareena</v>
      </c>
      <c r="E765" s="96"/>
    </row>
    <row r="766">
      <c r="A766" s="97">
        <v>764.0</v>
      </c>
      <c r="B766" s="98" t="s">
        <v>116</v>
      </c>
      <c r="C766" s="99"/>
      <c r="D766" s="100" t="str">
        <f t="shared" si="25"/>
        <v>comfey</v>
      </c>
      <c r="E766" s="100"/>
    </row>
    <row r="767">
      <c r="A767" s="101">
        <v>765.0</v>
      </c>
      <c r="B767" s="102" t="s">
        <v>269</v>
      </c>
      <c r="C767" s="103"/>
      <c r="D767" s="96" t="str">
        <f t="shared" si="25"/>
        <v>oranguru</v>
      </c>
      <c r="E767" s="96"/>
    </row>
    <row r="768">
      <c r="A768" s="104">
        <v>766.0</v>
      </c>
      <c r="B768" s="105" t="s">
        <v>277</v>
      </c>
      <c r="C768" s="99"/>
      <c r="D768" s="100" t="str">
        <f t="shared" si="25"/>
        <v>passimian</v>
      </c>
      <c r="E768" s="100"/>
    </row>
    <row r="769">
      <c r="A769" s="101">
        <v>767.0</v>
      </c>
      <c r="B769" s="102" t="s">
        <v>325</v>
      </c>
      <c r="C769" s="103"/>
      <c r="D769" s="96" t="str">
        <f t="shared" si="25"/>
        <v>wimpod</v>
      </c>
      <c r="E769" s="96"/>
    </row>
    <row r="770">
      <c r="A770" s="97">
        <v>768.0</v>
      </c>
      <c r="B770" s="98" t="s">
        <v>931</v>
      </c>
      <c r="C770" s="99"/>
      <c r="D770" s="100" t="str">
        <f t="shared" si="25"/>
        <v>golisopod</v>
      </c>
      <c r="E770" s="100"/>
    </row>
    <row r="771">
      <c r="A771" s="93">
        <v>769.0</v>
      </c>
      <c r="B771" s="102" t="s">
        <v>251</v>
      </c>
      <c r="C771" s="103"/>
      <c r="D771" s="96" t="str">
        <f t="shared" si="25"/>
        <v>sandygast</v>
      </c>
      <c r="E771" s="96"/>
    </row>
    <row r="772">
      <c r="A772" s="97">
        <v>770.0</v>
      </c>
      <c r="B772" s="98" t="s">
        <v>932</v>
      </c>
      <c r="C772" s="99"/>
      <c r="D772" s="100" t="str">
        <f t="shared" si="25"/>
        <v>palossand</v>
      </c>
      <c r="E772" s="100"/>
    </row>
    <row r="773">
      <c r="A773" s="101">
        <v>771.0</v>
      </c>
      <c r="B773" s="102" t="s">
        <v>293</v>
      </c>
      <c r="C773" s="103"/>
      <c r="D773" s="96" t="str">
        <f t="shared" si="25"/>
        <v>pyukumuku</v>
      </c>
      <c r="E773" s="96"/>
    </row>
    <row r="774">
      <c r="A774" s="104">
        <v>772.0</v>
      </c>
      <c r="B774" s="105" t="s">
        <v>933</v>
      </c>
      <c r="C774" s="99"/>
      <c r="D774" s="100" t="str">
        <f t="shared" si="25"/>
        <v>type: null</v>
      </c>
      <c r="E774" s="100"/>
    </row>
    <row r="775">
      <c r="A775" s="101">
        <v>773.0</v>
      </c>
      <c r="B775" s="102" t="s">
        <v>934</v>
      </c>
      <c r="C775" s="103"/>
      <c r="D775" s="96" t="str">
        <f t="shared" si="25"/>
        <v>silvally</v>
      </c>
      <c r="E775" s="96"/>
    </row>
    <row r="776">
      <c r="A776" s="97">
        <v>774.0</v>
      </c>
      <c r="B776" s="105" t="s">
        <v>253</v>
      </c>
      <c r="C776" s="99"/>
      <c r="D776" s="100" t="str">
        <f t="shared" si="25"/>
        <v>minior</v>
      </c>
      <c r="E776" s="100"/>
    </row>
    <row r="777">
      <c r="A777" s="93">
        <v>775.0</v>
      </c>
      <c r="B777" s="102" t="s">
        <v>222</v>
      </c>
      <c r="C777" s="103"/>
      <c r="D777" s="96" t="str">
        <f t="shared" si="25"/>
        <v>komala</v>
      </c>
      <c r="E777" s="96"/>
    </row>
    <row r="778">
      <c r="A778" s="97">
        <v>776.0</v>
      </c>
      <c r="B778" s="98" t="s">
        <v>935</v>
      </c>
      <c r="C778" s="99"/>
      <c r="D778" s="100" t="str">
        <f t="shared" si="25"/>
        <v>turtonator</v>
      </c>
      <c r="E778" s="100"/>
    </row>
    <row r="779">
      <c r="A779" s="101">
        <v>777.0</v>
      </c>
      <c r="B779" s="102" t="s">
        <v>344</v>
      </c>
      <c r="C779" s="103"/>
      <c r="D779" s="96" t="str">
        <f t="shared" si="25"/>
        <v>togedemaru</v>
      </c>
      <c r="E779" s="96"/>
    </row>
    <row r="780">
      <c r="A780" s="104">
        <v>778.0</v>
      </c>
      <c r="B780" s="98" t="s">
        <v>250</v>
      </c>
      <c r="C780" s="99"/>
      <c r="D780" s="100" t="str">
        <f t="shared" si="25"/>
        <v>mimikyu</v>
      </c>
      <c r="E780" s="100"/>
    </row>
    <row r="781">
      <c r="A781" s="101">
        <v>779.0</v>
      </c>
      <c r="B781" s="102" t="s">
        <v>74</v>
      </c>
      <c r="C781" s="103"/>
      <c r="D781" s="96" t="str">
        <f t="shared" si="25"/>
        <v>bruxish</v>
      </c>
      <c r="E781" s="96"/>
    </row>
    <row r="782">
      <c r="A782" s="97">
        <v>780.0</v>
      </c>
      <c r="B782" s="98" t="s">
        <v>936</v>
      </c>
      <c r="C782" s="99"/>
      <c r="D782" s="100" t="str">
        <f t="shared" si="25"/>
        <v>drampa</v>
      </c>
      <c r="E782" s="100"/>
    </row>
    <row r="783">
      <c r="A783" s="93">
        <v>781.0</v>
      </c>
      <c r="B783" s="102" t="s">
        <v>937</v>
      </c>
      <c r="C783" s="103"/>
      <c r="D783" s="96" t="str">
        <f t="shared" si="25"/>
        <v>dhelmise</v>
      </c>
      <c r="E783" s="96"/>
    </row>
    <row r="784">
      <c r="A784" s="97">
        <v>782.0</v>
      </c>
      <c r="B784" s="105" t="s">
        <v>938</v>
      </c>
      <c r="C784" s="99"/>
      <c r="D784" s="100" t="str">
        <f t="shared" si="25"/>
        <v>jangmo-o</v>
      </c>
      <c r="E784" s="100"/>
    </row>
    <row r="785">
      <c r="A785" s="101">
        <v>783.0</v>
      </c>
      <c r="B785" s="94" t="s">
        <v>939</v>
      </c>
      <c r="C785" s="103"/>
      <c r="D785" s="96" t="str">
        <f t="shared" si="25"/>
        <v>hakamo-o</v>
      </c>
      <c r="E785" s="96"/>
    </row>
    <row r="786">
      <c r="A786" s="104">
        <v>784.0</v>
      </c>
      <c r="B786" s="105" t="s">
        <v>940</v>
      </c>
      <c r="C786" s="99"/>
      <c r="D786" s="100" t="str">
        <f t="shared" si="25"/>
        <v>kommo-o</v>
      </c>
      <c r="E786" s="100"/>
    </row>
    <row r="787">
      <c r="A787" s="101">
        <v>785.0</v>
      </c>
      <c r="B787" s="94" t="s">
        <v>941</v>
      </c>
      <c r="C787" s="103"/>
      <c r="D787" s="96" t="str">
        <f t="shared" si="25"/>
        <v>tapu koko</v>
      </c>
      <c r="E787" s="96"/>
    </row>
    <row r="788">
      <c r="A788" s="97">
        <v>786.0</v>
      </c>
      <c r="B788" s="105" t="s">
        <v>942</v>
      </c>
      <c r="C788" s="99"/>
      <c r="D788" s="100" t="str">
        <f t="shared" si="25"/>
        <v>tapu lele</v>
      </c>
      <c r="E788" s="100"/>
    </row>
    <row r="789">
      <c r="A789" s="93">
        <v>787.0</v>
      </c>
      <c r="B789" s="94" t="s">
        <v>943</v>
      </c>
      <c r="C789" s="103"/>
      <c r="D789" s="96" t="str">
        <f t="shared" si="25"/>
        <v>tapu bulu</v>
      </c>
      <c r="E789" s="96"/>
    </row>
    <row r="790">
      <c r="A790" s="97">
        <v>788.0</v>
      </c>
      <c r="B790" s="105" t="s">
        <v>944</v>
      </c>
      <c r="C790" s="99"/>
      <c r="D790" s="100" t="str">
        <f t="shared" si="25"/>
        <v>tapu fini</v>
      </c>
      <c r="E790" s="100"/>
    </row>
    <row r="791">
      <c r="A791" s="101">
        <v>789.0</v>
      </c>
      <c r="B791" s="102" t="s">
        <v>108</v>
      </c>
      <c r="C791" s="103"/>
      <c r="D791" s="96" t="str">
        <f t="shared" si="25"/>
        <v>cosmog</v>
      </c>
      <c r="E791" s="96"/>
    </row>
    <row r="792">
      <c r="A792" s="104">
        <v>790.0</v>
      </c>
      <c r="B792" s="98" t="s">
        <v>945</v>
      </c>
      <c r="C792" s="99"/>
      <c r="D792" s="100" t="str">
        <f t="shared" si="25"/>
        <v>cosmoem</v>
      </c>
      <c r="E792" s="100"/>
    </row>
    <row r="793">
      <c r="A793" s="101">
        <v>791.0</v>
      </c>
      <c r="B793" s="102" t="s">
        <v>946</v>
      </c>
      <c r="C793" s="103"/>
      <c r="D793" s="96" t="str">
        <f t="shared" si="25"/>
        <v>solgaleo</v>
      </c>
      <c r="E793" s="96"/>
    </row>
    <row r="794">
      <c r="A794" s="97">
        <v>792.0</v>
      </c>
      <c r="B794" s="98" t="s">
        <v>947</v>
      </c>
      <c r="C794" s="99"/>
      <c r="D794" s="100" t="str">
        <f t="shared" si="25"/>
        <v>lunala</v>
      </c>
      <c r="E794" s="100"/>
    </row>
    <row r="795">
      <c r="A795" s="93">
        <v>793.0</v>
      </c>
      <c r="B795" s="102" t="s">
        <v>948</v>
      </c>
      <c r="C795" s="103"/>
      <c r="D795" s="96" t="str">
        <f t="shared" si="25"/>
        <v>nihilego</v>
      </c>
      <c r="E795" s="96"/>
    </row>
    <row r="796">
      <c r="A796" s="97">
        <v>794.0</v>
      </c>
      <c r="B796" s="98" t="s">
        <v>949</v>
      </c>
      <c r="C796" s="99"/>
      <c r="D796" s="100" t="s">
        <v>950</v>
      </c>
      <c r="E796" s="100"/>
    </row>
    <row r="797">
      <c r="A797" s="101">
        <v>795.0</v>
      </c>
      <c r="B797" s="102" t="s">
        <v>951</v>
      </c>
      <c r="C797" s="103"/>
      <c r="D797" s="96" t="s">
        <v>952</v>
      </c>
      <c r="E797" s="96"/>
    </row>
    <row r="798">
      <c r="A798" s="104">
        <v>796.0</v>
      </c>
      <c r="B798" s="98" t="s">
        <v>953</v>
      </c>
      <c r="C798" s="99"/>
      <c r="D798" s="100" t="s">
        <v>954</v>
      </c>
      <c r="E798" s="100"/>
    </row>
    <row r="799">
      <c r="A799" s="101">
        <v>797.0</v>
      </c>
      <c r="B799" s="102" t="s">
        <v>955</v>
      </c>
      <c r="C799" s="103"/>
      <c r="D799" s="96" t="s">
        <v>956</v>
      </c>
      <c r="E799" s="96"/>
    </row>
    <row r="800">
      <c r="A800" s="97">
        <v>798.0</v>
      </c>
      <c r="B800" s="98" t="s">
        <v>957</v>
      </c>
      <c r="C800" s="99"/>
      <c r="D800" s="100" t="str">
        <f t="shared" ref="D800:D801" si="26">LOWER(B800)</f>
        <v>kartana</v>
      </c>
      <c r="E800" s="100"/>
    </row>
    <row r="801">
      <c r="A801" s="93">
        <v>799.0</v>
      </c>
      <c r="B801" s="102" t="s">
        <v>958</v>
      </c>
      <c r="C801" s="103"/>
      <c r="D801" s="96" t="str">
        <f t="shared" si="26"/>
        <v>guzzlord</v>
      </c>
      <c r="E801" s="96"/>
    </row>
    <row r="802">
      <c r="A802" s="97">
        <v>800.0</v>
      </c>
      <c r="B802" s="98" t="s">
        <v>959</v>
      </c>
      <c r="C802" s="99"/>
      <c r="D802" s="100" t="s">
        <v>960</v>
      </c>
      <c r="E802" s="100"/>
    </row>
    <row r="803">
      <c r="A803" s="101">
        <v>801.0</v>
      </c>
      <c r="B803" s="102" t="s">
        <v>961</v>
      </c>
      <c r="C803" s="103"/>
      <c r="D803" s="96" t="s">
        <v>962</v>
      </c>
      <c r="E803" s="96"/>
    </row>
    <row r="804">
      <c r="A804" s="104">
        <v>802.0</v>
      </c>
      <c r="B804" s="98" t="s">
        <v>963</v>
      </c>
      <c r="C804" s="99"/>
      <c r="D804" s="100" t="str">
        <f>LOWER(B804)</f>
        <v>marshadow</v>
      </c>
      <c r="E804" s="100"/>
    </row>
    <row r="805">
      <c r="A805" s="101">
        <v>803.0</v>
      </c>
      <c r="B805" s="102" t="s">
        <v>231</v>
      </c>
      <c r="C805" s="103"/>
      <c r="D805" s="96" t="s">
        <v>964</v>
      </c>
      <c r="E805" s="96"/>
    </row>
    <row r="806">
      <c r="A806" s="97">
        <v>804.0</v>
      </c>
      <c r="B806" s="98" t="s">
        <v>965</v>
      </c>
      <c r="C806" s="99"/>
      <c r="D806" s="100" t="s">
        <v>966</v>
      </c>
      <c r="E806" s="100"/>
    </row>
    <row r="807">
      <c r="A807" s="93">
        <v>805.0</v>
      </c>
      <c r="B807" s="102" t="s">
        <v>967</v>
      </c>
      <c r="C807" s="103"/>
      <c r="D807" s="96" t="str">
        <f t="shared" ref="D807:D897" si="27">LOWER(B807)</f>
        <v>stakataka</v>
      </c>
      <c r="E807" s="96"/>
    </row>
    <row r="808">
      <c r="A808" s="97">
        <v>806.0</v>
      </c>
      <c r="B808" s="98" t="s">
        <v>968</v>
      </c>
      <c r="C808" s="99"/>
      <c r="D808" s="100" t="str">
        <f t="shared" si="27"/>
        <v>blacephalon</v>
      </c>
      <c r="E808" s="99"/>
    </row>
    <row r="809">
      <c r="A809" s="101">
        <v>807.0</v>
      </c>
      <c r="B809" s="102" t="s">
        <v>969</v>
      </c>
      <c r="C809" s="103"/>
      <c r="D809" s="96" t="str">
        <f t="shared" si="27"/>
        <v>zeraora</v>
      </c>
      <c r="E809" s="96"/>
    </row>
    <row r="810">
      <c r="A810" s="104">
        <v>808.0</v>
      </c>
      <c r="B810" s="98" t="s">
        <v>970</v>
      </c>
      <c r="C810" s="99"/>
      <c r="D810" s="100" t="str">
        <f t="shared" si="27"/>
        <v>meltan</v>
      </c>
      <c r="E810" s="100"/>
    </row>
    <row r="811">
      <c r="A811" s="101">
        <v>809.0</v>
      </c>
      <c r="B811" s="102" t="s">
        <v>971</v>
      </c>
      <c r="C811" s="103"/>
      <c r="D811" s="96" t="str">
        <f t="shared" si="27"/>
        <v>melmetal</v>
      </c>
      <c r="E811" s="96"/>
    </row>
    <row r="812">
      <c r="A812" s="97">
        <v>810.0</v>
      </c>
      <c r="B812" s="98" t="s">
        <v>164</v>
      </c>
      <c r="C812" s="99"/>
      <c r="D812" s="100" t="str">
        <f t="shared" si="27"/>
        <v>grookey</v>
      </c>
      <c r="E812" s="99"/>
    </row>
    <row r="813">
      <c r="A813" s="93">
        <v>811.0</v>
      </c>
      <c r="B813" s="102" t="s">
        <v>972</v>
      </c>
      <c r="C813" s="103"/>
      <c r="D813" s="96" t="str">
        <f t="shared" si="27"/>
        <v>thwackey</v>
      </c>
      <c r="E813" s="103"/>
    </row>
    <row r="814">
      <c r="A814" s="97">
        <v>812.0</v>
      </c>
      <c r="B814" s="98" t="s">
        <v>973</v>
      </c>
      <c r="C814" s="99"/>
      <c r="D814" s="100" t="str">
        <f t="shared" si="27"/>
        <v>rillaboom</v>
      </c>
      <c r="E814" s="99"/>
    </row>
    <row r="815">
      <c r="A815" s="101">
        <v>813.0</v>
      </c>
      <c r="B815" s="102" t="s">
        <v>252</v>
      </c>
      <c r="C815" s="103"/>
      <c r="D815" s="96" t="str">
        <f t="shared" si="27"/>
        <v>scorbunny</v>
      </c>
      <c r="E815" s="103"/>
    </row>
    <row r="816">
      <c r="A816" s="104">
        <v>814.0</v>
      </c>
      <c r="B816" s="98" t="s">
        <v>974</v>
      </c>
      <c r="C816" s="99"/>
      <c r="D816" s="100" t="str">
        <f t="shared" si="27"/>
        <v>raboot</v>
      </c>
      <c r="E816" s="100"/>
    </row>
    <row r="817">
      <c r="A817" s="101">
        <v>815.0</v>
      </c>
      <c r="B817" s="102" t="s">
        <v>975</v>
      </c>
      <c r="C817" s="103"/>
      <c r="D817" s="96" t="str">
        <f t="shared" si="27"/>
        <v>cinderace</v>
      </c>
      <c r="E817" s="96"/>
    </row>
    <row r="818">
      <c r="A818" s="97">
        <v>816.0</v>
      </c>
      <c r="B818" s="98" t="s">
        <v>279</v>
      </c>
      <c r="C818" s="99"/>
      <c r="D818" s="100" t="str">
        <f t="shared" si="27"/>
        <v>sobble</v>
      </c>
      <c r="E818" s="100"/>
    </row>
    <row r="819">
      <c r="A819" s="93">
        <v>817.0</v>
      </c>
      <c r="B819" s="102" t="s">
        <v>976</v>
      </c>
      <c r="C819" s="103"/>
      <c r="D819" s="96" t="str">
        <f t="shared" si="27"/>
        <v>drizzile</v>
      </c>
      <c r="E819" s="96"/>
    </row>
    <row r="820">
      <c r="A820" s="97">
        <v>818.0</v>
      </c>
      <c r="B820" s="98" t="s">
        <v>977</v>
      </c>
      <c r="C820" s="99"/>
      <c r="D820" s="100" t="str">
        <f t="shared" si="27"/>
        <v>inteleon</v>
      </c>
      <c r="E820" s="100"/>
    </row>
    <row r="821">
      <c r="A821" s="101">
        <v>819.0</v>
      </c>
      <c r="B821" s="102" t="s">
        <v>978</v>
      </c>
      <c r="C821" s="103"/>
      <c r="D821" s="96" t="str">
        <f t="shared" si="27"/>
        <v>skwovet</v>
      </c>
      <c r="E821" s="96"/>
    </row>
    <row r="822">
      <c r="A822" s="104">
        <v>820.0</v>
      </c>
      <c r="B822" s="98" t="s">
        <v>979</v>
      </c>
      <c r="C822" s="99"/>
      <c r="D822" s="100" t="str">
        <f t="shared" si="27"/>
        <v>greedent</v>
      </c>
      <c r="E822" s="100"/>
    </row>
    <row r="823">
      <c r="A823" s="101">
        <v>821.0</v>
      </c>
      <c r="B823" s="102" t="s">
        <v>245</v>
      </c>
      <c r="C823" s="103"/>
      <c r="D823" s="96" t="str">
        <f t="shared" si="27"/>
        <v>rookidee</v>
      </c>
      <c r="E823" s="96"/>
    </row>
    <row r="824">
      <c r="A824" s="97">
        <v>822.0</v>
      </c>
      <c r="B824" s="98" t="s">
        <v>980</v>
      </c>
      <c r="C824" s="99"/>
      <c r="D824" s="100" t="str">
        <f t="shared" si="27"/>
        <v>corvisquire</v>
      </c>
      <c r="E824" s="100"/>
    </row>
    <row r="825">
      <c r="A825" s="93">
        <v>823.0</v>
      </c>
      <c r="B825" s="102" t="s">
        <v>981</v>
      </c>
      <c r="C825" s="103"/>
      <c r="D825" s="96" t="str">
        <f t="shared" si="27"/>
        <v>corviknight</v>
      </c>
      <c r="E825" s="96"/>
    </row>
    <row r="826">
      <c r="A826" s="97">
        <v>824.0</v>
      </c>
      <c r="B826" s="98" t="s">
        <v>982</v>
      </c>
      <c r="C826" s="99"/>
      <c r="D826" s="100" t="str">
        <f t="shared" si="27"/>
        <v>blipbug</v>
      </c>
      <c r="E826" s="100"/>
    </row>
    <row r="827">
      <c r="A827" s="101">
        <v>825.0</v>
      </c>
      <c r="B827" s="102" t="s">
        <v>983</v>
      </c>
      <c r="C827" s="103"/>
      <c r="D827" s="96" t="str">
        <f t="shared" si="27"/>
        <v>dottler</v>
      </c>
      <c r="E827" s="96"/>
    </row>
    <row r="828">
      <c r="A828" s="104">
        <v>826.0</v>
      </c>
      <c r="B828" s="98" t="s">
        <v>984</v>
      </c>
      <c r="C828" s="99"/>
      <c r="D828" s="100" t="str">
        <f t="shared" si="27"/>
        <v>orbeetle</v>
      </c>
      <c r="E828" s="100"/>
    </row>
    <row r="829">
      <c r="A829" s="101">
        <v>827.0</v>
      </c>
      <c r="B829" s="102" t="s">
        <v>985</v>
      </c>
      <c r="C829" s="103"/>
      <c r="D829" s="96" t="str">
        <f t="shared" si="27"/>
        <v>nickit</v>
      </c>
      <c r="E829" s="96"/>
    </row>
    <row r="830">
      <c r="A830" s="97">
        <v>828.0</v>
      </c>
      <c r="B830" s="98" t="s">
        <v>986</v>
      </c>
      <c r="C830" s="99"/>
      <c r="D830" s="100" t="str">
        <f t="shared" si="27"/>
        <v>thievul</v>
      </c>
      <c r="E830" s="100"/>
    </row>
    <row r="831">
      <c r="A831" s="93">
        <v>829.0</v>
      </c>
      <c r="B831" s="102" t="s">
        <v>161</v>
      </c>
      <c r="C831" s="103"/>
      <c r="D831" s="96" t="str">
        <f t="shared" si="27"/>
        <v>gossifleur</v>
      </c>
      <c r="E831" s="96"/>
    </row>
    <row r="832">
      <c r="A832" s="97">
        <v>830.0</v>
      </c>
      <c r="B832" s="98" t="s">
        <v>987</v>
      </c>
      <c r="C832" s="99"/>
      <c r="D832" s="100" t="str">
        <f t="shared" si="27"/>
        <v>eldegoss</v>
      </c>
      <c r="E832" s="100"/>
    </row>
    <row r="833">
      <c r="A833" s="101">
        <v>831.0</v>
      </c>
      <c r="B833" s="102" t="s">
        <v>988</v>
      </c>
      <c r="C833" s="103"/>
      <c r="D833" s="96" t="str">
        <f t="shared" si="27"/>
        <v>wooloo</v>
      </c>
      <c r="E833" s="96"/>
    </row>
    <row r="834">
      <c r="A834" s="104">
        <v>832.0</v>
      </c>
      <c r="B834" s="98" t="s">
        <v>989</v>
      </c>
      <c r="C834" s="99"/>
      <c r="D834" s="100" t="str">
        <f t="shared" si="27"/>
        <v>dubwool</v>
      </c>
      <c r="E834" s="100"/>
    </row>
    <row r="835">
      <c r="A835" s="101">
        <v>833.0</v>
      </c>
      <c r="B835" s="102" t="s">
        <v>85</v>
      </c>
      <c r="C835" s="103"/>
      <c r="D835" s="96" t="str">
        <f t="shared" si="27"/>
        <v>chewtle</v>
      </c>
      <c r="E835" s="103"/>
    </row>
    <row r="836">
      <c r="A836" s="97">
        <v>834.0</v>
      </c>
      <c r="B836" s="98" t="s">
        <v>990</v>
      </c>
      <c r="C836" s="99"/>
      <c r="D836" s="100" t="str">
        <f t="shared" si="27"/>
        <v>drednaw</v>
      </c>
      <c r="E836" s="100"/>
    </row>
    <row r="837">
      <c r="A837" s="93">
        <v>835.0</v>
      </c>
      <c r="B837" s="102" t="s">
        <v>332</v>
      </c>
      <c r="C837" s="103"/>
      <c r="D837" s="96" t="str">
        <f t="shared" si="27"/>
        <v>yamper</v>
      </c>
      <c r="E837" s="96"/>
    </row>
    <row r="838">
      <c r="A838" s="97">
        <v>836.0</v>
      </c>
      <c r="B838" s="98" t="s">
        <v>991</v>
      </c>
      <c r="C838" s="99"/>
      <c r="D838" s="100" t="str">
        <f t="shared" si="27"/>
        <v>boltund</v>
      </c>
      <c r="E838" s="100"/>
    </row>
    <row r="839">
      <c r="A839" s="101">
        <v>837.0</v>
      </c>
      <c r="B839" s="102" t="s">
        <v>244</v>
      </c>
      <c r="C839" s="103"/>
      <c r="D839" s="96" t="str">
        <f t="shared" si="27"/>
        <v>rolycoly</v>
      </c>
      <c r="E839" s="96"/>
    </row>
    <row r="840">
      <c r="A840" s="104">
        <v>838.0</v>
      </c>
      <c r="B840" s="98" t="s">
        <v>992</v>
      </c>
      <c r="C840" s="99"/>
      <c r="D840" s="100" t="str">
        <f t="shared" si="27"/>
        <v>carkol</v>
      </c>
      <c r="E840" s="100"/>
    </row>
    <row r="841">
      <c r="A841" s="101">
        <v>839.0</v>
      </c>
      <c r="B841" s="102" t="s">
        <v>993</v>
      </c>
      <c r="C841" s="103"/>
      <c r="D841" s="96" t="str">
        <f t="shared" si="27"/>
        <v>coalossal</v>
      </c>
      <c r="E841" s="96"/>
    </row>
    <row r="842">
      <c r="A842" s="97">
        <v>840.0</v>
      </c>
      <c r="B842" s="98" t="s">
        <v>20</v>
      </c>
      <c r="C842" s="99"/>
      <c r="D842" s="100" t="str">
        <f t="shared" si="27"/>
        <v>applin</v>
      </c>
      <c r="E842" s="100"/>
    </row>
    <row r="843">
      <c r="A843" s="93">
        <v>841.0</v>
      </c>
      <c r="B843" s="102" t="s">
        <v>994</v>
      </c>
      <c r="C843" s="103"/>
      <c r="D843" s="96" t="str">
        <f t="shared" si="27"/>
        <v>flapple</v>
      </c>
      <c r="E843" s="96"/>
    </row>
    <row r="844">
      <c r="A844" s="97">
        <v>842.0</v>
      </c>
      <c r="B844" s="98" t="s">
        <v>995</v>
      </c>
      <c r="C844" s="99"/>
      <c r="D844" s="100" t="str">
        <f t="shared" si="27"/>
        <v>appletun</v>
      </c>
      <c r="E844" s="100"/>
    </row>
    <row r="845">
      <c r="A845" s="101">
        <v>843.0</v>
      </c>
      <c r="B845" s="102" t="s">
        <v>996</v>
      </c>
      <c r="C845" s="103"/>
      <c r="D845" s="96" t="str">
        <f t="shared" si="27"/>
        <v>silicobra</v>
      </c>
      <c r="E845" s="96"/>
    </row>
    <row r="846">
      <c r="A846" s="104">
        <v>844.0</v>
      </c>
      <c r="B846" s="98" t="s">
        <v>997</v>
      </c>
      <c r="C846" s="99"/>
      <c r="D846" s="100" t="str">
        <f t="shared" si="27"/>
        <v>sandaconda</v>
      </c>
      <c r="E846" s="100"/>
    </row>
    <row r="847">
      <c r="A847" s="101">
        <v>845.0</v>
      </c>
      <c r="B847" s="102" t="s">
        <v>122</v>
      </c>
      <c r="C847" s="103"/>
      <c r="D847" s="96" t="str">
        <f t="shared" si="27"/>
        <v>cramorant</v>
      </c>
      <c r="E847" s="96"/>
    </row>
    <row r="848">
      <c r="A848" s="97">
        <v>846.0</v>
      </c>
      <c r="B848" s="98" t="s">
        <v>29</v>
      </c>
      <c r="C848" s="99"/>
      <c r="D848" s="100" t="str">
        <f t="shared" si="27"/>
        <v>arrokuda</v>
      </c>
      <c r="E848" s="100"/>
    </row>
    <row r="849">
      <c r="A849" s="93">
        <v>847.0</v>
      </c>
      <c r="B849" s="102" t="s">
        <v>998</v>
      </c>
      <c r="C849" s="103"/>
      <c r="D849" s="96" t="str">
        <f t="shared" si="27"/>
        <v>barraskewda</v>
      </c>
      <c r="E849" s="103"/>
    </row>
    <row r="850">
      <c r="A850" s="97">
        <v>848.0</v>
      </c>
      <c r="B850" s="98" t="s">
        <v>303</v>
      </c>
      <c r="C850" s="99"/>
      <c r="D850" s="100" t="str">
        <f t="shared" si="27"/>
        <v>toxel</v>
      </c>
      <c r="E850" s="100"/>
    </row>
    <row r="851">
      <c r="A851" s="101">
        <v>849.0</v>
      </c>
      <c r="B851" s="102" t="s">
        <v>999</v>
      </c>
      <c r="C851" s="103"/>
      <c r="D851" s="96" t="str">
        <f t="shared" si="27"/>
        <v>toxtricity</v>
      </c>
      <c r="E851" s="96"/>
    </row>
    <row r="852">
      <c r="A852" s="104">
        <v>850.0</v>
      </c>
      <c r="B852" s="98" t="s">
        <v>264</v>
      </c>
      <c r="C852" s="99"/>
      <c r="D852" s="100" t="str">
        <f t="shared" si="27"/>
        <v>sizzlipede</v>
      </c>
      <c r="E852" s="100"/>
    </row>
    <row r="853">
      <c r="A853" s="101">
        <v>851.0</v>
      </c>
      <c r="B853" s="102" t="s">
        <v>1000</v>
      </c>
      <c r="C853" s="103"/>
      <c r="D853" s="96" t="str">
        <f t="shared" si="27"/>
        <v>centiskorch</v>
      </c>
      <c r="E853" s="103"/>
    </row>
    <row r="854">
      <c r="A854" s="97">
        <v>852.0</v>
      </c>
      <c r="B854" s="98" t="s">
        <v>101</v>
      </c>
      <c r="C854" s="99"/>
      <c r="D854" s="100" t="str">
        <f t="shared" si="27"/>
        <v>clobbopus</v>
      </c>
      <c r="E854" s="100"/>
    </row>
    <row r="855">
      <c r="A855" s="93">
        <v>853.0</v>
      </c>
      <c r="B855" s="102" t="s">
        <v>1001</v>
      </c>
      <c r="C855" s="103"/>
      <c r="D855" s="96" t="str">
        <f t="shared" si="27"/>
        <v>grapploct</v>
      </c>
      <c r="E855" s="96"/>
    </row>
    <row r="856">
      <c r="A856" s="97">
        <v>854.0</v>
      </c>
      <c r="B856" s="98" t="s">
        <v>263</v>
      </c>
      <c r="C856" s="99"/>
      <c r="D856" s="100" t="str">
        <f t="shared" si="27"/>
        <v>sinistea</v>
      </c>
      <c r="E856" s="100"/>
    </row>
    <row r="857">
      <c r="A857" s="101">
        <v>855.0</v>
      </c>
      <c r="B857" s="102" t="s">
        <v>1002</v>
      </c>
      <c r="C857" s="103"/>
      <c r="D857" s="96" t="str">
        <f t="shared" si="27"/>
        <v>polteageist</v>
      </c>
      <c r="E857" s="96"/>
    </row>
    <row r="858">
      <c r="A858" s="104">
        <v>856.0</v>
      </c>
      <c r="B858" s="98" t="s">
        <v>169</v>
      </c>
      <c r="C858" s="99"/>
      <c r="D858" s="100" t="str">
        <f t="shared" si="27"/>
        <v>hatenna</v>
      </c>
      <c r="E858" s="100"/>
    </row>
    <row r="859">
      <c r="A859" s="101">
        <v>857.0</v>
      </c>
      <c r="B859" s="102" t="s">
        <v>1003</v>
      </c>
      <c r="C859" s="103"/>
      <c r="D859" s="96" t="str">
        <f t="shared" si="27"/>
        <v>hattrem</v>
      </c>
      <c r="E859" s="96"/>
    </row>
    <row r="860">
      <c r="A860" s="97">
        <v>858.0</v>
      </c>
      <c r="B860" s="98" t="s">
        <v>1004</v>
      </c>
      <c r="C860" s="99"/>
      <c r="D860" s="100" t="str">
        <f t="shared" si="27"/>
        <v>hatterene</v>
      </c>
      <c r="E860" s="100"/>
    </row>
    <row r="861">
      <c r="A861" s="93">
        <v>859.0</v>
      </c>
      <c r="B861" s="102" t="s">
        <v>174</v>
      </c>
      <c r="C861" s="103"/>
      <c r="D861" s="96" t="str">
        <f t="shared" si="27"/>
        <v>impidimp</v>
      </c>
      <c r="E861" s="96"/>
    </row>
    <row r="862">
      <c r="A862" s="97">
        <v>860.0</v>
      </c>
      <c r="B862" s="98" t="s">
        <v>1005</v>
      </c>
      <c r="C862" s="99"/>
      <c r="D862" s="100" t="str">
        <f t="shared" si="27"/>
        <v>morgrem</v>
      </c>
      <c r="E862" s="100"/>
    </row>
    <row r="863">
      <c r="A863" s="101">
        <v>861.0</v>
      </c>
      <c r="B863" s="102" t="s">
        <v>1006</v>
      </c>
      <c r="C863" s="103"/>
      <c r="D863" s="96" t="str">
        <f t="shared" si="27"/>
        <v>grimmsnarl</v>
      </c>
      <c r="E863" s="96"/>
    </row>
    <row r="864">
      <c r="A864" s="104">
        <v>862.0</v>
      </c>
      <c r="B864" s="98" t="s">
        <v>1007</v>
      </c>
      <c r="C864" s="99"/>
      <c r="D864" s="100" t="str">
        <f t="shared" si="27"/>
        <v>obstagoon</v>
      </c>
      <c r="E864" s="100"/>
    </row>
    <row r="865">
      <c r="A865" s="101">
        <v>863.0</v>
      </c>
      <c r="B865" s="102" t="s">
        <v>1008</v>
      </c>
      <c r="C865" s="103"/>
      <c r="D865" s="96" t="str">
        <f t="shared" si="27"/>
        <v>perrserker</v>
      </c>
      <c r="E865" s="96"/>
    </row>
    <row r="866">
      <c r="A866" s="97">
        <v>864.0</v>
      </c>
      <c r="B866" s="98" t="s">
        <v>1009</v>
      </c>
      <c r="C866" s="99"/>
      <c r="D866" s="100" t="str">
        <f t="shared" si="27"/>
        <v>cursola</v>
      </c>
      <c r="E866" s="100"/>
    </row>
    <row r="867">
      <c r="A867" s="93">
        <v>865.0</v>
      </c>
      <c r="B867" s="94" t="s">
        <v>1010</v>
      </c>
      <c r="C867" s="103"/>
      <c r="D867" s="96" t="str">
        <f t="shared" si="27"/>
        <v>sirfetch'd</v>
      </c>
      <c r="E867" s="96"/>
    </row>
    <row r="868">
      <c r="A868" s="97">
        <v>866.0</v>
      </c>
      <c r="B868" s="105" t="s">
        <v>1011</v>
      </c>
      <c r="C868" s="99"/>
      <c r="D868" s="100" t="str">
        <f t="shared" si="27"/>
        <v>mr. rime</v>
      </c>
      <c r="E868" s="100"/>
    </row>
    <row r="869">
      <c r="A869" s="101">
        <v>867.0</v>
      </c>
      <c r="B869" s="102" t="s">
        <v>1012</v>
      </c>
      <c r="C869" s="103"/>
      <c r="D869" s="96" t="str">
        <f t="shared" si="27"/>
        <v>runerigus</v>
      </c>
      <c r="E869" s="96"/>
    </row>
    <row r="870">
      <c r="A870" s="104">
        <v>868.0</v>
      </c>
      <c r="B870" s="98" t="s">
        <v>203</v>
      </c>
      <c r="C870" s="99"/>
      <c r="D870" s="100" t="str">
        <f t="shared" si="27"/>
        <v>milcery</v>
      </c>
      <c r="E870" s="100"/>
    </row>
    <row r="871">
      <c r="A871" s="101">
        <v>869.0</v>
      </c>
      <c r="B871" s="102" t="s">
        <v>1013</v>
      </c>
      <c r="C871" s="103"/>
      <c r="D871" s="96" t="str">
        <f t="shared" si="27"/>
        <v>alcremie</v>
      </c>
      <c r="E871" s="96"/>
    </row>
    <row r="872">
      <c r="A872" s="97">
        <v>870.0</v>
      </c>
      <c r="B872" s="98" t="s">
        <v>159</v>
      </c>
      <c r="C872" s="99"/>
      <c r="D872" s="100" t="str">
        <f t="shared" si="27"/>
        <v>falinks</v>
      </c>
      <c r="E872" s="100"/>
    </row>
    <row r="873">
      <c r="A873" s="93">
        <v>871.0</v>
      </c>
      <c r="B873" s="102" t="s">
        <v>283</v>
      </c>
      <c r="C873" s="103"/>
      <c r="D873" s="96" t="str">
        <f t="shared" si="27"/>
        <v>pincurchin</v>
      </c>
      <c r="E873" s="96"/>
    </row>
    <row r="874">
      <c r="A874" s="97">
        <v>872.0</v>
      </c>
      <c r="B874" s="98" t="s">
        <v>275</v>
      </c>
      <c r="C874" s="99"/>
      <c r="D874" s="100" t="str">
        <f t="shared" si="27"/>
        <v>snom</v>
      </c>
      <c r="E874" s="100"/>
    </row>
    <row r="875">
      <c r="A875" s="101">
        <v>873.0</v>
      </c>
      <c r="B875" s="102" t="s">
        <v>1014</v>
      </c>
      <c r="C875" s="103"/>
      <c r="D875" s="96" t="str">
        <f t="shared" si="27"/>
        <v>frosmoth</v>
      </c>
      <c r="E875" s="96"/>
    </row>
    <row r="876">
      <c r="A876" s="104">
        <v>874.0</v>
      </c>
      <c r="B876" s="98" t="s">
        <v>339</v>
      </c>
      <c r="C876" s="99"/>
      <c r="D876" s="100" t="str">
        <f t="shared" si="27"/>
        <v>stonjourner</v>
      </c>
      <c r="E876" s="100"/>
    </row>
    <row r="877">
      <c r="A877" s="101">
        <v>875.0</v>
      </c>
      <c r="B877" s="102" t="s">
        <v>155</v>
      </c>
      <c r="C877" s="103"/>
      <c r="D877" s="96" t="str">
        <f t="shared" si="27"/>
        <v>eiscue</v>
      </c>
      <c r="E877" s="96"/>
    </row>
    <row r="878">
      <c r="A878" s="97">
        <v>876.0</v>
      </c>
      <c r="B878" s="98" t="s">
        <v>211</v>
      </c>
      <c r="C878" s="99"/>
      <c r="D878" s="100" t="str">
        <f t="shared" si="27"/>
        <v>indeedee</v>
      </c>
      <c r="E878" s="100"/>
    </row>
    <row r="879">
      <c r="A879" s="93">
        <v>877.0</v>
      </c>
      <c r="B879" s="102" t="s">
        <v>257</v>
      </c>
      <c r="C879" s="103"/>
      <c r="D879" s="96" t="str">
        <f t="shared" si="27"/>
        <v>morpeko</v>
      </c>
      <c r="E879" s="96"/>
    </row>
    <row r="880">
      <c r="A880" s="97">
        <v>878.0</v>
      </c>
      <c r="B880" s="98" t="s">
        <v>114</v>
      </c>
      <c r="C880" s="99"/>
      <c r="D880" s="100" t="str">
        <f t="shared" si="27"/>
        <v>cufant</v>
      </c>
      <c r="E880" s="100"/>
    </row>
    <row r="881">
      <c r="A881" s="101">
        <v>879.0</v>
      </c>
      <c r="B881" s="102" t="s">
        <v>1015</v>
      </c>
      <c r="C881" s="103"/>
      <c r="D881" s="96" t="str">
        <f t="shared" si="27"/>
        <v>copperajah</v>
      </c>
      <c r="E881" s="96"/>
    </row>
    <row r="882">
      <c r="A882" s="104">
        <v>880.0</v>
      </c>
      <c r="B882" s="98" t="s">
        <v>1016</v>
      </c>
      <c r="C882" s="99"/>
      <c r="D882" s="100" t="str">
        <f t="shared" si="27"/>
        <v>dracozolt</v>
      </c>
      <c r="E882" s="100"/>
    </row>
    <row r="883">
      <c r="A883" s="101">
        <v>881.0</v>
      </c>
      <c r="B883" s="102" t="s">
        <v>1017</v>
      </c>
      <c r="C883" s="103"/>
      <c r="D883" s="96" t="str">
        <f t="shared" si="27"/>
        <v>arctozolt</v>
      </c>
      <c r="E883" s="103"/>
    </row>
    <row r="884">
      <c r="A884" s="97">
        <v>882.0</v>
      </c>
      <c r="B884" s="98" t="s">
        <v>1018</v>
      </c>
      <c r="C884" s="99"/>
      <c r="D884" s="100" t="str">
        <f t="shared" si="27"/>
        <v>dracovish</v>
      </c>
      <c r="E884" s="99"/>
    </row>
    <row r="885">
      <c r="A885" s="93">
        <v>883.0</v>
      </c>
      <c r="B885" s="102" t="s">
        <v>1019</v>
      </c>
      <c r="C885" s="103"/>
      <c r="D885" s="96" t="str">
        <f t="shared" si="27"/>
        <v>arctovish</v>
      </c>
      <c r="E885" s="103"/>
    </row>
    <row r="886">
      <c r="A886" s="97">
        <v>884.0</v>
      </c>
      <c r="B886" s="98" t="s">
        <v>1020</v>
      </c>
      <c r="C886" s="99"/>
      <c r="D886" s="100" t="str">
        <f t="shared" si="27"/>
        <v>duraludon</v>
      </c>
      <c r="E886" s="100"/>
    </row>
    <row r="887">
      <c r="A887" s="101">
        <v>885.0</v>
      </c>
      <c r="B887" s="102" t="s">
        <v>127</v>
      </c>
      <c r="C887" s="103"/>
      <c r="D887" s="96" t="str">
        <f t="shared" si="27"/>
        <v>dreepy</v>
      </c>
      <c r="E887" s="103"/>
    </row>
    <row r="888">
      <c r="A888" s="104">
        <v>886.0</v>
      </c>
      <c r="B888" s="98" t="s">
        <v>1021</v>
      </c>
      <c r="C888" s="99"/>
      <c r="D888" s="100" t="str">
        <f t="shared" si="27"/>
        <v>drakloak</v>
      </c>
      <c r="E888" s="99"/>
    </row>
    <row r="889">
      <c r="A889" s="101">
        <v>887.0</v>
      </c>
      <c r="B889" s="102" t="s">
        <v>1022</v>
      </c>
      <c r="C889" s="103"/>
      <c r="D889" s="96" t="str">
        <f t="shared" si="27"/>
        <v>dragapult</v>
      </c>
      <c r="E889" s="103"/>
    </row>
    <row r="890">
      <c r="A890" s="97">
        <v>888.0</v>
      </c>
      <c r="B890" s="98" t="s">
        <v>1023</v>
      </c>
      <c r="C890" s="99"/>
      <c r="D890" s="100" t="str">
        <f t="shared" si="27"/>
        <v>zacian</v>
      </c>
      <c r="E890" s="100"/>
    </row>
    <row r="891">
      <c r="A891" s="93">
        <v>889.0</v>
      </c>
      <c r="B891" s="102" t="s">
        <v>1024</v>
      </c>
      <c r="C891" s="103"/>
      <c r="D891" s="96" t="str">
        <f t="shared" si="27"/>
        <v>zamazenta</v>
      </c>
      <c r="E891" s="96"/>
    </row>
    <row r="892">
      <c r="A892" s="97">
        <v>890.0</v>
      </c>
      <c r="B892" s="98" t="s">
        <v>1025</v>
      </c>
      <c r="C892" s="99"/>
      <c r="D892" s="100" t="str">
        <f t="shared" si="27"/>
        <v>eternatus</v>
      </c>
      <c r="E892" s="100"/>
    </row>
    <row r="893">
      <c r="A893" s="101">
        <v>891.0</v>
      </c>
      <c r="B893" s="102" t="s">
        <v>183</v>
      </c>
      <c r="C893" s="103"/>
      <c r="D893" s="96" t="str">
        <f t="shared" si="27"/>
        <v>kubfu</v>
      </c>
      <c r="E893" s="96"/>
    </row>
    <row r="894">
      <c r="A894" s="104">
        <v>892.0</v>
      </c>
      <c r="B894" s="105" t="s">
        <v>1026</v>
      </c>
      <c r="C894" s="99"/>
      <c r="D894" s="100" t="str">
        <f t="shared" si="27"/>
        <v>urshifu-single</v>
      </c>
      <c r="E894" s="100"/>
    </row>
    <row r="895">
      <c r="A895" s="101">
        <v>893.0</v>
      </c>
      <c r="B895" s="102" t="s">
        <v>1027</v>
      </c>
      <c r="C895" s="103"/>
      <c r="D895" s="96" t="str">
        <f t="shared" si="27"/>
        <v>zarude</v>
      </c>
      <c r="E895" s="96"/>
    </row>
    <row r="896">
      <c r="A896" s="97">
        <v>894.0</v>
      </c>
      <c r="B896" s="105" t="s">
        <v>1028</v>
      </c>
      <c r="C896" s="99"/>
      <c r="D896" s="100" t="str">
        <f t="shared" si="27"/>
        <v>regieleki</v>
      </c>
      <c r="E896" s="100"/>
    </row>
    <row r="897">
      <c r="A897" s="93">
        <v>895.0</v>
      </c>
      <c r="B897" s="94" t="s">
        <v>1029</v>
      </c>
      <c r="C897" s="103"/>
      <c r="D897" s="96" t="str">
        <f t="shared" si="27"/>
        <v>regidrago</v>
      </c>
      <c r="E897" s="96"/>
    </row>
    <row r="898">
      <c r="A898" s="97">
        <v>896.0</v>
      </c>
      <c r="B898" s="105" t="s">
        <v>1030</v>
      </c>
      <c r="C898" s="99"/>
      <c r="D898" s="100" t="s">
        <v>1031</v>
      </c>
      <c r="E898" s="100"/>
    </row>
    <row r="899">
      <c r="A899" s="101">
        <v>897.0</v>
      </c>
      <c r="B899" s="94" t="s">
        <v>1032</v>
      </c>
      <c r="C899" s="103"/>
      <c r="D899" s="96" t="str">
        <f t="shared" ref="D899:D901" si="28">LOWER(B899)</f>
        <v>spectrier</v>
      </c>
      <c r="E899" s="96"/>
    </row>
    <row r="900">
      <c r="A900" s="104">
        <v>898.0</v>
      </c>
      <c r="B900" s="105" t="s">
        <v>1033</v>
      </c>
      <c r="C900" s="99"/>
      <c r="D900" s="100" t="str">
        <f t="shared" si="28"/>
        <v>calyrex</v>
      </c>
      <c r="E900" s="100"/>
    </row>
    <row r="901">
      <c r="A901" s="101">
        <v>899.0</v>
      </c>
      <c r="B901" s="94" t="s">
        <v>1034</v>
      </c>
      <c r="C901" s="103"/>
      <c r="D901" s="96" t="str">
        <f t="shared" si="28"/>
        <v>wyrdeer</v>
      </c>
      <c r="E901" s="96"/>
    </row>
    <row r="902">
      <c r="A902" s="97">
        <v>900.0</v>
      </c>
      <c r="B902" s="105" t="s">
        <v>1035</v>
      </c>
      <c r="C902" s="99"/>
      <c r="D902" s="100" t="s">
        <v>1036</v>
      </c>
      <c r="E902" s="100"/>
    </row>
    <row r="903">
      <c r="A903" s="93">
        <v>901.0</v>
      </c>
      <c r="B903" s="94" t="s">
        <v>1037</v>
      </c>
      <c r="C903" s="103"/>
      <c r="D903" s="96" t="str">
        <f t="shared" ref="D903:D930" si="29">LOWER(B903)</f>
        <v>ursaluna</v>
      </c>
      <c r="E903" s="96"/>
    </row>
    <row r="904">
      <c r="A904" s="97">
        <v>902.0</v>
      </c>
      <c r="B904" s="105" t="s">
        <v>1038</v>
      </c>
      <c r="C904" s="99"/>
      <c r="D904" s="100" t="str">
        <f t="shared" si="29"/>
        <v>basculegion</v>
      </c>
      <c r="E904" s="100"/>
    </row>
    <row r="905">
      <c r="A905" s="101">
        <v>903.0</v>
      </c>
      <c r="B905" s="94" t="s">
        <v>1039</v>
      </c>
      <c r="C905" s="103"/>
      <c r="D905" s="96" t="str">
        <f t="shared" si="29"/>
        <v>sneasler</v>
      </c>
      <c r="E905" s="96"/>
    </row>
    <row r="906">
      <c r="A906" s="104">
        <v>904.0</v>
      </c>
      <c r="B906" s="105" t="s">
        <v>1040</v>
      </c>
      <c r="C906" s="99"/>
      <c r="D906" s="100" t="str">
        <f t="shared" si="29"/>
        <v>overqwil</v>
      </c>
      <c r="E906" s="100"/>
    </row>
    <row r="907">
      <c r="A907" s="101">
        <v>905.0</v>
      </c>
      <c r="B907" s="94" t="s">
        <v>1041</v>
      </c>
      <c r="C907" s="103"/>
      <c r="D907" s="96" t="str">
        <f t="shared" si="29"/>
        <v>enamorus-i</v>
      </c>
      <c r="E907" s="96"/>
    </row>
    <row r="908">
      <c r="A908" s="97">
        <v>906.0</v>
      </c>
      <c r="B908" s="105" t="s">
        <v>78</v>
      </c>
      <c r="C908" s="99"/>
      <c r="D908" s="100" t="str">
        <f t="shared" si="29"/>
        <v>sprigatito</v>
      </c>
      <c r="E908" s="100"/>
    </row>
    <row r="909">
      <c r="A909" s="93">
        <v>907.0</v>
      </c>
      <c r="B909" s="94" t="s">
        <v>1042</v>
      </c>
      <c r="C909" s="103"/>
      <c r="D909" s="96" t="str">
        <f t="shared" si="29"/>
        <v>floragato</v>
      </c>
      <c r="E909" s="96"/>
    </row>
    <row r="910">
      <c r="A910" s="97">
        <v>908.0</v>
      </c>
      <c r="B910" s="105" t="s">
        <v>1043</v>
      </c>
      <c r="C910" s="99"/>
      <c r="D910" s="100" t="str">
        <f t="shared" si="29"/>
        <v>meowscarada</v>
      </c>
      <c r="E910" s="100"/>
    </row>
    <row r="911">
      <c r="A911" s="101">
        <v>909.0</v>
      </c>
      <c r="B911" s="94" t="s">
        <v>49</v>
      </c>
      <c r="C911" s="103"/>
      <c r="D911" s="96" t="str">
        <f t="shared" si="29"/>
        <v>fuecoco</v>
      </c>
      <c r="E911" s="96"/>
    </row>
    <row r="912">
      <c r="A912" s="104">
        <v>910.0</v>
      </c>
      <c r="B912" s="105" t="s">
        <v>1044</v>
      </c>
      <c r="C912" s="99"/>
      <c r="D912" s="100" t="str">
        <f t="shared" si="29"/>
        <v>crocalor</v>
      </c>
      <c r="E912" s="100"/>
    </row>
    <row r="913">
      <c r="A913" s="101">
        <v>911.0</v>
      </c>
      <c r="B913" s="94" t="s">
        <v>1045</v>
      </c>
      <c r="C913" s="103"/>
      <c r="D913" s="96" t="str">
        <f t="shared" si="29"/>
        <v>skeledirge</v>
      </c>
      <c r="E913" s="96"/>
    </row>
    <row r="914">
      <c r="A914" s="97">
        <v>912.0</v>
      </c>
      <c r="B914" s="105" t="s">
        <v>70</v>
      </c>
      <c r="C914" s="99"/>
      <c r="D914" s="100" t="str">
        <f t="shared" si="29"/>
        <v>quaxly</v>
      </c>
      <c r="E914" s="100"/>
    </row>
    <row r="915">
      <c r="A915" s="93">
        <v>913.0</v>
      </c>
      <c r="B915" s="94" t="s">
        <v>1046</v>
      </c>
      <c r="C915" s="103"/>
      <c r="D915" s="96" t="str">
        <f t="shared" si="29"/>
        <v>quaxwell</v>
      </c>
      <c r="E915" s="96"/>
    </row>
    <row r="916">
      <c r="A916" s="97">
        <v>914.0</v>
      </c>
      <c r="B916" s="105" t="s">
        <v>1047</v>
      </c>
      <c r="C916" s="99"/>
      <c r="D916" s="100" t="str">
        <f t="shared" si="29"/>
        <v>quaquaval</v>
      </c>
      <c r="E916" s="100"/>
    </row>
    <row r="917">
      <c r="A917" s="101">
        <v>915.0</v>
      </c>
      <c r="B917" s="94" t="s">
        <v>56</v>
      </c>
      <c r="C917" s="103"/>
      <c r="D917" s="96" t="str">
        <f t="shared" si="29"/>
        <v>lechonk</v>
      </c>
      <c r="E917" s="96"/>
    </row>
    <row r="918">
      <c r="A918" s="104">
        <v>916.0</v>
      </c>
      <c r="B918" s="105" t="s">
        <v>1048</v>
      </c>
      <c r="C918" s="99"/>
      <c r="D918" s="100" t="str">
        <f t="shared" si="29"/>
        <v>lechonk-m</v>
      </c>
      <c r="E918" s="100"/>
    </row>
    <row r="919">
      <c r="A919" s="101">
        <v>917.0</v>
      </c>
      <c r="B919" s="94" t="s">
        <v>84</v>
      </c>
      <c r="C919" s="103"/>
      <c r="D919" s="96" t="str">
        <f t="shared" si="29"/>
        <v>tarountula</v>
      </c>
      <c r="E919" s="96"/>
    </row>
    <row r="920">
      <c r="A920" s="97">
        <v>918.0</v>
      </c>
      <c r="B920" s="105" t="s">
        <v>1049</v>
      </c>
      <c r="C920" s="99"/>
      <c r="D920" s="100" t="str">
        <f t="shared" si="29"/>
        <v>spidops</v>
      </c>
      <c r="E920" s="100"/>
    </row>
    <row r="921">
      <c r="A921" s="93">
        <v>919.0</v>
      </c>
      <c r="B921" s="94" t="s">
        <v>61</v>
      </c>
      <c r="C921" s="103"/>
      <c r="D921" s="96" t="str">
        <f t="shared" si="29"/>
        <v>nymble</v>
      </c>
      <c r="E921" s="96"/>
    </row>
    <row r="922">
      <c r="A922" s="97">
        <v>920.0</v>
      </c>
      <c r="B922" s="105" t="s">
        <v>1050</v>
      </c>
      <c r="C922" s="99"/>
      <c r="D922" s="100" t="str">
        <f t="shared" si="29"/>
        <v>lokix</v>
      </c>
      <c r="E922" s="100"/>
    </row>
    <row r="923">
      <c r="A923" s="101">
        <v>921.0</v>
      </c>
      <c r="B923" s="94" t="s">
        <v>66</v>
      </c>
      <c r="C923" s="103"/>
      <c r="D923" s="96" t="str">
        <f t="shared" si="29"/>
        <v>pawmi</v>
      </c>
      <c r="E923" s="96"/>
    </row>
    <row r="924">
      <c r="A924" s="104">
        <v>922.0</v>
      </c>
      <c r="B924" s="105" t="s">
        <v>1051</v>
      </c>
      <c r="C924" s="99"/>
      <c r="D924" s="100" t="str">
        <f t="shared" si="29"/>
        <v>pawmo</v>
      </c>
      <c r="E924" s="99"/>
    </row>
    <row r="925">
      <c r="A925" s="101">
        <v>923.0</v>
      </c>
      <c r="B925" s="94" t="s">
        <v>1052</v>
      </c>
      <c r="C925" s="103"/>
      <c r="D925" s="96" t="str">
        <f t="shared" si="29"/>
        <v>pawmot</v>
      </c>
      <c r="E925" s="103"/>
    </row>
    <row r="926">
      <c r="A926" s="97">
        <v>924.0</v>
      </c>
      <c r="B926" s="105" t="s">
        <v>82</v>
      </c>
      <c r="C926" s="99"/>
      <c r="D926" s="100" t="str">
        <f t="shared" si="29"/>
        <v>tandemaus</v>
      </c>
      <c r="E926" s="99"/>
    </row>
    <row r="927">
      <c r="A927" s="93">
        <v>925.0</v>
      </c>
      <c r="B927" s="94" t="s">
        <v>1053</v>
      </c>
      <c r="C927" s="103"/>
      <c r="D927" s="96" t="str">
        <f t="shared" si="29"/>
        <v>maushold</v>
      </c>
      <c r="E927" s="96"/>
    </row>
    <row r="928">
      <c r="A928" s="97">
        <v>926.0</v>
      </c>
      <c r="B928" s="105" t="s">
        <v>33</v>
      </c>
      <c r="C928" s="99"/>
      <c r="D928" s="100" t="str">
        <f t="shared" si="29"/>
        <v>fidough</v>
      </c>
      <c r="E928" s="100"/>
    </row>
    <row r="929">
      <c r="A929" s="101">
        <v>927.0</v>
      </c>
      <c r="B929" s="94" t="s">
        <v>1054</v>
      </c>
      <c r="C929" s="103"/>
      <c r="D929" s="96" t="str">
        <f t="shared" si="29"/>
        <v>dachsbun</v>
      </c>
      <c r="E929" s="96"/>
    </row>
    <row r="930">
      <c r="A930" s="104">
        <v>928.0</v>
      </c>
      <c r="B930" s="105" t="s">
        <v>76</v>
      </c>
      <c r="C930" s="99"/>
      <c r="D930" s="100" t="str">
        <f t="shared" si="29"/>
        <v>smoliv</v>
      </c>
      <c r="E930" s="100"/>
    </row>
    <row r="931">
      <c r="A931" s="101">
        <v>929.0</v>
      </c>
      <c r="B931" s="94" t="s">
        <v>1055</v>
      </c>
      <c r="C931" s="103"/>
      <c r="D931" s="96" t="s">
        <v>1056</v>
      </c>
      <c r="E931" s="96"/>
    </row>
    <row r="932">
      <c r="A932" s="97">
        <v>930.0</v>
      </c>
      <c r="B932" s="105" t="s">
        <v>1057</v>
      </c>
      <c r="C932" s="99"/>
      <c r="D932" s="100" t="str">
        <f t="shared" ref="D932:D959" si="30">LOWER(B932)</f>
        <v>arboliva</v>
      </c>
      <c r="E932" s="100"/>
    </row>
    <row r="933">
      <c r="A933" s="93">
        <v>931.0</v>
      </c>
      <c r="B933" s="94" t="s">
        <v>79</v>
      </c>
      <c r="C933" s="103"/>
      <c r="D933" s="96" t="str">
        <f t="shared" si="30"/>
        <v>squawkabilly-green</v>
      </c>
      <c r="E933" s="96"/>
    </row>
    <row r="934">
      <c r="A934" s="97">
        <v>932.0</v>
      </c>
      <c r="B934" s="105" t="s">
        <v>60</v>
      </c>
      <c r="C934" s="99"/>
      <c r="D934" s="100" t="str">
        <f t="shared" si="30"/>
        <v>nacli</v>
      </c>
      <c r="E934" s="99"/>
    </row>
    <row r="935">
      <c r="A935" s="101">
        <v>933.0</v>
      </c>
      <c r="B935" s="94" t="s">
        <v>1058</v>
      </c>
      <c r="C935" s="103"/>
      <c r="D935" s="96" t="str">
        <f t="shared" si="30"/>
        <v>naclstack</v>
      </c>
      <c r="E935" s="96"/>
    </row>
    <row r="936">
      <c r="A936" s="104">
        <v>934.0</v>
      </c>
      <c r="B936" s="105" t="s">
        <v>1059</v>
      </c>
      <c r="C936" s="99"/>
      <c r="D936" s="100" t="str">
        <f t="shared" si="30"/>
        <v>garganacl</v>
      </c>
      <c r="E936" s="100"/>
    </row>
    <row r="937">
      <c r="A937" s="101">
        <v>935.0</v>
      </c>
      <c r="B937" s="94" t="s">
        <v>24</v>
      </c>
      <c r="C937" s="103"/>
      <c r="D937" s="96" t="str">
        <f t="shared" si="30"/>
        <v>charcadet</v>
      </c>
      <c r="E937" s="96"/>
    </row>
    <row r="938">
      <c r="A938" s="97">
        <v>936.0</v>
      </c>
      <c r="B938" s="105" t="s">
        <v>1060</v>
      </c>
      <c r="C938" s="99"/>
      <c r="D938" s="100" t="str">
        <f t="shared" si="30"/>
        <v>armarouge</v>
      </c>
      <c r="E938" s="100"/>
    </row>
    <row r="939">
      <c r="A939" s="93">
        <v>937.0</v>
      </c>
      <c r="B939" s="94" t="s">
        <v>1061</v>
      </c>
      <c r="C939" s="103"/>
      <c r="D939" s="96" t="str">
        <f t="shared" si="30"/>
        <v>ceruledge</v>
      </c>
      <c r="E939" s="96"/>
    </row>
    <row r="940">
      <c r="A940" s="97">
        <v>938.0</v>
      </c>
      <c r="B940" s="105" t="s">
        <v>80</v>
      </c>
      <c r="C940" s="99"/>
      <c r="D940" s="100" t="str">
        <f t="shared" si="30"/>
        <v>tadbulb</v>
      </c>
      <c r="E940" s="100"/>
    </row>
    <row r="941">
      <c r="A941" s="101">
        <v>939.0</v>
      </c>
      <c r="B941" s="94" t="s">
        <v>1062</v>
      </c>
      <c r="C941" s="103"/>
      <c r="D941" s="96" t="str">
        <f t="shared" si="30"/>
        <v>bellibolt</v>
      </c>
      <c r="E941" s="96"/>
    </row>
    <row r="942">
      <c r="A942" s="104">
        <v>940.0</v>
      </c>
      <c r="B942" s="105" t="s">
        <v>103</v>
      </c>
      <c r="C942" s="99"/>
      <c r="D942" s="100" t="str">
        <f t="shared" si="30"/>
        <v>wattrel</v>
      </c>
      <c r="E942" s="100"/>
    </row>
    <row r="943">
      <c r="A943" s="101">
        <v>941.0</v>
      </c>
      <c r="B943" s="94" t="s">
        <v>1063</v>
      </c>
      <c r="C943" s="103"/>
      <c r="D943" s="96" t="str">
        <f t="shared" si="30"/>
        <v>kilowattrel</v>
      </c>
      <c r="E943" s="96"/>
    </row>
    <row r="944">
      <c r="A944" s="97">
        <v>942.0</v>
      </c>
      <c r="B944" s="105" t="s">
        <v>58</v>
      </c>
      <c r="C944" s="99"/>
      <c r="D944" s="100" t="str">
        <f t="shared" si="30"/>
        <v>maschiff</v>
      </c>
      <c r="E944" s="100"/>
    </row>
    <row r="945">
      <c r="A945" s="93">
        <v>943.0</v>
      </c>
      <c r="B945" s="94" t="s">
        <v>1064</v>
      </c>
      <c r="C945" s="103"/>
      <c r="D945" s="96" t="str">
        <f t="shared" si="30"/>
        <v>mabosschiff</v>
      </c>
      <c r="E945" s="96"/>
    </row>
    <row r="946">
      <c r="A946" s="97">
        <v>944.0</v>
      </c>
      <c r="B946" s="105" t="s">
        <v>75</v>
      </c>
      <c r="C946" s="99"/>
      <c r="D946" s="100" t="str">
        <f t="shared" si="30"/>
        <v>shroodle</v>
      </c>
      <c r="E946" s="100"/>
    </row>
    <row r="947">
      <c r="A947" s="101">
        <v>945.0</v>
      </c>
      <c r="B947" s="94" t="s">
        <v>1065</v>
      </c>
      <c r="C947" s="103"/>
      <c r="D947" s="96" t="str">
        <f t="shared" si="30"/>
        <v>grafaiai</v>
      </c>
      <c r="E947" s="96"/>
    </row>
    <row r="948">
      <c r="A948" s="104">
        <v>946.0</v>
      </c>
      <c r="B948" s="105" t="s">
        <v>15</v>
      </c>
      <c r="C948" s="99"/>
      <c r="D948" s="100" t="str">
        <f t="shared" si="30"/>
        <v>bramblin</v>
      </c>
      <c r="E948" s="100"/>
    </row>
    <row r="949">
      <c r="A949" s="101">
        <v>947.0</v>
      </c>
      <c r="B949" s="94" t="s">
        <v>1066</v>
      </c>
      <c r="C949" s="103"/>
      <c r="D949" s="96" t="str">
        <f t="shared" si="30"/>
        <v>brambleghast</v>
      </c>
      <c r="E949" s="96"/>
    </row>
    <row r="950">
      <c r="A950" s="97">
        <v>948.0</v>
      </c>
      <c r="B950" s="105" t="s">
        <v>97</v>
      </c>
      <c r="C950" s="99"/>
      <c r="D950" s="100" t="str">
        <f t="shared" si="30"/>
        <v>toedscool</v>
      </c>
      <c r="E950" s="100"/>
    </row>
    <row r="951">
      <c r="A951" s="93">
        <v>949.0</v>
      </c>
      <c r="B951" s="94" t="s">
        <v>1067</v>
      </c>
      <c r="C951" s="103"/>
      <c r="D951" s="96" t="str">
        <f t="shared" si="30"/>
        <v>toedscruel</v>
      </c>
      <c r="E951" s="96"/>
    </row>
    <row r="952">
      <c r="A952" s="97">
        <v>950.0</v>
      </c>
      <c r="B952" s="105" t="s">
        <v>1068</v>
      </c>
      <c r="C952" s="99"/>
      <c r="D952" s="100" t="str">
        <f t="shared" si="30"/>
        <v>klawf</v>
      </c>
      <c r="E952" s="100"/>
    </row>
    <row r="953">
      <c r="A953" s="101">
        <v>951.0</v>
      </c>
      <c r="B953" s="94" t="s">
        <v>18</v>
      </c>
      <c r="C953" s="103"/>
      <c r="D953" s="96" t="str">
        <f t="shared" si="30"/>
        <v>capsakid</v>
      </c>
      <c r="E953" s="96"/>
    </row>
    <row r="954">
      <c r="A954" s="104">
        <v>952.0</v>
      </c>
      <c r="B954" s="105" t="s">
        <v>1069</v>
      </c>
      <c r="C954" s="99"/>
      <c r="D954" s="100" t="str">
        <f t="shared" si="30"/>
        <v>scovillain</v>
      </c>
      <c r="E954" s="100"/>
    </row>
    <row r="955">
      <c r="A955" s="101">
        <v>953.0</v>
      </c>
      <c r="B955" s="94" t="s">
        <v>72</v>
      </c>
      <c r="C955" s="103"/>
      <c r="D955" s="96" t="str">
        <f t="shared" si="30"/>
        <v>rellor</v>
      </c>
      <c r="E955" s="96"/>
    </row>
    <row r="956">
      <c r="A956" s="97">
        <v>954.0</v>
      </c>
      <c r="B956" s="105" t="s">
        <v>1070</v>
      </c>
      <c r="C956" s="99"/>
      <c r="D956" s="100" t="str">
        <f t="shared" si="30"/>
        <v>rabsca</v>
      </c>
      <c r="E956" s="100"/>
    </row>
    <row r="957">
      <c r="A957" s="93">
        <v>955.0</v>
      </c>
      <c r="B957" s="94" t="s">
        <v>42</v>
      </c>
      <c r="C957" s="103"/>
      <c r="D957" s="96" t="str">
        <f t="shared" si="30"/>
        <v>flittle</v>
      </c>
      <c r="E957" s="96"/>
    </row>
    <row r="958">
      <c r="A958" s="97">
        <v>956.0</v>
      </c>
      <c r="B958" s="105" t="s">
        <v>1071</v>
      </c>
      <c r="C958" s="99"/>
      <c r="D958" s="100" t="str">
        <f t="shared" si="30"/>
        <v>espathra</v>
      </c>
      <c r="E958" s="100"/>
    </row>
    <row r="959">
      <c r="A959" s="101">
        <v>957.0</v>
      </c>
      <c r="B959" s="94" t="s">
        <v>95</v>
      </c>
      <c r="C959" s="103"/>
      <c r="D959" s="96" t="str">
        <f t="shared" si="30"/>
        <v>tinkatink</v>
      </c>
      <c r="E959" s="96"/>
    </row>
    <row r="960">
      <c r="A960" s="104">
        <v>958.0</v>
      </c>
      <c r="B960" s="105" t="s">
        <v>1072</v>
      </c>
      <c r="C960" s="99"/>
      <c r="D960" s="100" t="s">
        <v>1073</v>
      </c>
      <c r="E960" s="100"/>
    </row>
    <row r="961">
      <c r="A961" s="101">
        <v>959.0</v>
      </c>
      <c r="B961" s="94" t="s">
        <v>1074</v>
      </c>
      <c r="C961" s="103"/>
      <c r="D961" s="96" t="str">
        <f t="shared" ref="D961:D988" si="31">LOWER(B961)</f>
        <v>tinkaton</v>
      </c>
      <c r="E961" s="96"/>
    </row>
    <row r="962">
      <c r="A962" s="97">
        <v>960.0</v>
      </c>
      <c r="B962" s="105" t="s">
        <v>105</v>
      </c>
      <c r="C962" s="99"/>
      <c r="D962" s="100" t="str">
        <f t="shared" si="31"/>
        <v>wiglett</v>
      </c>
      <c r="E962" s="99"/>
    </row>
    <row r="963">
      <c r="A963" s="93">
        <v>961.0</v>
      </c>
      <c r="B963" s="94" t="s">
        <v>1075</v>
      </c>
      <c r="C963" s="103"/>
      <c r="D963" s="96" t="str">
        <f t="shared" si="31"/>
        <v>wugtrio</v>
      </c>
      <c r="E963" s="103"/>
    </row>
    <row r="964">
      <c r="A964" s="97">
        <v>962.0</v>
      </c>
      <c r="B964" s="105" t="s">
        <v>11</v>
      </c>
      <c r="C964" s="99"/>
      <c r="D964" s="100" t="str">
        <f t="shared" si="31"/>
        <v>bombirdier</v>
      </c>
      <c r="E964" s="99"/>
    </row>
    <row r="965">
      <c r="A965" s="101">
        <v>963.0</v>
      </c>
      <c r="B965" s="94" t="s">
        <v>36</v>
      </c>
      <c r="C965" s="103"/>
      <c r="D965" s="96" t="str">
        <f t="shared" si="31"/>
        <v>finizen</v>
      </c>
      <c r="E965" s="103"/>
    </row>
    <row r="966">
      <c r="A966" s="104">
        <v>964.0</v>
      </c>
      <c r="B966" s="105" t="s">
        <v>1076</v>
      </c>
      <c r="C966" s="99"/>
      <c r="D966" s="100" t="str">
        <f t="shared" si="31"/>
        <v>palafin</v>
      </c>
      <c r="E966" s="99"/>
    </row>
    <row r="967">
      <c r="A967" s="101">
        <v>965.0</v>
      </c>
      <c r="B967" s="94" t="s">
        <v>99</v>
      </c>
      <c r="C967" s="103"/>
      <c r="D967" s="96" t="str">
        <f t="shared" si="31"/>
        <v>varoom</v>
      </c>
      <c r="E967" s="103"/>
    </row>
    <row r="968">
      <c r="A968" s="97">
        <v>966.0</v>
      </c>
      <c r="B968" s="105" t="s">
        <v>1077</v>
      </c>
      <c r="C968" s="99"/>
      <c r="D968" s="100" t="str">
        <f t="shared" si="31"/>
        <v>revavroom</v>
      </c>
      <c r="E968" s="99"/>
    </row>
    <row r="969">
      <c r="A969" s="93">
        <v>967.0</v>
      </c>
      <c r="B969" s="94" t="s">
        <v>27</v>
      </c>
      <c r="C969" s="103"/>
      <c r="D969" s="96" t="str">
        <f t="shared" si="31"/>
        <v>cyclizar</v>
      </c>
      <c r="E969" s="103"/>
    </row>
    <row r="970">
      <c r="A970" s="97">
        <v>968.0</v>
      </c>
      <c r="B970" s="105" t="s">
        <v>63</v>
      </c>
      <c r="C970" s="99"/>
      <c r="D970" s="100" t="str">
        <f t="shared" si="31"/>
        <v>orthworm</v>
      </c>
      <c r="E970" s="99"/>
    </row>
    <row r="971">
      <c r="A971" s="101">
        <v>969.0</v>
      </c>
      <c r="B971" s="94" t="s">
        <v>53</v>
      </c>
      <c r="C971" s="103"/>
      <c r="D971" s="96" t="str">
        <f t="shared" si="31"/>
        <v>glimmet</v>
      </c>
      <c r="E971" s="103"/>
    </row>
    <row r="972">
      <c r="A972" s="104">
        <v>970.0</v>
      </c>
      <c r="B972" s="105" t="s">
        <v>1078</v>
      </c>
      <c r="C972" s="99"/>
      <c r="D972" s="100" t="str">
        <f t="shared" si="31"/>
        <v>glimmora</v>
      </c>
      <c r="E972" s="99"/>
    </row>
    <row r="973">
      <c r="A973" s="101">
        <v>971.0</v>
      </c>
      <c r="B973" s="94" t="s">
        <v>55</v>
      </c>
      <c r="C973" s="103"/>
      <c r="D973" s="96" t="str">
        <f t="shared" si="31"/>
        <v>greavard</v>
      </c>
      <c r="E973" s="103"/>
    </row>
    <row r="974">
      <c r="A974" s="97">
        <v>972.0</v>
      </c>
      <c r="B974" s="105" t="s">
        <v>1079</v>
      </c>
      <c r="C974" s="99"/>
      <c r="D974" s="100" t="str">
        <f t="shared" si="31"/>
        <v>houndstone</v>
      </c>
      <c r="E974" s="99"/>
    </row>
    <row r="975">
      <c r="A975" s="93">
        <v>973.0</v>
      </c>
      <c r="B975" s="94" t="s">
        <v>39</v>
      </c>
      <c r="C975" s="103"/>
      <c r="D975" s="96" t="str">
        <f t="shared" si="31"/>
        <v>flamigo</v>
      </c>
      <c r="E975" s="103"/>
    </row>
    <row r="976">
      <c r="A976" s="97">
        <v>974.0</v>
      </c>
      <c r="B976" s="105" t="s">
        <v>21</v>
      </c>
      <c r="C976" s="99"/>
      <c r="D976" s="100" t="str">
        <f t="shared" si="31"/>
        <v>cetoddle</v>
      </c>
      <c r="E976" s="99"/>
    </row>
    <row r="977">
      <c r="A977" s="101">
        <v>975.0</v>
      </c>
      <c r="B977" s="94" t="s">
        <v>1080</v>
      </c>
      <c r="C977" s="103"/>
      <c r="D977" s="96" t="str">
        <f t="shared" si="31"/>
        <v>cetitan</v>
      </c>
      <c r="E977" s="103"/>
    </row>
    <row r="978">
      <c r="A978" s="104">
        <v>976.0</v>
      </c>
      <c r="B978" s="105" t="s">
        <v>100</v>
      </c>
      <c r="C978" s="99"/>
      <c r="D978" s="100" t="str">
        <f t="shared" si="31"/>
        <v>veluza</v>
      </c>
      <c r="E978" s="99"/>
    </row>
    <row r="979">
      <c r="A979" s="101">
        <v>977.0</v>
      </c>
      <c r="B979" s="94" t="s">
        <v>30</v>
      </c>
      <c r="C979" s="103"/>
      <c r="D979" s="96" t="str">
        <f t="shared" si="31"/>
        <v>dondozo</v>
      </c>
      <c r="E979" s="96"/>
    </row>
    <row r="980">
      <c r="A980" s="97">
        <v>978.0</v>
      </c>
      <c r="B980" s="105" t="s">
        <v>87</v>
      </c>
      <c r="C980" s="99"/>
      <c r="D980" s="100" t="str">
        <f t="shared" si="31"/>
        <v>tatsugiri-red</v>
      </c>
      <c r="E980" s="99"/>
    </row>
    <row r="981">
      <c r="A981" s="93">
        <v>979.0</v>
      </c>
      <c r="B981" s="94" t="s">
        <v>1081</v>
      </c>
      <c r="C981" s="103"/>
      <c r="D981" s="96" t="str">
        <f t="shared" si="31"/>
        <v>annihilape</v>
      </c>
      <c r="E981" s="96"/>
    </row>
    <row r="982">
      <c r="A982" s="97">
        <v>980.0</v>
      </c>
      <c r="B982" s="105" t="s">
        <v>1082</v>
      </c>
      <c r="C982" s="99"/>
      <c r="D982" s="100" t="str">
        <f t="shared" si="31"/>
        <v>clodsire</v>
      </c>
      <c r="E982" s="100"/>
    </row>
    <row r="983">
      <c r="A983" s="101">
        <v>981.0</v>
      </c>
      <c r="B983" s="94" t="s">
        <v>1083</v>
      </c>
      <c r="C983" s="103"/>
      <c r="D983" s="96" t="str">
        <f t="shared" si="31"/>
        <v>farigiraf</v>
      </c>
      <c r="E983" s="96"/>
    </row>
    <row r="984">
      <c r="A984" s="104">
        <v>982.0</v>
      </c>
      <c r="B984" s="105" t="s">
        <v>1084</v>
      </c>
      <c r="C984" s="99"/>
      <c r="D984" s="100" t="str">
        <f t="shared" si="31"/>
        <v>dudunsparce</v>
      </c>
      <c r="E984" s="100"/>
    </row>
    <row r="985">
      <c r="A985" s="101">
        <v>983.0</v>
      </c>
      <c r="B985" s="94" t="s">
        <v>1085</v>
      </c>
      <c r="C985" s="103"/>
      <c r="D985" s="96" t="str">
        <f t="shared" si="31"/>
        <v>kingambit</v>
      </c>
      <c r="E985" s="96"/>
    </row>
    <row r="986">
      <c r="A986" s="97">
        <v>984.0</v>
      </c>
      <c r="B986" s="105" t="s">
        <v>1086</v>
      </c>
      <c r="C986" s="99"/>
      <c r="D986" s="100" t="str">
        <f t="shared" si="31"/>
        <v>great tusk</v>
      </c>
      <c r="E986" s="100"/>
    </row>
    <row r="987">
      <c r="A987" s="93">
        <v>985.0</v>
      </c>
      <c r="B987" s="94" t="s">
        <v>1087</v>
      </c>
      <c r="C987" s="103"/>
      <c r="D987" s="96" t="str">
        <f t="shared" si="31"/>
        <v>scream tail</v>
      </c>
      <c r="E987" s="96"/>
    </row>
    <row r="988">
      <c r="A988" s="97">
        <v>986.0</v>
      </c>
      <c r="B988" s="105" t="s">
        <v>1088</v>
      </c>
      <c r="C988" s="99"/>
      <c r="D988" s="100" t="str">
        <f t="shared" si="31"/>
        <v>brute bonnet</v>
      </c>
      <c r="E988" s="100"/>
    </row>
    <row r="989">
      <c r="A989" s="101">
        <v>987.0</v>
      </c>
      <c r="B989" s="94" t="s">
        <v>1089</v>
      </c>
      <c r="C989" s="103"/>
      <c r="D989" s="96" t="s">
        <v>1090</v>
      </c>
      <c r="E989" s="96"/>
    </row>
    <row r="990">
      <c r="A990" s="104">
        <v>988.0</v>
      </c>
      <c r="B990" s="105" t="s">
        <v>1091</v>
      </c>
      <c r="C990" s="99"/>
      <c r="D990" s="100" t="s">
        <v>1092</v>
      </c>
      <c r="E990" s="100"/>
    </row>
    <row r="991">
      <c r="A991" s="101">
        <v>989.0</v>
      </c>
      <c r="B991" s="94" t="s">
        <v>1093</v>
      </c>
      <c r="C991" s="103"/>
      <c r="D991" s="96" t="s">
        <v>1094</v>
      </c>
      <c r="E991" s="96"/>
    </row>
    <row r="992">
      <c r="A992" s="97">
        <v>990.0</v>
      </c>
      <c r="B992" s="105" t="s">
        <v>1095</v>
      </c>
      <c r="C992" s="99"/>
      <c r="D992" s="100" t="s">
        <v>1096</v>
      </c>
      <c r="E992" s="100"/>
    </row>
    <row r="993">
      <c r="A993" s="93">
        <v>991.0</v>
      </c>
      <c r="B993" s="94" t="s">
        <v>1097</v>
      </c>
      <c r="C993" s="103"/>
      <c r="D993" s="96" t="s">
        <v>1098</v>
      </c>
      <c r="E993" s="96"/>
    </row>
    <row r="994">
      <c r="A994" s="97">
        <v>992.0</v>
      </c>
      <c r="B994" s="105" t="s">
        <v>1099</v>
      </c>
      <c r="C994" s="99"/>
      <c r="D994" s="100" t="s">
        <v>1100</v>
      </c>
      <c r="E994" s="100"/>
    </row>
    <row r="995">
      <c r="A995" s="101">
        <v>993.0</v>
      </c>
      <c r="B995" s="94" t="s">
        <v>1101</v>
      </c>
      <c r="C995" s="103"/>
      <c r="D995" s="96" t="s">
        <v>1102</v>
      </c>
      <c r="E995" s="96"/>
    </row>
    <row r="996">
      <c r="A996" s="104">
        <v>994.0</v>
      </c>
      <c r="B996" s="105" t="s">
        <v>1103</v>
      </c>
      <c r="C996" s="99"/>
      <c r="D996" s="100" t="str">
        <f t="shared" ref="D996:D1007" si="32">LOWER(B996)</f>
        <v>iron moth</v>
      </c>
      <c r="E996" s="100"/>
    </row>
    <row r="997">
      <c r="A997" s="101">
        <v>995.0</v>
      </c>
      <c r="B997" s="94" t="s">
        <v>1104</v>
      </c>
      <c r="C997" s="103"/>
      <c r="D997" s="96" t="str">
        <f t="shared" si="32"/>
        <v>iron thorns</v>
      </c>
      <c r="E997" s="96"/>
    </row>
    <row r="998">
      <c r="A998" s="97">
        <v>996.0</v>
      </c>
      <c r="B998" s="105" t="s">
        <v>45</v>
      </c>
      <c r="C998" s="99"/>
      <c r="D998" s="100" t="str">
        <f t="shared" si="32"/>
        <v>frigibax</v>
      </c>
      <c r="E998" s="100"/>
    </row>
    <row r="999">
      <c r="A999" s="93">
        <v>997.0</v>
      </c>
      <c r="B999" s="94" t="s">
        <v>1105</v>
      </c>
      <c r="C999" s="103"/>
      <c r="D999" s="96" t="str">
        <f t="shared" si="32"/>
        <v>arctibax</v>
      </c>
      <c r="E999" s="96"/>
    </row>
    <row r="1000">
      <c r="A1000" s="97">
        <v>998.0</v>
      </c>
      <c r="B1000" s="105" t="s">
        <v>1106</v>
      </c>
      <c r="C1000" s="99"/>
      <c r="D1000" s="100" t="str">
        <f t="shared" si="32"/>
        <v>baxcalibur</v>
      </c>
      <c r="E1000" s="100"/>
    </row>
    <row r="1001">
      <c r="A1001" s="101">
        <v>999.0</v>
      </c>
      <c r="B1001" s="94" t="s">
        <v>51</v>
      </c>
      <c r="C1001" s="103"/>
      <c r="D1001" s="96" t="str">
        <f t="shared" si="32"/>
        <v>gimmighoul</v>
      </c>
      <c r="E1001" s="96"/>
    </row>
    <row r="1002">
      <c r="A1002" s="104">
        <v>1000.0</v>
      </c>
      <c r="B1002" s="105" t="s">
        <v>1107</v>
      </c>
      <c r="C1002" s="99"/>
      <c r="D1002" s="100" t="str">
        <f t="shared" si="32"/>
        <v>gholdengo</v>
      </c>
      <c r="E1002" s="100"/>
    </row>
    <row r="1003">
      <c r="A1003" s="101">
        <v>1001.0</v>
      </c>
      <c r="B1003" s="94" t="s">
        <v>1108</v>
      </c>
      <c r="C1003" s="103"/>
      <c r="D1003" s="96" t="str">
        <f t="shared" si="32"/>
        <v>wo-chien</v>
      </c>
      <c r="E1003" s="96"/>
    </row>
    <row r="1004">
      <c r="A1004" s="97">
        <v>1002.0</v>
      </c>
      <c r="B1004" s="105" t="s">
        <v>1109</v>
      </c>
      <c r="C1004" s="99"/>
      <c r="D1004" s="100" t="str">
        <f t="shared" si="32"/>
        <v>chien-pao</v>
      </c>
      <c r="E1004" s="100"/>
    </row>
    <row r="1005">
      <c r="A1005" s="93">
        <v>1003.0</v>
      </c>
      <c r="B1005" s="94" t="s">
        <v>1110</v>
      </c>
      <c r="C1005" s="103"/>
      <c r="D1005" s="96" t="str">
        <f t="shared" si="32"/>
        <v>ting-lu</v>
      </c>
      <c r="E1005" s="96"/>
    </row>
    <row r="1006">
      <c r="A1006" s="97">
        <v>1004.0</v>
      </c>
      <c r="B1006" s="105" t="s">
        <v>1111</v>
      </c>
      <c r="C1006" s="99"/>
      <c r="D1006" s="100" t="str">
        <f t="shared" si="32"/>
        <v>chi-yu</v>
      </c>
      <c r="E1006" s="100"/>
    </row>
    <row r="1007">
      <c r="A1007" s="101">
        <v>1005.0</v>
      </c>
      <c r="B1007" s="94" t="s">
        <v>1112</v>
      </c>
      <c r="C1007" s="103"/>
      <c r="D1007" s="96" t="str">
        <f t="shared" si="32"/>
        <v>roaring moon</v>
      </c>
      <c r="E1007" s="96"/>
    </row>
    <row r="1008">
      <c r="A1008" s="104">
        <v>1006.0</v>
      </c>
      <c r="B1008" s="105" t="s">
        <v>1113</v>
      </c>
      <c r="C1008" s="99"/>
      <c r="D1008" s="100" t="s">
        <v>1114</v>
      </c>
      <c r="E1008" s="100"/>
    </row>
    <row r="1009">
      <c r="A1009" s="101">
        <v>1007.0</v>
      </c>
      <c r="B1009" s="94" t="s">
        <v>1115</v>
      </c>
      <c r="C1009" s="103"/>
      <c r="D1009" s="96" t="s">
        <v>1116</v>
      </c>
      <c r="E1009" s="96"/>
    </row>
    <row r="1010">
      <c r="A1010" s="97">
        <v>1008.0</v>
      </c>
      <c r="B1010" s="105" t="s">
        <v>1117</v>
      </c>
      <c r="C1010" s="99"/>
      <c r="D1010" s="100" t="str">
        <f t="shared" ref="D1010:D1042" si="33">LOWER(B1010)</f>
        <v>miraidon</v>
      </c>
      <c r="E1010" s="100"/>
    </row>
    <row r="1011">
      <c r="A1011" s="93">
        <v>1009.0</v>
      </c>
      <c r="B1011" s="94" t="s">
        <v>1118</v>
      </c>
      <c r="C1011" s="103"/>
      <c r="D1011" s="96" t="str">
        <f t="shared" si="33"/>
        <v>walking wake</v>
      </c>
      <c r="E1011" s="96"/>
    </row>
    <row r="1012">
      <c r="A1012" s="97">
        <v>1010.0</v>
      </c>
      <c r="B1012" s="105" t="s">
        <v>1119</v>
      </c>
      <c r="C1012" s="99"/>
      <c r="D1012" s="100" t="str">
        <f t="shared" si="33"/>
        <v>iron leaves</v>
      </c>
      <c r="E1012" s="99"/>
    </row>
    <row r="1013">
      <c r="A1013" s="101">
        <v>1011.0</v>
      </c>
      <c r="B1013" s="94" t="s">
        <v>1120</v>
      </c>
      <c r="C1013" s="103"/>
      <c r="D1013" s="96" t="str">
        <f t="shared" si="33"/>
        <v>dipplin</v>
      </c>
      <c r="E1013" s="96"/>
    </row>
    <row r="1014">
      <c r="A1014" s="104">
        <v>1012.0</v>
      </c>
      <c r="B1014" s="105" t="s">
        <v>68</v>
      </c>
      <c r="C1014" s="99"/>
      <c r="D1014" s="100" t="str">
        <f t="shared" si="33"/>
        <v>poltchageist</v>
      </c>
      <c r="E1014" s="100"/>
    </row>
    <row r="1015">
      <c r="A1015" s="101">
        <v>1013.0</v>
      </c>
      <c r="B1015" s="94" t="s">
        <v>1121</v>
      </c>
      <c r="C1015" s="103"/>
      <c r="D1015" s="96" t="str">
        <f t="shared" si="33"/>
        <v>sinistcha</v>
      </c>
      <c r="E1015" s="96"/>
    </row>
    <row r="1016">
      <c r="A1016" s="97">
        <v>1014.0</v>
      </c>
      <c r="B1016" s="105" t="s">
        <v>1122</v>
      </c>
      <c r="C1016" s="99"/>
      <c r="D1016" s="100" t="str">
        <f t="shared" si="33"/>
        <v>okidogi</v>
      </c>
      <c r="E1016" s="100"/>
    </row>
    <row r="1017">
      <c r="A1017" s="93">
        <v>1015.0</v>
      </c>
      <c r="B1017" s="94" t="s">
        <v>1123</v>
      </c>
      <c r="C1017" s="103"/>
      <c r="D1017" s="96" t="str">
        <f t="shared" si="33"/>
        <v>munkidori</v>
      </c>
      <c r="E1017" s="96"/>
    </row>
    <row r="1018">
      <c r="A1018" s="97">
        <v>1016.0</v>
      </c>
      <c r="B1018" s="105" t="s">
        <v>1124</v>
      </c>
      <c r="C1018" s="99"/>
      <c r="D1018" s="100" t="str">
        <f t="shared" si="33"/>
        <v>fezandipiti</v>
      </c>
      <c r="E1018" s="100"/>
    </row>
    <row r="1019">
      <c r="A1019" s="101">
        <v>1017.0</v>
      </c>
      <c r="B1019" s="94" t="s">
        <v>1125</v>
      </c>
      <c r="C1019" s="103"/>
      <c r="D1019" s="96" t="str">
        <f t="shared" si="33"/>
        <v>ogerpon</v>
      </c>
      <c r="E1019" s="96"/>
    </row>
    <row r="1020">
      <c r="A1020" s="104">
        <v>1018.0</v>
      </c>
      <c r="B1020" s="105" t="s">
        <v>1126</v>
      </c>
      <c r="C1020" s="99"/>
      <c r="D1020" s="100" t="str">
        <f t="shared" si="33"/>
        <v>archaludon</v>
      </c>
      <c r="E1020" s="100"/>
    </row>
    <row r="1021">
      <c r="A1021" s="101">
        <v>1019.0</v>
      </c>
      <c r="B1021" s="94" t="s">
        <v>1127</v>
      </c>
      <c r="C1021" s="103"/>
      <c r="D1021" s="96" t="str">
        <f t="shared" si="33"/>
        <v>hydrapple</v>
      </c>
      <c r="E1021" s="103"/>
    </row>
    <row r="1022">
      <c r="A1022" s="97">
        <v>1020.0</v>
      </c>
      <c r="B1022" s="105" t="s">
        <v>1128</v>
      </c>
      <c r="C1022" s="99"/>
      <c r="D1022" s="100" t="str">
        <f t="shared" si="33"/>
        <v>gouging fire</v>
      </c>
      <c r="E1022" s="100"/>
    </row>
    <row r="1023">
      <c r="A1023" s="93">
        <v>1021.0</v>
      </c>
      <c r="B1023" s="94" t="s">
        <v>1129</v>
      </c>
      <c r="C1023" s="103"/>
      <c r="D1023" s="96" t="str">
        <f t="shared" si="33"/>
        <v>raging bolt</v>
      </c>
      <c r="E1023" s="96"/>
    </row>
    <row r="1024">
      <c r="A1024" s="97">
        <v>1022.0</v>
      </c>
      <c r="B1024" s="105" t="s">
        <v>1130</v>
      </c>
      <c r="C1024" s="99"/>
      <c r="D1024" s="100" t="str">
        <f t="shared" si="33"/>
        <v>iron boulder</v>
      </c>
      <c r="E1024" s="100"/>
    </row>
    <row r="1025">
      <c r="A1025" s="101">
        <v>1023.0</v>
      </c>
      <c r="B1025" s="94" t="s">
        <v>1131</v>
      </c>
      <c r="C1025" s="103"/>
      <c r="D1025" s="96" t="str">
        <f t="shared" si="33"/>
        <v>iron crown</v>
      </c>
      <c r="E1025" s="103"/>
    </row>
    <row r="1026">
      <c r="A1026" s="104">
        <v>1024.0</v>
      </c>
      <c r="B1026" s="105" t="s">
        <v>1132</v>
      </c>
      <c r="C1026" s="99"/>
      <c r="D1026" s="100" t="str">
        <f t="shared" si="33"/>
        <v>terapagos</v>
      </c>
      <c r="E1026" s="100"/>
    </row>
    <row r="1027">
      <c r="A1027" s="101">
        <v>1025.0</v>
      </c>
      <c r="B1027" s="94" t="s">
        <v>1133</v>
      </c>
      <c r="C1027" s="103"/>
      <c r="D1027" s="96" t="str">
        <f t="shared" si="33"/>
        <v>pecharunt</v>
      </c>
      <c r="E1027" s="96"/>
    </row>
    <row r="1028">
      <c r="A1028" s="97" t="s">
        <v>1134</v>
      </c>
      <c r="B1028" s="105" t="s">
        <v>1135</v>
      </c>
      <c r="C1028" s="99" t="str">
        <f t="array" ref="C1028:C1080">IMAGE("https://www.centropkmn.com/pokes/gen9-sprites/"&amp;LOWER($A1028:$A1080)&amp;".png",1)</f>
        <v/>
      </c>
      <c r="D1028" s="100" t="str">
        <f t="shared" si="33"/>
        <v>rattata-alola</v>
      </c>
      <c r="E1028" s="100"/>
    </row>
    <row r="1029">
      <c r="A1029" s="101" t="s">
        <v>1136</v>
      </c>
      <c r="B1029" s="94" t="s">
        <v>1137</v>
      </c>
      <c r="C1029" s="103"/>
      <c r="D1029" s="96" t="str">
        <f t="shared" si="33"/>
        <v>raticate-alola</v>
      </c>
      <c r="E1029" s="103"/>
    </row>
    <row r="1030">
      <c r="A1030" s="97" t="s">
        <v>1138</v>
      </c>
      <c r="B1030" s="105" t="s">
        <v>1139</v>
      </c>
      <c r="C1030" s="99"/>
      <c r="D1030" s="100" t="str">
        <f t="shared" si="33"/>
        <v>raichu-alola</v>
      </c>
      <c r="E1030" s="100"/>
    </row>
    <row r="1031">
      <c r="A1031" s="101" t="s">
        <v>1140</v>
      </c>
      <c r="B1031" s="94" t="s">
        <v>1141</v>
      </c>
      <c r="C1031" s="103"/>
      <c r="D1031" s="96" t="str">
        <f t="shared" si="33"/>
        <v>sandshrew-alola</v>
      </c>
      <c r="E1031" s="96"/>
    </row>
    <row r="1032">
      <c r="A1032" s="97" t="s">
        <v>1142</v>
      </c>
      <c r="B1032" s="105" t="s">
        <v>1143</v>
      </c>
      <c r="C1032" s="99"/>
      <c r="D1032" s="100" t="str">
        <f t="shared" si="33"/>
        <v>sandslash-alola</v>
      </c>
      <c r="E1032" s="100"/>
    </row>
    <row r="1033">
      <c r="A1033" s="101" t="s">
        <v>1144</v>
      </c>
      <c r="B1033" s="94" t="s">
        <v>321</v>
      </c>
      <c r="C1033" s="103"/>
      <c r="D1033" s="96" t="str">
        <f t="shared" si="33"/>
        <v>vulpix-alola</v>
      </c>
      <c r="E1033" s="103"/>
    </row>
    <row r="1034">
      <c r="A1034" s="97" t="s">
        <v>1145</v>
      </c>
      <c r="B1034" s="105" t="s">
        <v>1146</v>
      </c>
      <c r="C1034" s="99"/>
      <c r="D1034" s="100" t="str">
        <f t="shared" si="33"/>
        <v>ninetales-alola</v>
      </c>
      <c r="E1034" s="100"/>
    </row>
    <row r="1035">
      <c r="A1035" s="101" t="s">
        <v>1147</v>
      </c>
      <c r="B1035" s="94" t="s">
        <v>1148</v>
      </c>
      <c r="C1035" s="103"/>
      <c r="D1035" s="96" t="str">
        <f t="shared" si="33"/>
        <v>diglett-alola</v>
      </c>
      <c r="E1035" s="96"/>
    </row>
    <row r="1036">
      <c r="A1036" s="97" t="s">
        <v>1149</v>
      </c>
      <c r="B1036" s="105" t="s">
        <v>1150</v>
      </c>
      <c r="C1036" s="99"/>
      <c r="D1036" s="100" t="str">
        <f t="shared" si="33"/>
        <v>dugtrio-alola</v>
      </c>
      <c r="E1036" s="100"/>
    </row>
    <row r="1037">
      <c r="A1037" s="101" t="s">
        <v>1151</v>
      </c>
      <c r="B1037" s="94" t="s">
        <v>198</v>
      </c>
      <c r="C1037" s="103"/>
      <c r="D1037" s="96" t="str">
        <f t="shared" si="33"/>
        <v>meowth-alola</v>
      </c>
      <c r="E1037" s="96"/>
    </row>
    <row r="1038">
      <c r="A1038" s="97" t="s">
        <v>1152</v>
      </c>
      <c r="B1038" s="105" t="s">
        <v>1153</v>
      </c>
      <c r="C1038" s="99"/>
      <c r="D1038" s="100" t="str">
        <f t="shared" si="33"/>
        <v>persian-alola</v>
      </c>
      <c r="E1038" s="100"/>
    </row>
    <row r="1039">
      <c r="A1039" s="101" t="s">
        <v>1154</v>
      </c>
      <c r="B1039" s="94" t="s">
        <v>1155</v>
      </c>
      <c r="C1039" s="103"/>
      <c r="D1039" s="96" t="str">
        <f t="shared" si="33"/>
        <v>geodude-alola</v>
      </c>
      <c r="E1039" s="103"/>
    </row>
    <row r="1040">
      <c r="A1040" s="97" t="s">
        <v>1156</v>
      </c>
      <c r="B1040" s="105" t="s">
        <v>1157</v>
      </c>
      <c r="C1040" s="99"/>
      <c r="D1040" s="100" t="str">
        <f t="shared" si="33"/>
        <v>graveler-alola</v>
      </c>
      <c r="E1040" s="100"/>
    </row>
    <row r="1041">
      <c r="A1041" s="101" t="s">
        <v>1158</v>
      </c>
      <c r="B1041" s="94" t="s">
        <v>1159</v>
      </c>
      <c r="C1041" s="103"/>
      <c r="D1041" s="96" t="str">
        <f t="shared" si="33"/>
        <v>golem-alola</v>
      </c>
      <c r="E1041" s="96"/>
    </row>
    <row r="1042">
      <c r="A1042" s="97" t="s">
        <v>1160</v>
      </c>
      <c r="B1042" s="105" t="s">
        <v>163</v>
      </c>
      <c r="C1042" s="99"/>
      <c r="D1042" s="100" t="str">
        <f t="shared" si="33"/>
        <v>grimer-alola</v>
      </c>
      <c r="E1042" s="100"/>
    </row>
    <row r="1043">
      <c r="A1043" s="101" t="s">
        <v>1161</v>
      </c>
      <c r="B1043" s="94" t="s">
        <v>1162</v>
      </c>
      <c r="C1043" s="103"/>
      <c r="D1043" s="96" t="s">
        <v>1163</v>
      </c>
      <c r="E1043" s="96"/>
    </row>
    <row r="1044">
      <c r="A1044" s="97" t="s">
        <v>1164</v>
      </c>
      <c r="B1044" s="107" t="s">
        <v>1165</v>
      </c>
      <c r="C1044" s="99"/>
      <c r="D1044" s="100" t="str">
        <f t="shared" ref="D1044:D1051" si="34">LOWER(B1044)</f>
        <v>exeggutor-alola</v>
      </c>
      <c r="E1044" s="100"/>
    </row>
    <row r="1045">
      <c r="A1045" s="101" t="s">
        <v>1166</v>
      </c>
      <c r="B1045" s="94" t="s">
        <v>1167</v>
      </c>
      <c r="C1045" s="103"/>
      <c r="D1045" s="96" t="str">
        <f t="shared" si="34"/>
        <v>marowak-alola</v>
      </c>
      <c r="E1045" s="96"/>
    </row>
    <row r="1046">
      <c r="A1046" s="97" t="s">
        <v>1168</v>
      </c>
      <c r="B1046" s="105" t="s">
        <v>200</v>
      </c>
      <c r="C1046" s="99"/>
      <c r="D1046" s="100" t="str">
        <f t="shared" si="34"/>
        <v>meowth-galar</v>
      </c>
      <c r="E1046" s="100"/>
    </row>
    <row r="1047">
      <c r="A1047" s="101" t="s">
        <v>1169</v>
      </c>
      <c r="B1047" s="94" t="s">
        <v>1170</v>
      </c>
      <c r="C1047" s="103"/>
      <c r="D1047" s="96" t="str">
        <f t="shared" si="34"/>
        <v>ponyta-galar</v>
      </c>
      <c r="E1047" s="96"/>
    </row>
    <row r="1048">
      <c r="A1048" s="97" t="s">
        <v>1171</v>
      </c>
      <c r="B1048" s="105" t="s">
        <v>1172</v>
      </c>
      <c r="C1048" s="99"/>
      <c r="D1048" s="100" t="str">
        <f t="shared" si="34"/>
        <v>rapidash-galar</v>
      </c>
      <c r="E1048" s="100"/>
    </row>
    <row r="1049">
      <c r="A1049" s="101" t="s">
        <v>1173</v>
      </c>
      <c r="B1049" s="94" t="s">
        <v>272</v>
      </c>
      <c r="C1049" s="103"/>
      <c r="D1049" s="96" t="str">
        <f t="shared" si="34"/>
        <v>slowpoke-galar</v>
      </c>
      <c r="E1049" s="96"/>
    </row>
    <row r="1050">
      <c r="A1050" s="97" t="s">
        <v>1174</v>
      </c>
      <c r="B1050" s="105" t="s">
        <v>1175</v>
      </c>
      <c r="C1050" s="99"/>
      <c r="D1050" s="100" t="str">
        <f t="shared" si="34"/>
        <v>slowbro-galar</v>
      </c>
      <c r="E1050" s="100"/>
    </row>
    <row r="1051">
      <c r="A1051" s="101" t="s">
        <v>1176</v>
      </c>
      <c r="B1051" s="94" t="s">
        <v>141</v>
      </c>
      <c r="C1051" s="103"/>
      <c r="D1051" s="96" t="str">
        <f t="shared" si="34"/>
        <v>farfetch'd-galar</v>
      </c>
      <c r="E1051" s="96"/>
    </row>
    <row r="1052">
      <c r="A1052" s="97" t="s">
        <v>1177</v>
      </c>
      <c r="B1052" s="105" t="s">
        <v>1178</v>
      </c>
      <c r="C1052" s="99"/>
      <c r="D1052" s="100" t="s">
        <v>1179</v>
      </c>
      <c r="E1052" s="100"/>
    </row>
    <row r="1053">
      <c r="A1053" s="101" t="s">
        <v>1180</v>
      </c>
      <c r="B1053" s="94" t="s">
        <v>1181</v>
      </c>
      <c r="C1053" s="103"/>
      <c r="D1053" s="96" t="str">
        <f t="shared" ref="D1053:D1057" si="35">LOWER(B1053)</f>
        <v>mr. mime-galar</v>
      </c>
      <c r="E1053" s="96"/>
    </row>
    <row r="1054">
      <c r="A1054" s="97" t="s">
        <v>1182</v>
      </c>
      <c r="B1054" s="105" t="s">
        <v>1183</v>
      </c>
      <c r="C1054" s="99"/>
      <c r="D1054" s="100" t="str">
        <f t="shared" si="35"/>
        <v>articuno-galar</v>
      </c>
      <c r="E1054" s="100"/>
    </row>
    <row r="1055">
      <c r="A1055" s="101" t="s">
        <v>1184</v>
      </c>
      <c r="B1055" s="94" t="s">
        <v>1185</v>
      </c>
      <c r="C1055" s="103"/>
      <c r="D1055" s="96" t="str">
        <f t="shared" si="35"/>
        <v>zapdos-galar</v>
      </c>
      <c r="E1055" s="96"/>
    </row>
    <row r="1056">
      <c r="A1056" s="97" t="s">
        <v>1186</v>
      </c>
      <c r="B1056" s="105" t="s">
        <v>1187</v>
      </c>
      <c r="C1056" s="99"/>
      <c r="D1056" s="100" t="str">
        <f t="shared" si="35"/>
        <v>moltres-galar</v>
      </c>
      <c r="E1056" s="100"/>
    </row>
    <row r="1057">
      <c r="A1057" s="101" t="s">
        <v>1188</v>
      </c>
      <c r="B1057" s="94" t="s">
        <v>1189</v>
      </c>
      <c r="C1057" s="103"/>
      <c r="D1057" s="96" t="str">
        <f t="shared" si="35"/>
        <v>slowking-galar</v>
      </c>
      <c r="E1057" s="96"/>
    </row>
    <row r="1058">
      <c r="A1058" s="97" t="s">
        <v>1190</v>
      </c>
      <c r="B1058" s="105" t="s">
        <v>106</v>
      </c>
      <c r="C1058" s="99"/>
      <c r="D1058" s="100" t="s">
        <v>1191</v>
      </c>
      <c r="E1058" s="100"/>
    </row>
    <row r="1059">
      <c r="A1059" s="101" t="s">
        <v>1192</v>
      </c>
      <c r="B1059" s="94" t="s">
        <v>1193</v>
      </c>
      <c r="C1059" s="103"/>
      <c r="D1059" s="96" t="str">
        <f t="shared" ref="D1059:D1060" si="36">LOWER(B1059)</f>
        <v>zigzagoon-galar</v>
      </c>
      <c r="E1059" s="96"/>
    </row>
    <row r="1060">
      <c r="A1060" s="97" t="s">
        <v>1194</v>
      </c>
      <c r="B1060" s="105" t="s">
        <v>1195</v>
      </c>
      <c r="C1060" s="99"/>
      <c r="D1060" s="100" t="str">
        <f t="shared" si="36"/>
        <v>linoone-galar</v>
      </c>
      <c r="E1060" s="100"/>
    </row>
    <row r="1061">
      <c r="A1061" s="101" t="s">
        <v>1196</v>
      </c>
      <c r="B1061" s="94" t="s">
        <v>118</v>
      </c>
      <c r="C1061" s="103"/>
      <c r="D1061" s="96" t="s">
        <v>1197</v>
      </c>
      <c r="E1061" s="96"/>
    </row>
    <row r="1062">
      <c r="A1062" s="97" t="s">
        <v>1198</v>
      </c>
      <c r="B1062" s="105" t="s">
        <v>1199</v>
      </c>
      <c r="C1062" s="99"/>
      <c r="D1062" s="100" t="str">
        <f>LOWER(B1062)</f>
        <v>darmanitan-galar</v>
      </c>
      <c r="E1062" s="100"/>
    </row>
    <row r="1063">
      <c r="A1063" s="101" t="s">
        <v>1200</v>
      </c>
      <c r="B1063" s="94" t="s">
        <v>331</v>
      </c>
      <c r="C1063" s="103"/>
      <c r="D1063" s="96" t="s">
        <v>1201</v>
      </c>
      <c r="E1063" s="96"/>
    </row>
    <row r="1064">
      <c r="A1064" s="97" t="s">
        <v>1202</v>
      </c>
      <c r="B1064" s="105" t="s">
        <v>341</v>
      </c>
      <c r="C1064" s="99"/>
      <c r="D1064" s="100" t="str">
        <f t="shared" ref="D1064:D1065" si="37">LOWER(B1064)</f>
        <v>stunfisk-galar</v>
      </c>
      <c r="E1064" s="100"/>
    </row>
    <row r="1065">
      <c r="A1065" s="101" t="s">
        <v>1203</v>
      </c>
      <c r="B1065" s="94" t="s">
        <v>166</v>
      </c>
      <c r="C1065" s="103"/>
      <c r="D1065" s="96" t="str">
        <f t="shared" si="37"/>
        <v>growlithe-hisui</v>
      </c>
      <c r="E1065" s="96"/>
    </row>
    <row r="1066">
      <c r="A1066" s="97" t="s">
        <v>1204</v>
      </c>
      <c r="B1066" s="105" t="s">
        <v>1205</v>
      </c>
      <c r="C1066" s="99"/>
      <c r="D1066" s="100" t="s">
        <v>1206</v>
      </c>
      <c r="E1066" s="100"/>
    </row>
    <row r="1067">
      <c r="A1067" s="101" t="s">
        <v>1207</v>
      </c>
      <c r="B1067" s="94" t="s">
        <v>319</v>
      </c>
      <c r="C1067" s="103"/>
      <c r="D1067" s="96" t="str">
        <f t="shared" ref="D1067:D1073" si="38">LOWER(B1067)</f>
        <v>voltorb-hisui</v>
      </c>
      <c r="E1067" s="96"/>
    </row>
    <row r="1068">
      <c r="A1068" s="97" t="s">
        <v>1208</v>
      </c>
      <c r="B1068" s="105" t="s">
        <v>1209</v>
      </c>
      <c r="C1068" s="99"/>
      <c r="D1068" s="100" t="str">
        <f t="shared" si="38"/>
        <v>electrode-hisui</v>
      </c>
      <c r="E1068" s="99"/>
    </row>
    <row r="1069">
      <c r="A1069" s="101" t="s">
        <v>1210</v>
      </c>
      <c r="B1069" s="94" t="s">
        <v>1211</v>
      </c>
      <c r="C1069" s="103"/>
      <c r="D1069" s="96" t="str">
        <f t="shared" si="38"/>
        <v>typhlosion-hisui</v>
      </c>
      <c r="E1069" s="103"/>
    </row>
    <row r="1070">
      <c r="A1070" s="97" t="s">
        <v>1212</v>
      </c>
      <c r="B1070" s="105" t="s">
        <v>297</v>
      </c>
      <c r="C1070" s="99"/>
      <c r="D1070" s="100" t="str">
        <f t="shared" si="38"/>
        <v>qwilfish-hisui</v>
      </c>
      <c r="E1070" s="100"/>
    </row>
    <row r="1071">
      <c r="A1071" s="101" t="s">
        <v>1213</v>
      </c>
      <c r="B1071" s="94" t="s">
        <v>335</v>
      </c>
      <c r="C1071" s="103"/>
      <c r="D1071" s="96" t="str">
        <f t="shared" si="38"/>
        <v>sneasel-hisui</v>
      </c>
      <c r="E1071" s="96"/>
    </row>
    <row r="1072">
      <c r="A1072" s="97" t="s">
        <v>1214</v>
      </c>
      <c r="B1072" s="105" t="s">
        <v>1215</v>
      </c>
      <c r="C1072" s="99"/>
      <c r="D1072" s="100" t="str">
        <f t="shared" si="38"/>
        <v>samurott-hisui</v>
      </c>
      <c r="E1072" s="100"/>
    </row>
    <row r="1073">
      <c r="A1073" s="101" t="s">
        <v>1216</v>
      </c>
      <c r="B1073" s="94" t="s">
        <v>1217</v>
      </c>
      <c r="C1073" s="103"/>
      <c r="D1073" s="96" t="str">
        <f t="shared" si="38"/>
        <v>lilligant-hisui</v>
      </c>
      <c r="E1073" s="96"/>
    </row>
    <row r="1074">
      <c r="A1074" s="97" t="s">
        <v>1218</v>
      </c>
      <c r="B1074" s="105" t="s">
        <v>334</v>
      </c>
      <c r="C1074" s="99"/>
      <c r="D1074" s="100" t="s">
        <v>1219</v>
      </c>
      <c r="E1074" s="99"/>
    </row>
    <row r="1075">
      <c r="A1075" s="101" t="s">
        <v>1220</v>
      </c>
      <c r="B1075" s="94" t="s">
        <v>1221</v>
      </c>
      <c r="C1075" s="103"/>
      <c r="D1075" s="96" t="s">
        <v>1222</v>
      </c>
      <c r="E1075" s="96"/>
    </row>
    <row r="1076">
      <c r="A1076" s="97" t="s">
        <v>1223</v>
      </c>
      <c r="B1076" s="105" t="s">
        <v>1224</v>
      </c>
      <c r="C1076" s="99"/>
      <c r="D1076" s="100" t="str">
        <f t="shared" ref="D1076:D1077" si="39">LOWER(B1076)</f>
        <v>braviary-hisui</v>
      </c>
      <c r="E1076" s="100"/>
    </row>
    <row r="1077">
      <c r="A1077" s="101" t="s">
        <v>1225</v>
      </c>
      <c r="B1077" s="94" t="s">
        <v>1226</v>
      </c>
      <c r="C1077" s="103"/>
      <c r="D1077" s="96" t="str">
        <f t="shared" si="39"/>
        <v>sliggoo-hisui</v>
      </c>
      <c r="E1077" s="96"/>
    </row>
    <row r="1078">
      <c r="A1078" s="97" t="s">
        <v>1227</v>
      </c>
      <c r="B1078" s="105" t="s">
        <v>1228</v>
      </c>
      <c r="C1078" s="99"/>
      <c r="D1078" s="100" t="s">
        <v>1229</v>
      </c>
      <c r="E1078" s="100"/>
    </row>
    <row r="1079">
      <c r="A1079" s="101" t="s">
        <v>1230</v>
      </c>
      <c r="B1079" s="94" t="s">
        <v>1231</v>
      </c>
      <c r="C1079" s="103"/>
      <c r="D1079" s="96" t="str">
        <f t="shared" ref="D1079:D1093" si="40">LOWER(B1079)</f>
        <v>avalugg-hisui</v>
      </c>
      <c r="E1079" s="96"/>
    </row>
    <row r="1080">
      <c r="A1080" s="97" t="s">
        <v>1232</v>
      </c>
      <c r="B1080" s="105" t="s">
        <v>1233</v>
      </c>
      <c r="C1080" s="99"/>
      <c r="D1080" s="100" t="str">
        <f t="shared" si="40"/>
        <v>decidueye-hisui</v>
      </c>
      <c r="E1080" s="100"/>
    </row>
    <row r="1081">
      <c r="A1081" s="101" t="s">
        <v>1234</v>
      </c>
      <c r="B1081" s="94" t="s">
        <v>1235</v>
      </c>
      <c r="C1081" s="103"/>
      <c r="D1081" s="96" t="str">
        <f t="shared" si="40"/>
        <v>tauros-paldea</v>
      </c>
      <c r="E1081" s="96"/>
    </row>
    <row r="1082">
      <c r="A1082" s="97" t="s">
        <v>1236</v>
      </c>
      <c r="B1082" s="105" t="s">
        <v>90</v>
      </c>
      <c r="C1082" s="99"/>
      <c r="D1082" s="100" t="str">
        <f t="shared" si="40"/>
        <v>tauros-paldea-fire</v>
      </c>
      <c r="E1082" s="100"/>
    </row>
    <row r="1083">
      <c r="A1083" s="101" t="s">
        <v>1237</v>
      </c>
      <c r="B1083" s="94" t="s">
        <v>92</v>
      </c>
      <c r="C1083" s="103"/>
      <c r="D1083" s="96" t="str">
        <f t="shared" si="40"/>
        <v>tauros-paldea-water</v>
      </c>
      <c r="E1083" s="96"/>
    </row>
    <row r="1084">
      <c r="A1084" s="97" t="s">
        <v>1238</v>
      </c>
      <c r="B1084" s="105" t="s">
        <v>107</v>
      </c>
      <c r="C1084" s="99"/>
      <c r="D1084" s="100" t="str">
        <f t="shared" si="40"/>
        <v>wooper-paldea</v>
      </c>
      <c r="E1084" s="100"/>
    </row>
    <row r="1085">
      <c r="A1085" s="108" t="s">
        <v>1239</v>
      </c>
      <c r="B1085" s="94" t="s">
        <v>12</v>
      </c>
      <c r="C1085" s="103" t="str">
        <f t="array" ref="C1085:C1106">IMAGE($A1085:$A1106,3)</f>
        <v/>
      </c>
      <c r="D1085" s="96" t="str">
        <f t="shared" si="40"/>
        <v>blitzle-sevii</v>
      </c>
      <c r="E1085" s="96"/>
    </row>
    <row r="1086">
      <c r="A1086" s="109" t="s">
        <v>1240</v>
      </c>
      <c r="B1086" s="105" t="s">
        <v>1241</v>
      </c>
      <c r="C1086" s="99"/>
      <c r="D1086" s="100" t="str">
        <f t="shared" si="40"/>
        <v>zebstrika-sevii</v>
      </c>
      <c r="E1086" s="99"/>
    </row>
    <row r="1087">
      <c r="A1087" s="108" t="s">
        <v>1242</v>
      </c>
      <c r="B1087" s="94" t="s">
        <v>40</v>
      </c>
      <c r="C1087" s="103"/>
      <c r="D1087" s="96" t="str">
        <f t="shared" si="40"/>
        <v>sizzlipede-sevii</v>
      </c>
      <c r="E1087" s="96"/>
    </row>
    <row r="1088">
      <c r="A1088" s="109" t="s">
        <v>1243</v>
      </c>
      <c r="B1088" s="105" t="s">
        <v>1244</v>
      </c>
      <c r="C1088" s="99"/>
      <c r="D1088" s="100" t="str">
        <f t="shared" si="40"/>
        <v>centiskorch-sevii</v>
      </c>
      <c r="E1088" s="100"/>
    </row>
    <row r="1089">
      <c r="A1089" s="108" t="s">
        <v>1245</v>
      </c>
      <c r="B1089" s="94" t="s">
        <v>22</v>
      </c>
      <c r="C1089" s="103"/>
      <c r="D1089" s="96" t="str">
        <f t="shared" si="40"/>
        <v>dhelmise-sevii</v>
      </c>
      <c r="E1089" s="96"/>
    </row>
    <row r="1090">
      <c r="A1090" s="109" t="s">
        <v>1246</v>
      </c>
      <c r="B1090" s="105" t="s">
        <v>46</v>
      </c>
      <c r="C1090" s="99"/>
      <c r="D1090" s="100" t="str">
        <f t="shared" si="40"/>
        <v>wishiwashi-sevii</v>
      </c>
      <c r="E1090" s="99"/>
    </row>
    <row r="1091">
      <c r="A1091" s="108" t="s">
        <v>1247</v>
      </c>
      <c r="B1091" s="94" t="s">
        <v>1248</v>
      </c>
      <c r="C1091" s="103"/>
      <c r="D1091" s="96" t="str">
        <f t="shared" si="40"/>
        <v>wishiwashi-school-sevii</v>
      </c>
      <c r="E1091" s="96"/>
    </row>
    <row r="1092">
      <c r="A1092" s="109" t="s">
        <v>1249</v>
      </c>
      <c r="B1092" s="105" t="s">
        <v>19</v>
      </c>
      <c r="C1092" s="99"/>
      <c r="D1092" s="100" t="str">
        <f t="shared" si="40"/>
        <v>clauncher-sevii</v>
      </c>
      <c r="E1092" s="100"/>
    </row>
    <row r="1093">
      <c r="A1093" s="108" t="s">
        <v>1250</v>
      </c>
      <c r="B1093" s="94" t="s">
        <v>1251</v>
      </c>
      <c r="C1093" s="103"/>
      <c r="D1093" s="96" t="str">
        <f t="shared" si="40"/>
        <v>clawitzer-sevii</v>
      </c>
      <c r="E1093" s="96"/>
    </row>
    <row r="1094">
      <c r="A1094" s="109" t="s">
        <v>1252</v>
      </c>
      <c r="B1094" s="105" t="s">
        <v>28</v>
      </c>
      <c r="C1094" s="99"/>
      <c r="D1094" s="100" t="s">
        <v>1253</v>
      </c>
      <c r="E1094" s="100"/>
    </row>
    <row r="1095">
      <c r="A1095" s="108" t="s">
        <v>1254</v>
      </c>
      <c r="B1095" s="94" t="s">
        <v>1255</v>
      </c>
      <c r="C1095" s="103"/>
      <c r="D1095" s="96" t="s">
        <v>1256</v>
      </c>
      <c r="E1095" s="96"/>
    </row>
    <row r="1096">
      <c r="A1096" s="109" t="s">
        <v>1257</v>
      </c>
      <c r="B1096" s="105" t="s">
        <v>16</v>
      </c>
      <c r="C1096" s="99"/>
      <c r="D1096" s="100" t="str">
        <f t="shared" ref="D1096:D1098" si="41">LOWER(B1096)</f>
        <v>carnivine-sevii</v>
      </c>
      <c r="E1096" s="100"/>
    </row>
    <row r="1097">
      <c r="A1097" s="108" t="s">
        <v>1258</v>
      </c>
      <c r="B1097" s="94" t="s">
        <v>25</v>
      </c>
      <c r="C1097" s="103"/>
      <c r="D1097" s="96" t="str">
        <f t="shared" si="41"/>
        <v>doduo-sevii</v>
      </c>
      <c r="E1097" s="96"/>
    </row>
    <row r="1098">
      <c r="A1098" s="109" t="s">
        <v>1259</v>
      </c>
      <c r="B1098" s="105" t="s">
        <v>1260</v>
      </c>
      <c r="C1098" s="99"/>
      <c r="D1098" s="100" t="str">
        <f t="shared" si="41"/>
        <v>dodrio-sevii</v>
      </c>
      <c r="E1098" s="100"/>
    </row>
    <row r="1099">
      <c r="A1099" s="108" t="s">
        <v>1261</v>
      </c>
      <c r="B1099" s="94" t="s">
        <v>31</v>
      </c>
      <c r="C1099" s="103"/>
      <c r="D1099" s="96" t="s">
        <v>1262</v>
      </c>
      <c r="E1099" s="96"/>
    </row>
    <row r="1100">
      <c r="A1100" s="109" t="s">
        <v>1263</v>
      </c>
      <c r="B1100" s="105" t="s">
        <v>1264</v>
      </c>
      <c r="C1100" s="99"/>
      <c r="D1100" s="100" t="str">
        <f t="shared" ref="D1100:D1105" si="42">LOWER(B1100)</f>
        <v>mantine-sevii</v>
      </c>
      <c r="E1100" s="100"/>
    </row>
    <row r="1101">
      <c r="A1101" s="108" t="s">
        <v>1265</v>
      </c>
      <c r="B1101" s="94" t="s">
        <v>43</v>
      </c>
      <c r="C1101" s="103"/>
      <c r="D1101" s="96" t="str">
        <f t="shared" si="42"/>
        <v>teddiursa-sevii</v>
      </c>
      <c r="E1101" s="96"/>
    </row>
    <row r="1102">
      <c r="A1102" s="109" t="s">
        <v>1266</v>
      </c>
      <c r="B1102" s="105" t="s">
        <v>1267</v>
      </c>
      <c r="C1102" s="99"/>
      <c r="D1102" s="100" t="str">
        <f t="shared" si="42"/>
        <v>ursaring-sevii</v>
      </c>
      <c r="E1102" s="100"/>
    </row>
    <row r="1103">
      <c r="A1103" s="110" t="s">
        <v>1268</v>
      </c>
      <c r="B1103" s="94" t="s">
        <v>34</v>
      </c>
      <c r="C1103" s="103"/>
      <c r="D1103" s="96" t="str">
        <f t="shared" si="42"/>
        <v>noibat-sevii</v>
      </c>
      <c r="E1103" s="96"/>
    </row>
    <row r="1104">
      <c r="A1104" s="111" t="s">
        <v>1269</v>
      </c>
      <c r="B1104" s="105" t="s">
        <v>1270</v>
      </c>
      <c r="C1104" s="99"/>
      <c r="D1104" s="100" t="str">
        <f t="shared" si="42"/>
        <v>noivern-sevii</v>
      </c>
      <c r="E1104" s="100"/>
    </row>
    <row r="1105">
      <c r="A1105" s="112" t="s">
        <v>1271</v>
      </c>
      <c r="B1105" s="94" t="s">
        <v>37</v>
      </c>
      <c r="C1105" s="103"/>
      <c r="D1105" s="96" t="str">
        <f t="shared" si="42"/>
        <v>nymble-sevii</v>
      </c>
      <c r="E1105" s="96"/>
    </row>
    <row r="1106">
      <c r="A1106" s="111" t="s">
        <v>1272</v>
      </c>
      <c r="B1106" s="105" t="s">
        <v>1273</v>
      </c>
      <c r="C1106" s="99"/>
      <c r="D1106" s="100" t="s">
        <v>1274</v>
      </c>
      <c r="E1106" s="99"/>
    </row>
    <row r="1107">
      <c r="A1107" s="113" t="s">
        <v>1275</v>
      </c>
      <c r="B1107" s="94" t="s">
        <v>1276</v>
      </c>
      <c r="C1107" s="103" t="str">
        <f t="array" ref="C1107:C1120">IMAGE($A1107:$A1120,3)</f>
        <v/>
      </c>
      <c r="D1107" s="96" t="str">
        <f t="shared" ref="D1107:D1123" si="43">LOWER(B1107)</f>
        <v>pikachu-cosplay</v>
      </c>
      <c r="E1107" s="96"/>
    </row>
    <row r="1108">
      <c r="A1108" s="114" t="s">
        <v>1277</v>
      </c>
      <c r="B1108" s="98" t="s">
        <v>1278</v>
      </c>
      <c r="C1108" s="99"/>
      <c r="D1108" s="100" t="str">
        <f t="shared" si="43"/>
        <v>pikachu-rockstar</v>
      </c>
      <c r="E1108" s="99"/>
    </row>
    <row r="1109">
      <c r="A1109" s="115" t="s">
        <v>1279</v>
      </c>
      <c r="B1109" s="102" t="s">
        <v>1280</v>
      </c>
      <c r="C1109" s="103"/>
      <c r="D1109" s="96" t="str">
        <f t="shared" si="43"/>
        <v>pikachu-belle</v>
      </c>
      <c r="E1109" s="96"/>
    </row>
    <row r="1110">
      <c r="A1110" s="114" t="s">
        <v>1281</v>
      </c>
      <c r="B1110" s="98" t="s">
        <v>1282</v>
      </c>
      <c r="C1110" s="99"/>
      <c r="D1110" s="100" t="str">
        <f t="shared" si="43"/>
        <v>pikachu-popstar</v>
      </c>
      <c r="E1110" s="100"/>
    </row>
    <row r="1111">
      <c r="A1111" s="115" t="s">
        <v>1283</v>
      </c>
      <c r="B1111" s="102" t="s">
        <v>1284</v>
      </c>
      <c r="C1111" s="103"/>
      <c r="D1111" s="96" t="str">
        <f t="shared" si="43"/>
        <v>pikachu-phd</v>
      </c>
      <c r="E1111" s="96"/>
    </row>
    <row r="1112">
      <c r="A1112" s="114" t="s">
        <v>1285</v>
      </c>
      <c r="B1112" s="98" t="s">
        <v>1286</v>
      </c>
      <c r="C1112" s="99"/>
      <c r="D1112" s="100" t="str">
        <f t="shared" si="43"/>
        <v>pikachu-libre</v>
      </c>
      <c r="E1112" s="100"/>
    </row>
    <row r="1113">
      <c r="A1113" s="115" t="s">
        <v>1287</v>
      </c>
      <c r="B1113" s="102" t="s">
        <v>1288</v>
      </c>
      <c r="C1113" s="103"/>
      <c r="D1113" s="96" t="str">
        <f t="shared" si="43"/>
        <v>pikachu-original</v>
      </c>
      <c r="E1113" s="96"/>
    </row>
    <row r="1114">
      <c r="A1114" s="114" t="s">
        <v>1289</v>
      </c>
      <c r="B1114" s="98" t="s">
        <v>1290</v>
      </c>
      <c r="C1114" s="99"/>
      <c r="D1114" s="100" t="str">
        <f t="shared" si="43"/>
        <v>pikachu-hoenn</v>
      </c>
      <c r="E1114" s="100"/>
    </row>
    <row r="1115">
      <c r="A1115" s="115" t="s">
        <v>1291</v>
      </c>
      <c r="B1115" s="102" t="s">
        <v>1292</v>
      </c>
      <c r="C1115" s="103"/>
      <c r="D1115" s="96" t="str">
        <f t="shared" si="43"/>
        <v>pikachu-sinnoh</v>
      </c>
      <c r="E1115" s="96"/>
    </row>
    <row r="1116">
      <c r="A1116" s="114" t="s">
        <v>1293</v>
      </c>
      <c r="B1116" s="98" t="s">
        <v>1294</v>
      </c>
      <c r="C1116" s="99"/>
      <c r="D1116" s="100" t="str">
        <f t="shared" si="43"/>
        <v>pikachu-unova</v>
      </c>
      <c r="E1116" s="100"/>
    </row>
    <row r="1117">
      <c r="A1117" s="115" t="s">
        <v>1295</v>
      </c>
      <c r="B1117" s="102" t="s">
        <v>1296</v>
      </c>
      <c r="C1117" s="103"/>
      <c r="D1117" s="96" t="str">
        <f t="shared" si="43"/>
        <v>pikachu-kalos</v>
      </c>
      <c r="E1117" s="96"/>
    </row>
    <row r="1118">
      <c r="A1118" s="109" t="s">
        <v>1297</v>
      </c>
      <c r="B1118" s="105" t="s">
        <v>1298</v>
      </c>
      <c r="C1118" s="99"/>
      <c r="D1118" s="100" t="str">
        <f t="shared" si="43"/>
        <v>pikachu-alola</v>
      </c>
      <c r="E1118" s="100"/>
    </row>
    <row r="1119">
      <c r="A1119" s="113" t="s">
        <v>1299</v>
      </c>
      <c r="B1119" s="94" t="s">
        <v>1300</v>
      </c>
      <c r="C1119" s="116"/>
      <c r="D1119" s="96" t="str">
        <f t="shared" si="43"/>
        <v>pikachu-flying</v>
      </c>
      <c r="E1119" s="96"/>
    </row>
    <row r="1120">
      <c r="A1120" s="117" t="s">
        <v>1301</v>
      </c>
      <c r="B1120" s="105" t="s">
        <v>1302</v>
      </c>
      <c r="C1120" s="118"/>
      <c r="D1120" s="100" t="str">
        <f t="shared" si="43"/>
        <v>pikachu-surfing</v>
      </c>
      <c r="E1120" s="100"/>
    </row>
    <row r="1121">
      <c r="A1121" s="101" t="s">
        <v>1303</v>
      </c>
      <c r="B1121" s="94" t="s">
        <v>1304</v>
      </c>
      <c r="C1121" s="103" t="str">
        <f t="array" ref="C1121:C1176">IMAGE("https://www.centropkmn.com/pokes/gen9-sprites/"&amp;LOWER($A1121:$A1176)&amp;".png",1)</f>
        <v/>
      </c>
      <c r="D1121" s="96" t="str">
        <f t="shared" si="43"/>
        <v>deoxys-a</v>
      </c>
      <c r="E1121" s="96"/>
    </row>
    <row r="1122">
      <c r="A1122" s="97" t="s">
        <v>1305</v>
      </c>
      <c r="B1122" s="105" t="s">
        <v>1306</v>
      </c>
      <c r="C1122" s="99"/>
      <c r="D1122" s="100" t="str">
        <f t="shared" si="43"/>
        <v>deoxys-d</v>
      </c>
      <c r="E1122" s="100"/>
    </row>
    <row r="1123">
      <c r="A1123" s="101" t="s">
        <v>1307</v>
      </c>
      <c r="B1123" s="94" t="s">
        <v>1308</v>
      </c>
      <c r="C1123" s="103"/>
      <c r="D1123" s="96" t="str">
        <f t="shared" si="43"/>
        <v>deoxys-s</v>
      </c>
      <c r="E1123" s="96"/>
    </row>
    <row r="1124">
      <c r="A1124" s="97" t="s">
        <v>1309</v>
      </c>
      <c r="B1124" s="105" t="s">
        <v>1310</v>
      </c>
      <c r="C1124" s="99"/>
      <c r="D1124" s="100" t="s">
        <v>1311</v>
      </c>
      <c r="E1124" s="100"/>
    </row>
    <row r="1125">
      <c r="A1125" s="101" t="s">
        <v>1312</v>
      </c>
      <c r="B1125" s="94" t="s">
        <v>1313</v>
      </c>
      <c r="C1125" s="103"/>
      <c r="D1125" s="96" t="str">
        <f>LOWER(B1125)</f>
        <v>burmy-trash</v>
      </c>
      <c r="E1125" s="96"/>
    </row>
    <row r="1126">
      <c r="A1126" s="97" t="s">
        <v>1314</v>
      </c>
      <c r="B1126" s="98" t="s">
        <v>1315</v>
      </c>
      <c r="C1126" s="99"/>
      <c r="D1126" s="100" t="s">
        <v>1316</v>
      </c>
      <c r="E1126" s="100"/>
    </row>
    <row r="1127">
      <c r="A1127" s="101" t="s">
        <v>1317</v>
      </c>
      <c r="B1127" s="102" t="s">
        <v>1318</v>
      </c>
      <c r="C1127" s="103"/>
      <c r="D1127" s="96" t="str">
        <f t="shared" ref="D1127:D1129" si="44">LOWER(B1127)</f>
        <v>wormadam-trash</v>
      </c>
      <c r="E1127" s="96"/>
    </row>
    <row r="1128">
      <c r="A1128" s="97" t="s">
        <v>1319</v>
      </c>
      <c r="B1128" s="105" t="s">
        <v>259</v>
      </c>
      <c r="C1128" s="99"/>
      <c r="D1128" s="100" t="str">
        <f t="shared" si="44"/>
        <v>shellos-east</v>
      </c>
      <c r="E1128" s="99"/>
    </row>
    <row r="1129">
      <c r="A1129" s="101" t="s">
        <v>1320</v>
      </c>
      <c r="B1129" s="94" t="s">
        <v>1321</v>
      </c>
      <c r="C1129" s="103"/>
      <c r="D1129" s="96" t="str">
        <f t="shared" si="44"/>
        <v>gastrodon-east</v>
      </c>
      <c r="E1129" s="96"/>
    </row>
    <row r="1130">
      <c r="A1130" s="97" t="s">
        <v>1322</v>
      </c>
      <c r="B1130" s="98" t="s">
        <v>1323</v>
      </c>
      <c r="C1130" s="99"/>
      <c r="D1130" s="100" t="s">
        <v>1324</v>
      </c>
      <c r="E1130" s="100"/>
    </row>
    <row r="1131">
      <c r="A1131" s="101" t="s">
        <v>1325</v>
      </c>
      <c r="B1131" s="102" t="s">
        <v>1326</v>
      </c>
      <c r="C1131" s="103"/>
      <c r="D1131" s="96" t="s">
        <v>1327</v>
      </c>
      <c r="E1131" s="103"/>
    </row>
    <row r="1132">
      <c r="A1132" s="97" t="s">
        <v>1328</v>
      </c>
      <c r="B1132" s="98" t="s">
        <v>1329</v>
      </c>
      <c r="C1132" s="99"/>
      <c r="D1132" s="100" t="s">
        <v>1330</v>
      </c>
      <c r="E1132" s="100"/>
    </row>
    <row r="1133">
      <c r="A1133" s="101" t="s">
        <v>1331</v>
      </c>
      <c r="B1133" s="102" t="s">
        <v>1332</v>
      </c>
      <c r="C1133" s="103"/>
      <c r="D1133" s="96" t="s">
        <v>1333</v>
      </c>
      <c r="E1133" s="103"/>
    </row>
    <row r="1134">
      <c r="A1134" s="97" t="s">
        <v>1334</v>
      </c>
      <c r="B1134" s="105" t="s">
        <v>1335</v>
      </c>
      <c r="C1134" s="99"/>
      <c r="D1134" s="100" t="str">
        <f t="shared" ref="D1134:D1146" si="45">LOWER(B1134)</f>
        <v>rotom-mow</v>
      </c>
      <c r="E1134" s="100"/>
    </row>
    <row r="1135">
      <c r="A1135" s="101" t="s">
        <v>1336</v>
      </c>
      <c r="B1135" s="94" t="s">
        <v>1337</v>
      </c>
      <c r="C1135" s="103"/>
      <c r="D1135" s="96" t="str">
        <f t="shared" si="45"/>
        <v>dialga-origin</v>
      </c>
      <c r="E1135" s="96"/>
    </row>
    <row r="1136">
      <c r="A1136" s="97" t="s">
        <v>1338</v>
      </c>
      <c r="B1136" s="105" t="s">
        <v>1339</v>
      </c>
      <c r="C1136" s="99"/>
      <c r="D1136" s="100" t="str">
        <f t="shared" si="45"/>
        <v>palkia-origin</v>
      </c>
      <c r="E1136" s="100"/>
    </row>
    <row r="1137">
      <c r="A1137" s="101" t="s">
        <v>1340</v>
      </c>
      <c r="B1137" s="94" t="s">
        <v>1341</v>
      </c>
      <c r="C1137" s="103"/>
      <c r="D1137" s="96" t="str">
        <f t="shared" si="45"/>
        <v>giratina-o</v>
      </c>
      <c r="E1137" s="96"/>
    </row>
    <row r="1138">
      <c r="A1138" s="97" t="s">
        <v>1342</v>
      </c>
      <c r="B1138" s="98" t="s">
        <v>1343</v>
      </c>
      <c r="C1138" s="99"/>
      <c r="D1138" s="100" t="str">
        <f t="shared" si="45"/>
        <v>shaymin-sky</v>
      </c>
      <c r="E1138" s="100"/>
    </row>
    <row r="1139">
      <c r="A1139" s="101" t="s">
        <v>1344</v>
      </c>
      <c r="B1139" s="94" t="s">
        <v>1345</v>
      </c>
      <c r="C1139" s="103"/>
      <c r="D1139" s="96" t="str">
        <f t="shared" si="45"/>
        <v>basculin-blue-striped</v>
      </c>
      <c r="E1139" s="96"/>
    </row>
    <row r="1140">
      <c r="A1140" s="97" t="s">
        <v>1346</v>
      </c>
      <c r="B1140" s="105" t="s">
        <v>1347</v>
      </c>
      <c r="C1140" s="99"/>
      <c r="D1140" s="100" t="str">
        <f t="shared" si="45"/>
        <v>deerling-summer</v>
      </c>
      <c r="E1140" s="100"/>
    </row>
    <row r="1141">
      <c r="A1141" s="101" t="s">
        <v>1348</v>
      </c>
      <c r="B1141" s="94" t="s">
        <v>1349</v>
      </c>
      <c r="C1141" s="103"/>
      <c r="D1141" s="96" t="str">
        <f t="shared" si="45"/>
        <v>deerling-autumn</v>
      </c>
      <c r="E1141" s="96"/>
    </row>
    <row r="1142">
      <c r="A1142" s="97" t="s">
        <v>1350</v>
      </c>
      <c r="B1142" s="105" t="s">
        <v>119</v>
      </c>
      <c r="C1142" s="99"/>
      <c r="D1142" s="100" t="str">
        <f t="shared" si="45"/>
        <v>deerling-winter</v>
      </c>
      <c r="E1142" s="100"/>
    </row>
    <row r="1143">
      <c r="A1143" s="101" t="s">
        <v>1351</v>
      </c>
      <c r="B1143" s="94" t="s">
        <v>1352</v>
      </c>
      <c r="C1143" s="103"/>
      <c r="D1143" s="96" t="str">
        <f t="shared" si="45"/>
        <v>tornadus-t</v>
      </c>
      <c r="E1143" s="96"/>
    </row>
    <row r="1144">
      <c r="A1144" s="97" t="s">
        <v>1353</v>
      </c>
      <c r="B1144" s="105" t="s">
        <v>1354</v>
      </c>
      <c r="C1144" s="99"/>
      <c r="D1144" s="100" t="str">
        <f t="shared" si="45"/>
        <v>thundurus-t</v>
      </c>
      <c r="E1144" s="99"/>
    </row>
    <row r="1145">
      <c r="A1145" s="101" t="s">
        <v>1355</v>
      </c>
      <c r="B1145" s="94" t="s">
        <v>1356</v>
      </c>
      <c r="C1145" s="103"/>
      <c r="D1145" s="96" t="str">
        <f t="shared" si="45"/>
        <v>landorus-t</v>
      </c>
      <c r="E1145" s="103"/>
    </row>
    <row r="1146">
      <c r="A1146" s="97" t="s">
        <v>1357</v>
      </c>
      <c r="B1146" s="105" t="s">
        <v>1358</v>
      </c>
      <c r="C1146" s="99"/>
      <c r="D1146" s="100" t="str">
        <f t="shared" si="45"/>
        <v>kyurem-b</v>
      </c>
      <c r="E1146" s="99"/>
    </row>
    <row r="1147">
      <c r="A1147" s="101" t="s">
        <v>1359</v>
      </c>
      <c r="B1147" s="94" t="s">
        <v>1360</v>
      </c>
      <c r="C1147" s="103"/>
      <c r="D1147" s="96" t="s">
        <v>1361</v>
      </c>
      <c r="E1147" s="103"/>
    </row>
    <row r="1148">
      <c r="A1148" s="97" t="s">
        <v>1362</v>
      </c>
      <c r="B1148" s="105" t="s">
        <v>1363</v>
      </c>
      <c r="C1148" s="99"/>
      <c r="D1148" s="100" t="str">
        <f t="shared" ref="D1148:D1165" si="46">LOWER(B1148)</f>
        <v>greninja-ash</v>
      </c>
      <c r="E1148" s="99"/>
    </row>
    <row r="1149">
      <c r="A1149" s="101" t="s">
        <v>1364</v>
      </c>
      <c r="B1149" s="102" t="s">
        <v>172</v>
      </c>
      <c r="C1149" s="103"/>
      <c r="D1149" s="96" t="str">
        <f t="shared" si="46"/>
        <v>floette-eternal</v>
      </c>
      <c r="E1149" s="103"/>
    </row>
    <row r="1150">
      <c r="A1150" s="97" t="s">
        <v>1365</v>
      </c>
      <c r="B1150" s="98" t="s">
        <v>1366</v>
      </c>
      <c r="C1150" s="99"/>
      <c r="D1150" s="100" t="str">
        <f t="shared" si="46"/>
        <v>meowstic-f</v>
      </c>
      <c r="E1150" s="99"/>
    </row>
    <row r="1151">
      <c r="A1151" s="101" t="s">
        <v>1367</v>
      </c>
      <c r="B1151" s="102" t="s">
        <v>1368</v>
      </c>
      <c r="C1151" s="103"/>
      <c r="D1151" s="96" t="str">
        <f t="shared" si="46"/>
        <v>pumpkaboo-small</v>
      </c>
      <c r="E1151" s="103"/>
    </row>
    <row r="1152">
      <c r="A1152" s="97" t="s">
        <v>1369</v>
      </c>
      <c r="B1152" s="98" t="s">
        <v>1370</v>
      </c>
      <c r="C1152" s="99"/>
      <c r="D1152" s="100" t="str">
        <f t="shared" si="46"/>
        <v>pumpkaboo-large</v>
      </c>
      <c r="E1152" s="99"/>
    </row>
    <row r="1153">
      <c r="A1153" s="101" t="s">
        <v>1371</v>
      </c>
      <c r="B1153" s="102" t="s">
        <v>1372</v>
      </c>
      <c r="C1153" s="103"/>
      <c r="D1153" s="96" t="str">
        <f t="shared" si="46"/>
        <v>pumpkaboo-super</v>
      </c>
      <c r="E1153" s="103"/>
    </row>
    <row r="1154">
      <c r="A1154" s="97" t="s">
        <v>1373</v>
      </c>
      <c r="B1154" s="98" t="s">
        <v>1374</v>
      </c>
      <c r="C1154" s="99"/>
      <c r="D1154" s="100" t="str">
        <f t="shared" si="46"/>
        <v>gourgeist-small</v>
      </c>
      <c r="E1154" s="99"/>
    </row>
    <row r="1155">
      <c r="A1155" s="101" t="s">
        <v>1375</v>
      </c>
      <c r="B1155" s="102" t="s">
        <v>1376</v>
      </c>
      <c r="C1155" s="103"/>
      <c r="D1155" s="96" t="str">
        <f t="shared" si="46"/>
        <v>gourgeist-large</v>
      </c>
      <c r="E1155" s="103"/>
    </row>
    <row r="1156">
      <c r="A1156" s="97" t="s">
        <v>1377</v>
      </c>
      <c r="B1156" s="98" t="s">
        <v>1378</v>
      </c>
      <c r="C1156" s="99"/>
      <c r="D1156" s="100" t="str">
        <f t="shared" si="46"/>
        <v>gourgeist-super</v>
      </c>
      <c r="E1156" s="99"/>
    </row>
    <row r="1157">
      <c r="A1157" s="101" t="s">
        <v>1379</v>
      </c>
      <c r="B1157" s="102" t="s">
        <v>1380</v>
      </c>
      <c r="C1157" s="103"/>
      <c r="D1157" s="96" t="str">
        <f t="shared" si="46"/>
        <v>zygarde-10</v>
      </c>
      <c r="E1157" s="103"/>
    </row>
    <row r="1158">
      <c r="A1158" s="97" t="s">
        <v>1381</v>
      </c>
      <c r="B1158" s="105" t="s">
        <v>1382</v>
      </c>
      <c r="C1158" s="99"/>
      <c r="D1158" s="100" t="str">
        <f t="shared" si="46"/>
        <v>hoopa-u</v>
      </c>
      <c r="E1158" s="99"/>
    </row>
    <row r="1159">
      <c r="A1159" s="101" t="s">
        <v>1383</v>
      </c>
      <c r="B1159" s="102" t="s">
        <v>1384</v>
      </c>
      <c r="C1159" s="103"/>
      <c r="D1159" s="96" t="str">
        <f t="shared" si="46"/>
        <v>oricorio-pompom</v>
      </c>
      <c r="E1159" s="103"/>
    </row>
    <row r="1160">
      <c r="A1160" s="97" t="s">
        <v>1385</v>
      </c>
      <c r="B1160" s="98" t="s">
        <v>1386</v>
      </c>
      <c r="C1160" s="99"/>
      <c r="D1160" s="100" t="str">
        <f t="shared" si="46"/>
        <v>oricorio-pau</v>
      </c>
      <c r="E1160" s="99"/>
    </row>
    <row r="1161">
      <c r="A1161" s="101" t="s">
        <v>1387</v>
      </c>
      <c r="B1161" s="102" t="s">
        <v>1388</v>
      </c>
      <c r="C1161" s="103"/>
      <c r="D1161" s="96" t="str">
        <f t="shared" si="46"/>
        <v>oricorio-sensu</v>
      </c>
      <c r="E1161" s="103"/>
    </row>
    <row r="1162">
      <c r="A1162" s="97" t="s">
        <v>1389</v>
      </c>
      <c r="B1162" s="105" t="s">
        <v>1390</v>
      </c>
      <c r="C1162" s="99"/>
      <c r="D1162" s="100" t="str">
        <f t="shared" si="46"/>
        <v>lycanroc-night</v>
      </c>
      <c r="E1162" s="99"/>
    </row>
    <row r="1163">
      <c r="A1163" s="101" t="s">
        <v>1391</v>
      </c>
      <c r="B1163" s="102" t="s">
        <v>1392</v>
      </c>
      <c r="C1163" s="103"/>
      <c r="D1163" s="96" t="str">
        <f t="shared" si="46"/>
        <v>lycanroc-dusk</v>
      </c>
      <c r="E1163" s="103"/>
    </row>
    <row r="1164">
      <c r="A1164" s="97" t="s">
        <v>1393</v>
      </c>
      <c r="B1164" s="105" t="s">
        <v>1394</v>
      </c>
      <c r="C1164" s="99"/>
      <c r="D1164" s="100" t="str">
        <f t="shared" si="46"/>
        <v>necrozma-dm</v>
      </c>
      <c r="E1164" s="99"/>
    </row>
    <row r="1165">
      <c r="A1165" s="101" t="s">
        <v>1395</v>
      </c>
      <c r="B1165" s="94" t="s">
        <v>1396</v>
      </c>
      <c r="C1165" s="103"/>
      <c r="D1165" s="96" t="str">
        <f t="shared" si="46"/>
        <v>necrozma-dw</v>
      </c>
      <c r="E1165" s="103"/>
    </row>
    <row r="1166">
      <c r="A1166" s="97" t="s">
        <v>1397</v>
      </c>
      <c r="B1166" s="98" t="s">
        <v>1398</v>
      </c>
      <c r="C1166" s="99"/>
      <c r="D1166" s="100" t="s">
        <v>1399</v>
      </c>
      <c r="E1166" s="99"/>
    </row>
    <row r="1167">
      <c r="A1167" s="101" t="s">
        <v>1400</v>
      </c>
      <c r="B1167" s="94" t="s">
        <v>1401</v>
      </c>
      <c r="C1167" s="103"/>
      <c r="D1167" s="96" t="s">
        <v>1402</v>
      </c>
      <c r="E1167" s="103"/>
    </row>
    <row r="1168">
      <c r="A1168" s="97" t="s">
        <v>1403</v>
      </c>
      <c r="B1168" s="98" t="s">
        <v>213</v>
      </c>
      <c r="C1168" s="99"/>
      <c r="D1168" s="100" t="str">
        <f t="shared" ref="D1168:D1169" si="47">LOWER(B1168)</f>
        <v>indeedee-f</v>
      </c>
      <c r="E1168" s="99"/>
    </row>
    <row r="1169">
      <c r="A1169" s="101" t="s">
        <v>1404</v>
      </c>
      <c r="B1169" s="94" t="s">
        <v>1405</v>
      </c>
      <c r="C1169" s="103"/>
      <c r="D1169" s="96" t="str">
        <f t="shared" si="47"/>
        <v>zacian-c</v>
      </c>
      <c r="E1169" s="103"/>
    </row>
    <row r="1170">
      <c r="A1170" s="97" t="s">
        <v>1406</v>
      </c>
      <c r="B1170" s="105" t="s">
        <v>1407</v>
      </c>
      <c r="C1170" s="99"/>
      <c r="D1170" s="99"/>
      <c r="E1170" s="99"/>
    </row>
    <row r="1171">
      <c r="A1171" s="101">
        <v>892.0</v>
      </c>
      <c r="B1171" s="94" t="s">
        <v>1408</v>
      </c>
      <c r="C1171" s="103"/>
      <c r="D1171" s="103"/>
      <c r="E1171" s="103"/>
    </row>
    <row r="1172">
      <c r="A1172" s="97" t="s">
        <v>1409</v>
      </c>
      <c r="B1172" s="105" t="s">
        <v>1410</v>
      </c>
      <c r="C1172" s="99"/>
      <c r="D1172" s="99"/>
      <c r="E1172" s="99"/>
    </row>
    <row r="1173">
      <c r="A1173" s="101" t="s">
        <v>1411</v>
      </c>
      <c r="B1173" s="94" t="s">
        <v>1412</v>
      </c>
      <c r="C1173" s="103"/>
      <c r="D1173" s="103"/>
      <c r="E1173" s="103"/>
    </row>
    <row r="1174">
      <c r="A1174" s="97" t="s">
        <v>1413</v>
      </c>
      <c r="B1174" s="105" t="s">
        <v>1414</v>
      </c>
      <c r="C1174" s="99"/>
      <c r="D1174" s="99"/>
      <c r="E1174" s="99"/>
    </row>
    <row r="1175">
      <c r="A1175" s="101" t="s">
        <v>1415</v>
      </c>
      <c r="B1175" s="94" t="s">
        <v>1416</v>
      </c>
      <c r="C1175" s="103"/>
      <c r="D1175" s="103"/>
      <c r="E1175" s="103"/>
    </row>
    <row r="1176">
      <c r="A1176" s="97" t="s">
        <v>1417</v>
      </c>
      <c r="B1176" s="105" t="s">
        <v>1418</v>
      </c>
      <c r="C1176" s="99"/>
      <c r="D1176" s="99"/>
      <c r="E1176" s="99"/>
    </row>
  </sheetData>
  <mergeCells count="4">
    <mergeCell ref="A1:A2"/>
    <mergeCell ref="B1:B2"/>
    <mergeCell ref="C1:C2"/>
    <mergeCell ref="D1:E2"/>
  </mergeCells>
  <hyperlinks>
    <hyperlink r:id="rId1" ref="A1085"/>
    <hyperlink r:id="rId2" ref="A1086"/>
    <hyperlink r:id="rId3" ref="A1087"/>
    <hyperlink r:id="rId4" ref="A1088"/>
    <hyperlink r:id="rId5" ref="A1089"/>
    <hyperlink r:id="rId6" ref="A1090"/>
    <hyperlink r:id="rId7" ref="A1091"/>
    <hyperlink r:id="rId8" ref="A1092"/>
    <hyperlink r:id="rId9" ref="A1093"/>
    <hyperlink r:id="rId10" ref="A1094"/>
    <hyperlink r:id="rId11" ref="A1095"/>
    <hyperlink r:id="rId12" ref="A1096"/>
    <hyperlink r:id="rId13" ref="A1097"/>
    <hyperlink r:id="rId14" ref="A1098"/>
    <hyperlink r:id="rId15" ref="A1099"/>
    <hyperlink r:id="rId16" ref="A1100"/>
    <hyperlink r:id="rId17" ref="A1101"/>
    <hyperlink r:id="rId18" ref="A1102"/>
    <hyperlink r:id="rId19" ref="A1103"/>
    <hyperlink r:id="rId20" ref="A1104"/>
    <hyperlink r:id="rId21" ref="A1105"/>
    <hyperlink r:id="rId22" ref="A1106"/>
    <hyperlink r:id="rId23" ref="A1107"/>
    <hyperlink r:id="rId24" ref="A1118"/>
    <hyperlink r:id="rId25" ref="A1119"/>
    <hyperlink r:id="rId26" ref="A1120"/>
  </hyperlinks>
  <drawing r:id="rId27"/>
</worksheet>
</file>