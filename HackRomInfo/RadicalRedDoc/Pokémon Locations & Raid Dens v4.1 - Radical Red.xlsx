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Grass &amp; Caves" sheetId="2" r:id="rId6"/>
    <sheet state="visible" name="Fishing &amp; Surfing" sheetId="3" r:id="rId7"/>
    <sheet state="visible" name="Safari Zone" sheetId="4" r:id="rId8"/>
    <sheet state="visible" name="Fossils" sheetId="5" r:id="rId9"/>
    <sheet state="visible" name="Statics &amp; Special Pokemon" sheetId="6" r:id="rId10"/>
    <sheet state="visible" name="Raid Dens" sheetId="7" r:id="rId11"/>
    <sheet state="visible" name="Egg Vendor &amp; Game Corner" sheetId="8" r:id="rId12"/>
    <sheet state="visible" name="Trades" sheetId="9" r:id="rId13"/>
    <sheet state="visible" name="Gifts" sheetId="10" r:id="rId14"/>
    <sheet state="visible" name="Mystery Gifts" sheetId="11" r:id="rId15"/>
    <sheet state="visible" name="Unobtainables" sheetId="12" r:id="rId16"/>
    <sheet state="hidden" name="Source" sheetId="13" r:id="rId17"/>
    <sheet state="hidden" name="Dex" sheetId="14" r:id="rId18"/>
  </sheets>
  <definedNames>
    <definedName localSheetId="13" name="tier">Dex!$B$3:$B$1177</definedName>
    <definedName localSheetId="13" name="cost">#REF!</definedName>
    <definedName localSheetId="13" name="mons">Dex!$B$3:$B$1177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R11">
      <text>
        <t xml:space="preserve">The DexNav wil search for a random form instead.</t>
      </text>
    </comment>
    <comment authorId="0" ref="BR13">
      <text>
        <t xml:space="preserve">The DexNav wil search for a random form instead.</t>
      </text>
    </comment>
    <comment authorId="0" ref="AI14">
      <text>
        <t xml:space="preserve">The DexNav wil search for a random form instead.</t>
      </text>
    </comment>
    <comment authorId="0" ref="BR14">
      <text>
        <t xml:space="preserve">The DexNav wil search for a random form instead.</t>
      </text>
    </comment>
    <comment authorId="0" ref="BR28">
      <text>
        <t xml:space="preserve">The DexNav wil search for a random form instead.</t>
      </text>
    </comment>
    <comment authorId="0" ref="BR29">
      <text>
        <t xml:space="preserve">The DexNav wil search for a random form instead.</t>
      </text>
    </comment>
  </commentList>
</comments>
</file>

<file path=xl/sharedStrings.xml><?xml version="1.0" encoding="utf-8"?>
<sst xmlns="http://schemas.openxmlformats.org/spreadsheetml/2006/main" count="9842" uniqueCount="1897">
  <si>
    <t>Check the different tabs at the bottom to navigate through encounter tables, or click/tap the links in the boxes on the right to access these tabs.</t>
  </si>
  <si>
    <t>Grass &amp; Caves</t>
  </si>
  <si>
    <t>Fishing &amp; Surfing</t>
  </si>
  <si>
    <t>Safari Zone</t>
  </si>
  <si>
    <t>Fossils</t>
  </si>
  <si>
    <t>Statics &amp; Special Pokémon</t>
  </si>
  <si>
    <t>Raid Dens</t>
  </si>
  <si>
    <t>Egg Vendor &amp; Game Corner</t>
  </si>
  <si>
    <t>Trades</t>
  </si>
  <si>
    <t>Gifts</t>
  </si>
  <si>
    <t>Mystery Gifts</t>
  </si>
  <si>
    <t>Unobtainables</t>
  </si>
  <si>
    <t>ROUTE 1</t>
  </si>
  <si>
    <t>VIRIDIAN CITY</t>
  </si>
  <si>
    <t>ROUTE 22</t>
  </si>
  <si>
    <t>ROUTE 21A</t>
  </si>
  <si>
    <t>ROUTE 2</t>
  </si>
  <si>
    <t>VIRIDIAN FOREST</t>
  </si>
  <si>
    <t>FOREST EXPANSION</t>
  </si>
  <si>
    <t>DIGLETT CAVE</t>
  </si>
  <si>
    <t>PEWTER CITY</t>
  </si>
  <si>
    <t>ROUTE 3</t>
  </si>
  <si>
    <t>MT MOON 1F</t>
  </si>
  <si>
    <t>MT MOON B1F</t>
  </si>
  <si>
    <t>MT MOON B2F</t>
  </si>
  <si>
    <t>ROUTE 4</t>
  </si>
  <si>
    <t>ROUTE 24</t>
  </si>
  <si>
    <t>ROUTE 25</t>
  </si>
  <si>
    <t>ROUTE 5</t>
  </si>
  <si>
    <t>ROUTE 6</t>
  </si>
  <si>
    <t>ROUTE 11</t>
  </si>
  <si>
    <t>DIGLETT CAVE B1F</t>
  </si>
  <si>
    <t>ROUTE 9</t>
  </si>
  <si>
    <t>ROUTE 10</t>
  </si>
  <si>
    <t>ROCK TUNNEL 1F</t>
  </si>
  <si>
    <t>ROCK TUNNEL B1F</t>
  </si>
  <si>
    <t>ROUTE 7</t>
  </si>
  <si>
    <t>ROUTE 8</t>
  </si>
  <si>
    <t>PKMN TOWER 3&amp;5F</t>
  </si>
  <si>
    <t>PKMN TOWER 4F</t>
  </si>
  <si>
    <t>PKMN TOWER 6F</t>
  </si>
  <si>
    <t>PKMN TOWER 7F</t>
  </si>
  <si>
    <t>ROUTE 16</t>
  </si>
  <si>
    <t>ROUTE 17</t>
  </si>
  <si>
    <t>ROUTE 18</t>
  </si>
  <si>
    <t>ROUTE 12</t>
  </si>
  <si>
    <t>ROUTE 13</t>
  </si>
  <si>
    <t>ROUTE 14</t>
  </si>
  <si>
    <t>ROUTE 15</t>
  </si>
  <si>
    <t>ROUTE 23</t>
  </si>
  <si>
    <t>SEAFOAM 1F</t>
  </si>
  <si>
    <t>SEAFOAM B1F</t>
  </si>
  <si>
    <t>SEAFOAM B2F</t>
  </si>
  <si>
    <t>SEAFOAM B3F</t>
  </si>
  <si>
    <t>SEAFOAM B4F</t>
  </si>
  <si>
    <t>MANSION 1F</t>
  </si>
  <si>
    <t>MANSION 2F</t>
  </si>
  <si>
    <t>MANSION 3F</t>
  </si>
  <si>
    <t>MANSION B1F</t>
  </si>
  <si>
    <t>POWER PLANT</t>
  </si>
  <si>
    <t>CERULEAN CAVE 1F</t>
  </si>
  <si>
    <t>CERULEAN CAVE 2F</t>
  </si>
  <si>
    <t>CERULEAN CAVE B1F</t>
  </si>
  <si>
    <t>MANSION 4F</t>
  </si>
  <si>
    <t>GOUGING'S ROOM</t>
  </si>
  <si>
    <t>VICTORY ROAD 1F</t>
  </si>
  <si>
    <t>VICTORY ROAD 2F</t>
  </si>
  <si>
    <t>VICTORY ROAD 3F</t>
  </si>
  <si>
    <t>P  O  S  T     -    G  A  M  E</t>
  </si>
  <si>
    <t>KINDLE ROAD</t>
  </si>
  <si>
    <t>MT. EMBER EXTERIOR</t>
  </si>
  <si>
    <t>MT. EMBER 1F</t>
  </si>
  <si>
    <t>TREASURE BEACH</t>
  </si>
  <si>
    <t>ROCK TUNNEL (SECRET)</t>
  </si>
  <si>
    <t>CAPE BRINK</t>
  </si>
  <si>
    <t>BOND BRIDGE</t>
  </si>
  <si>
    <t>BERRY FOREST</t>
  </si>
  <si>
    <t>PKMN TOWER 8F</t>
  </si>
  <si>
    <t>PKMN TOWER 9F</t>
  </si>
  <si>
    <t>THREE ISLAND</t>
  </si>
  <si>
    <t>Rarity</t>
  </si>
  <si>
    <t>Pokémon</t>
  </si>
  <si>
    <t>Level</t>
  </si>
  <si>
    <t>Bidoof</t>
  </si>
  <si>
    <t>Shinx</t>
  </si>
  <si>
    <t>Starly</t>
  </si>
  <si>
    <t>Wooper</t>
  </si>
  <si>
    <t>Caterpie</t>
  </si>
  <si>
    <t>Diglett</t>
  </si>
  <si>
    <t>Grimer</t>
  </si>
  <si>
    <t>Fletchling</t>
  </si>
  <si>
    <t>Geodude</t>
  </si>
  <si>
    <t>Paras</t>
  </si>
  <si>
    <t>Varoom</t>
  </si>
  <si>
    <t>Pidove</t>
  </si>
  <si>
    <t>13-15</t>
  </si>
  <si>
    <t>Snubbull</t>
  </si>
  <si>
    <t>14-16</t>
  </si>
  <si>
    <t>Swablu</t>
  </si>
  <si>
    <t>16-18</t>
  </si>
  <si>
    <t>Meowth</t>
  </si>
  <si>
    <t>18-20</t>
  </si>
  <si>
    <t>Sunkern</t>
  </si>
  <si>
    <t>Stufful</t>
  </si>
  <si>
    <t>23-25</t>
  </si>
  <si>
    <t>Shelmet</t>
  </si>
  <si>
    <t>25-27</t>
  </si>
  <si>
    <t>Voltorb</t>
  </si>
  <si>
    <t>27-29</t>
  </si>
  <si>
    <t>Graveler</t>
  </si>
  <si>
    <t>29-31</t>
  </si>
  <si>
    <t>Sandslash</t>
  </si>
  <si>
    <t>30-32</t>
  </si>
  <si>
    <t>Deerling</t>
  </si>
  <si>
    <t>36-38</t>
  </si>
  <si>
    <t>Fomantis</t>
  </si>
  <si>
    <t>33-35</t>
  </si>
  <si>
    <t>Haunter</t>
  </si>
  <si>
    <t>45-47</t>
  </si>
  <si>
    <t>Heracross</t>
  </si>
  <si>
    <t>Weezing</t>
  </si>
  <si>
    <t>46-48</t>
  </si>
  <si>
    <t>Xatu</t>
  </si>
  <si>
    <t>49-51</t>
  </si>
  <si>
    <t>Sneasel</t>
  </si>
  <si>
    <t>50-52</t>
  </si>
  <si>
    <t>Tangrowth</t>
  </si>
  <si>
    <t>48-50</t>
  </si>
  <si>
    <t>Pelipper</t>
  </si>
  <si>
    <t>Amoonguss</t>
  </si>
  <si>
    <t>Primeape</t>
  </si>
  <si>
    <t>Piloswine</t>
  </si>
  <si>
    <t>62-64</t>
  </si>
  <si>
    <t>Abomasnow</t>
  </si>
  <si>
    <t>Raticate</t>
  </si>
  <si>
    <t>63-65</t>
  </si>
  <si>
    <t>Gumshoos</t>
  </si>
  <si>
    <t>Bewear</t>
  </si>
  <si>
    <t>Magneton</t>
  </si>
  <si>
    <t>Parasect</t>
  </si>
  <si>
    <t>68-70</t>
  </si>
  <si>
    <t>Brute Bonnet</t>
  </si>
  <si>
    <t>Iron Treads</t>
  </si>
  <si>
    <t>Unown</t>
  </si>
  <si>
    <t>75-77</t>
  </si>
  <si>
    <t>Iron Valiant</t>
  </si>
  <si>
    <t>80-82</t>
  </si>
  <si>
    <t>Baxcalibur</t>
  </si>
  <si>
    <t>Dragonite</t>
  </si>
  <si>
    <t>Absol</t>
  </si>
  <si>
    <t>83-85</t>
  </si>
  <si>
    <t>Doduo-Sevii</t>
  </si>
  <si>
    <t>60-65</t>
  </si>
  <si>
    <t>Torkoal</t>
  </si>
  <si>
    <t>85-85</t>
  </si>
  <si>
    <t>Sirfetch'd</t>
  </si>
  <si>
    <t>Ursaluna</t>
  </si>
  <si>
    <t>Electrode-Hisui</t>
  </si>
  <si>
    <t>Decidueye-Hisui</t>
  </si>
  <si>
    <t>Carnivine-Sevii</t>
  </si>
  <si>
    <t>Teddiursa-Sevii</t>
  </si>
  <si>
    <t>Wishiwashi-Sevii</t>
  </si>
  <si>
    <t>Dunsparce</t>
  </si>
  <si>
    <t>Zigzagoon</t>
  </si>
  <si>
    <t>Wooloo</t>
  </si>
  <si>
    <t>Budew</t>
  </si>
  <si>
    <t>Lechonk</t>
  </si>
  <si>
    <t>Sentret</t>
  </si>
  <si>
    <t>Weedle</t>
  </si>
  <si>
    <t>Nacli</t>
  </si>
  <si>
    <t>Ekans</t>
  </si>
  <si>
    <t>Zubat</t>
  </si>
  <si>
    <t>Bellsprout</t>
  </si>
  <si>
    <t>Petilil</t>
  </si>
  <si>
    <t>Taillow</t>
  </si>
  <si>
    <t>Hatenna</t>
  </si>
  <si>
    <t>Cherubi</t>
  </si>
  <si>
    <t>Ducklett</t>
  </si>
  <si>
    <t>Exeggcute</t>
  </si>
  <si>
    <t>Helioptile</t>
  </si>
  <si>
    <t>Aron</t>
  </si>
  <si>
    <t>Boldore</t>
  </si>
  <si>
    <t>Inkay</t>
  </si>
  <si>
    <t>Minccino</t>
  </si>
  <si>
    <t>Cofagrigus</t>
  </si>
  <si>
    <t>Yanma</t>
  </si>
  <si>
    <t>Cyclizar</t>
  </si>
  <si>
    <t>Vikavolt</t>
  </si>
  <si>
    <t>Dewgong</t>
  </si>
  <si>
    <t>Exeggutor</t>
  </si>
  <si>
    <t>Swadloon</t>
  </si>
  <si>
    <t>Ambipom</t>
  </si>
  <si>
    <t>Fearow</t>
  </si>
  <si>
    <t>Snorunt</t>
  </si>
  <si>
    <t>Darmanitan-Galar</t>
  </si>
  <si>
    <t>Snover</t>
  </si>
  <si>
    <t>Audino</t>
  </si>
  <si>
    <t>Garbodor</t>
  </si>
  <si>
    <t>Seviper</t>
  </si>
  <si>
    <t>Electrode</t>
  </si>
  <si>
    <t>Golbat</t>
  </si>
  <si>
    <t>Great Tusk</t>
  </si>
  <si>
    <t>Noivern</t>
  </si>
  <si>
    <t>Metagross</t>
  </si>
  <si>
    <t>Garchomp</t>
  </si>
  <si>
    <t>Iron Bundle</t>
  </si>
  <si>
    <t>Smeargle</t>
  </si>
  <si>
    <t>Coalossal</t>
  </si>
  <si>
    <t>Magcargo</t>
  </si>
  <si>
    <t>84-85</t>
  </si>
  <si>
    <t>Noibat-Sevii</t>
  </si>
  <si>
    <t>Blitzle-Sevii</t>
  </si>
  <si>
    <t>Sneasel-Hisui</t>
  </si>
  <si>
    <t>Nymble-Sevii</t>
  </si>
  <si>
    <t>Zoroark-Hisui</t>
  </si>
  <si>
    <t>Typhlosion-Hisui</t>
  </si>
  <si>
    <t>Clauncher-Sevii</t>
  </si>
  <si>
    <t>Rattata</t>
  </si>
  <si>
    <t>Poochyena</t>
  </si>
  <si>
    <t>Mankey</t>
  </si>
  <si>
    <t>Wiglett</t>
  </si>
  <si>
    <t>Ponyta</t>
  </si>
  <si>
    <t>Pikachu</t>
  </si>
  <si>
    <t>Natu</t>
  </si>
  <si>
    <t>Numel</t>
  </si>
  <si>
    <t>Spearow</t>
  </si>
  <si>
    <t>Rockruff</t>
  </si>
  <si>
    <t>Rolycoly</t>
  </si>
  <si>
    <t>Pawniard</t>
  </si>
  <si>
    <t>Yamper</t>
  </si>
  <si>
    <t>Pineco</t>
  </si>
  <si>
    <t>Solosis</t>
  </si>
  <si>
    <t>Gulpin</t>
  </si>
  <si>
    <t>Drowzee</t>
  </si>
  <si>
    <t>Stunfisk</t>
  </si>
  <si>
    <t>Darumaka</t>
  </si>
  <si>
    <t>Blitzle</t>
  </si>
  <si>
    <t>Shuckle</t>
  </si>
  <si>
    <t>Swinub</t>
  </si>
  <si>
    <t>Rufflet</t>
  </si>
  <si>
    <t>Vanillite</t>
  </si>
  <si>
    <t>Dusclops</t>
  </si>
  <si>
    <t>Rhyhorn</t>
  </si>
  <si>
    <t>Muk</t>
  </si>
  <si>
    <t>Poliwrath</t>
  </si>
  <si>
    <t>Walrein</t>
  </si>
  <si>
    <t>Roselia</t>
  </si>
  <si>
    <t>Tsareena</t>
  </si>
  <si>
    <t>Simisage</t>
  </si>
  <si>
    <t>Beartic</t>
  </si>
  <si>
    <t>Vanilluxe</t>
  </si>
  <si>
    <t>Ninetales-Alola</t>
  </si>
  <si>
    <t>Ariados</t>
  </si>
  <si>
    <t>Zebstrika</t>
  </si>
  <si>
    <t>Machamp</t>
  </si>
  <si>
    <t>Medicham</t>
  </si>
  <si>
    <t>Meganium</t>
  </si>
  <si>
    <t>Cinderace</t>
  </si>
  <si>
    <t>Goodra</t>
  </si>
  <si>
    <t>Tyranitar</t>
  </si>
  <si>
    <t>Dragapult</t>
  </si>
  <si>
    <t>Alcremie-Strbrry</t>
  </si>
  <si>
    <t>Darmanitan</t>
  </si>
  <si>
    <t>Ninetales</t>
  </si>
  <si>
    <t>Lilligant</t>
  </si>
  <si>
    <t>Copperajah</t>
  </si>
  <si>
    <t>Lilligant-Hisui</t>
  </si>
  <si>
    <t>Hatterene</t>
  </si>
  <si>
    <t>Ursaluna-BM</t>
  </si>
  <si>
    <t>Flutter Mane</t>
  </si>
  <si>
    <t>Goodra-Hisui</t>
  </si>
  <si>
    <t>Mienfoo</t>
  </si>
  <si>
    <t>Morelull</t>
  </si>
  <si>
    <t>Phanpy</t>
  </si>
  <si>
    <t>Burmy-Sandy</t>
  </si>
  <si>
    <t>Burmy</t>
  </si>
  <si>
    <t>Yamask</t>
  </si>
  <si>
    <t>Spoink</t>
  </si>
  <si>
    <t>Nidoran-M</t>
  </si>
  <si>
    <t>Timburr</t>
  </si>
  <si>
    <t>Slugma</t>
  </si>
  <si>
    <t>Pachirisu</t>
  </si>
  <si>
    <t>Charcadet</t>
  </si>
  <si>
    <t>Tadbulb</t>
  </si>
  <si>
    <t>Growlithe</t>
  </si>
  <si>
    <t>Furfrou</t>
  </si>
  <si>
    <t>Baltoy</t>
  </si>
  <si>
    <t>Silicobra</t>
  </si>
  <si>
    <t>Dewpider</t>
  </si>
  <si>
    <t>Pincurchin</t>
  </si>
  <si>
    <t>Solrock</t>
  </si>
  <si>
    <t>Bouffalant</t>
  </si>
  <si>
    <t>Mismagius</t>
  </si>
  <si>
    <t>Annihilape</t>
  </si>
  <si>
    <t>Skorupi</t>
  </si>
  <si>
    <t>Glalie</t>
  </si>
  <si>
    <t>Lurantis</t>
  </si>
  <si>
    <t>Galvantula</t>
  </si>
  <si>
    <t>Simisear</t>
  </si>
  <si>
    <t>Swalot</t>
  </si>
  <si>
    <t>Eelektross</t>
  </si>
  <si>
    <t>Steelix</t>
  </si>
  <si>
    <t>Mawile</t>
  </si>
  <si>
    <t>Patrat</t>
  </si>
  <si>
    <t>Dwebble</t>
  </si>
  <si>
    <t>Meditite</t>
  </si>
  <si>
    <t>Sewaddle</t>
  </si>
  <si>
    <t>Combee</t>
  </si>
  <si>
    <t>Sandshrew</t>
  </si>
  <si>
    <t>Hoppip</t>
  </si>
  <si>
    <t>Nickit</t>
  </si>
  <si>
    <t>Woobat</t>
  </si>
  <si>
    <t>Cranidos</t>
  </si>
  <si>
    <t>Glameow</t>
  </si>
  <si>
    <t>Elekid</t>
  </si>
  <si>
    <t>Karrablast</t>
  </si>
  <si>
    <t>Swirlix</t>
  </si>
  <si>
    <t>Sizzlipede</t>
  </si>
  <si>
    <t>Maractus</t>
  </si>
  <si>
    <t>Golett</t>
  </si>
  <si>
    <t>Indeedee</t>
  </si>
  <si>
    <t>Plusle</t>
  </si>
  <si>
    <t>Carkol</t>
  </si>
  <si>
    <t>Bronzor</t>
  </si>
  <si>
    <t>Cutiefly</t>
  </si>
  <si>
    <t>Cufant</t>
  </si>
  <si>
    <t>Grumpig</t>
  </si>
  <si>
    <t>Altaria</t>
  </si>
  <si>
    <t>Throh</t>
  </si>
  <si>
    <t>Whirlipede</t>
  </si>
  <si>
    <t>Simipour</t>
  </si>
  <si>
    <t>Slowbro</t>
  </si>
  <si>
    <t>Slowking</t>
  </si>
  <si>
    <t>Crawdaunt</t>
  </si>
  <si>
    <t>Heatmor</t>
  </si>
  <si>
    <t>Rapidash</t>
  </si>
  <si>
    <t>Magmar</t>
  </si>
  <si>
    <t>Ampharos</t>
  </si>
  <si>
    <t>Lopunny</t>
  </si>
  <si>
    <t>Quaquaval</t>
  </si>
  <si>
    <t>Typhlosion</t>
  </si>
  <si>
    <t>Centiskorch</t>
  </si>
  <si>
    <t>Pyroar</t>
  </si>
  <si>
    <t>Flygon</t>
  </si>
  <si>
    <t>Stunfisk-Galar</t>
  </si>
  <si>
    <t>Slowbro-Galar</t>
  </si>
  <si>
    <t>Crustle</t>
  </si>
  <si>
    <t>Pinsir</t>
  </si>
  <si>
    <t>Mimikyu</t>
  </si>
  <si>
    <t>Spiritomb</t>
  </si>
  <si>
    <t>Samurott-Hisui</t>
  </si>
  <si>
    <t>Yungoos</t>
  </si>
  <si>
    <t>Cubchoo</t>
  </si>
  <si>
    <t>Lillipup</t>
  </si>
  <si>
    <t>Scatterbug</t>
  </si>
  <si>
    <t>Kricketot</t>
  </si>
  <si>
    <t>Shroomish</t>
  </si>
  <si>
    <t>Chewtle</t>
  </si>
  <si>
    <t>Teddiursa</t>
  </si>
  <si>
    <t>Drilbur</t>
  </si>
  <si>
    <t>Tandemaus</t>
  </si>
  <si>
    <t>Volbeat</t>
  </si>
  <si>
    <t>Doduo</t>
  </si>
  <si>
    <t>Dedenne</t>
  </si>
  <si>
    <t>Bunnelby</t>
  </si>
  <si>
    <t>Sandile</t>
  </si>
  <si>
    <t>Skitty</t>
  </si>
  <si>
    <t>Carbink</t>
  </si>
  <si>
    <t>Bonsly</t>
  </si>
  <si>
    <t>Applin</t>
  </si>
  <si>
    <t>Venipede</t>
  </si>
  <si>
    <t>Cubone</t>
  </si>
  <si>
    <t>Durant</t>
  </si>
  <si>
    <t>Cetitan</t>
  </si>
  <si>
    <t>Jumpluff</t>
  </si>
  <si>
    <t>Oricorio</t>
  </si>
  <si>
    <t>Liepard</t>
  </si>
  <si>
    <t>Salazzle</t>
  </si>
  <si>
    <t>Skuntank</t>
  </si>
  <si>
    <t>Mightyena</t>
  </si>
  <si>
    <t>Salamence</t>
  </si>
  <si>
    <t>Lucario</t>
  </si>
  <si>
    <t>Toxtricity</t>
  </si>
  <si>
    <t>Dodrio-Sevii</t>
  </si>
  <si>
    <t>Pidgey</t>
  </si>
  <si>
    <t>Deerling-Summer</t>
  </si>
  <si>
    <t>Oddish</t>
  </si>
  <si>
    <t>Wingull</t>
  </si>
  <si>
    <t>Mareep</t>
  </si>
  <si>
    <t>Ledyba</t>
  </si>
  <si>
    <t>Slakoth</t>
  </si>
  <si>
    <t>Trapinch</t>
  </si>
  <si>
    <t>Buneary</t>
  </si>
  <si>
    <t>Makuhita</t>
  </si>
  <si>
    <t>Tinkatink</t>
  </si>
  <si>
    <t>Mudbray</t>
  </si>
  <si>
    <t>Pumpkaboo</t>
  </si>
  <si>
    <t>Marill</t>
  </si>
  <si>
    <t>Aipom</t>
  </si>
  <si>
    <t>Vulpix</t>
  </si>
  <si>
    <t>Lickitung</t>
  </si>
  <si>
    <t>Crabrawler</t>
  </si>
  <si>
    <t>Mime Jr.</t>
  </si>
  <si>
    <t>Minior</t>
  </si>
  <si>
    <t>Cetoddle</t>
  </si>
  <si>
    <t>Passimian</t>
  </si>
  <si>
    <t>Comfey</t>
  </si>
  <si>
    <t>Togedemaru</t>
  </si>
  <si>
    <t>Skarmory</t>
  </si>
  <si>
    <t>Toxicroak</t>
  </si>
  <si>
    <t>Avalugg</t>
  </si>
  <si>
    <t>Bulbasaur</t>
  </si>
  <si>
    <t>Charjabug</t>
  </si>
  <si>
    <t>Sigilyph</t>
  </si>
  <si>
    <t>Arcanine</t>
  </si>
  <si>
    <t>Houndoom</t>
  </si>
  <si>
    <t>Armarouge</t>
  </si>
  <si>
    <t>Seismitoad</t>
  </si>
  <si>
    <t>Alakazam</t>
  </si>
  <si>
    <t>Empoleon</t>
  </si>
  <si>
    <t>Blaziken</t>
  </si>
  <si>
    <t>Volcarona</t>
  </si>
  <si>
    <t>Scizor</t>
  </si>
  <si>
    <t>Gardevoir</t>
  </si>
  <si>
    <t>Klefki</t>
  </si>
  <si>
    <t>Arcanine-Hisui</t>
  </si>
  <si>
    <t>Morpeko</t>
  </si>
  <si>
    <t>Braviary-Hisui</t>
  </si>
  <si>
    <t>Sandaconda</t>
  </si>
  <si>
    <t>Greavard</t>
  </si>
  <si>
    <t>Sandygast</t>
  </si>
  <si>
    <t>Litleo</t>
  </si>
  <si>
    <t>Surskit</t>
  </si>
  <si>
    <t>Grubbin</t>
  </si>
  <si>
    <t>Sinistea</t>
  </si>
  <si>
    <t>Smoochum</t>
  </si>
  <si>
    <t>Flabébé</t>
  </si>
  <si>
    <t>Farfetch'd</t>
  </si>
  <si>
    <t>Whismur</t>
  </si>
  <si>
    <t>Gligar</t>
  </si>
  <si>
    <t>Ferroseed</t>
  </si>
  <si>
    <t>Sableye</t>
  </si>
  <si>
    <t>Aegislash</t>
  </si>
  <si>
    <t>Aerodactyl</t>
  </si>
  <si>
    <t>Smoliv</t>
  </si>
  <si>
    <t>Pikipek</t>
  </si>
  <si>
    <t>Fidough</t>
  </si>
  <si>
    <t>Bramblin</t>
  </si>
  <si>
    <t>Tyrogue</t>
  </si>
  <si>
    <t>Shuppet</t>
  </si>
  <si>
    <t>Pumpkaboo-Sm</t>
  </si>
  <si>
    <t>Ralts</t>
  </si>
  <si>
    <t>Squawkabilly-G</t>
  </si>
  <si>
    <t>Flittle</t>
  </si>
  <si>
    <t>Flamigo</t>
  </si>
  <si>
    <t>Tropius</t>
  </si>
  <si>
    <t>Magnemite</t>
  </si>
  <si>
    <t>Stonjourner</t>
  </si>
  <si>
    <t>Girafarig</t>
  </si>
  <si>
    <t>Polteageist</t>
  </si>
  <si>
    <t>Houndstone</t>
  </si>
  <si>
    <t>Orthworm</t>
  </si>
  <si>
    <t>Drampa</t>
  </si>
  <si>
    <t>Kabutops</t>
  </si>
  <si>
    <t>Mr. Mime-Galar</t>
  </si>
  <si>
    <t>Exeggutor-Alola</t>
  </si>
  <si>
    <t>Ferrothorn</t>
  </si>
  <si>
    <t>Cryogonal</t>
  </si>
  <si>
    <t>Frosmoth</t>
  </si>
  <si>
    <t>Banette</t>
  </si>
  <si>
    <t>Krookodile</t>
  </si>
  <si>
    <t>Electabuzz</t>
  </si>
  <si>
    <t>Duraludon</t>
  </si>
  <si>
    <t>Excadrill</t>
  </si>
  <si>
    <t>Marowak</t>
  </si>
  <si>
    <t>Kommo-o</t>
  </si>
  <si>
    <t>Kingler</t>
  </si>
  <si>
    <t>Grapploct</t>
  </si>
  <si>
    <t>Gliscor</t>
  </si>
  <si>
    <t>Roserade</t>
  </si>
  <si>
    <t>Cursola</t>
  </si>
  <si>
    <t>Abra</t>
  </si>
  <si>
    <t>Pumpkaboo-Su</t>
  </si>
  <si>
    <t>Machop</t>
  </si>
  <si>
    <t>Stunky</t>
  </si>
  <si>
    <t>Clefairy</t>
  </si>
  <si>
    <t>Dugtrio</t>
  </si>
  <si>
    <t>Sinistcha</t>
  </si>
  <si>
    <t>Pansear</t>
  </si>
  <si>
    <t>Panpour</t>
  </si>
  <si>
    <t>Capsakid</t>
  </si>
  <si>
    <t>Pansage</t>
  </si>
  <si>
    <t>Joltik</t>
  </si>
  <si>
    <t>Nymble</t>
  </si>
  <si>
    <t>Noibat</t>
  </si>
  <si>
    <t>Axew</t>
  </si>
  <si>
    <t>Jigglypuff</t>
  </si>
  <si>
    <t>Elgyem</t>
  </si>
  <si>
    <t>Onix</t>
  </si>
  <si>
    <t>Klawf</t>
  </si>
  <si>
    <t>Zangoose</t>
  </si>
  <si>
    <t>Drifloon</t>
  </si>
  <si>
    <t>Togepi</t>
  </si>
  <si>
    <t>Hippopotas</t>
  </si>
  <si>
    <t>Glimmet</t>
  </si>
  <si>
    <t>Porygon</t>
  </si>
  <si>
    <t>Miltank</t>
  </si>
  <si>
    <t>Lampent</t>
  </si>
  <si>
    <t>Rotom</t>
  </si>
  <si>
    <t>Escavalier</t>
  </si>
  <si>
    <t>Dracozolt</t>
  </si>
  <si>
    <t>Arctovish</t>
  </si>
  <si>
    <t>Charmander</t>
  </si>
  <si>
    <t>Golisopod</t>
  </si>
  <si>
    <t>Ditto</t>
  </si>
  <si>
    <t>Staraptor</t>
  </si>
  <si>
    <t>Jynx</t>
  </si>
  <si>
    <t>Delibird</t>
  </si>
  <si>
    <t>Chimecho</t>
  </si>
  <si>
    <t>Type: Null</t>
  </si>
  <si>
    <t>Meltan</t>
  </si>
  <si>
    <t>Scyther</t>
  </si>
  <si>
    <t>Hawlucha</t>
  </si>
  <si>
    <t>Corviknight</t>
  </si>
  <si>
    <t>Meowth-Alola</t>
  </si>
  <si>
    <t>Riolu</t>
  </si>
  <si>
    <t>Rookidee</t>
  </si>
  <si>
    <t>Dracovish</t>
  </si>
  <si>
    <t>Arctozolt</t>
  </si>
  <si>
    <t>Pawmi</t>
  </si>
  <si>
    <t>Wooper-Paldea</t>
  </si>
  <si>
    <t>Spinarak</t>
  </si>
  <si>
    <t>Tarountula</t>
  </si>
  <si>
    <t>Diglett-Alola</t>
  </si>
  <si>
    <t>Grimer-Alola</t>
  </si>
  <si>
    <t>Geodude-Alola</t>
  </si>
  <si>
    <t>Meowth-Galar</t>
  </si>
  <si>
    <t>Bounsweet</t>
  </si>
  <si>
    <t>Pancham</t>
  </si>
  <si>
    <t>Voltorb-Hisui</t>
  </si>
  <si>
    <t>Graveler-Alola</t>
  </si>
  <si>
    <t>Bergmite</t>
  </si>
  <si>
    <t>Deerling-Winter</t>
  </si>
  <si>
    <t>Foongus</t>
  </si>
  <si>
    <t>Weezing-Galar</t>
  </si>
  <si>
    <t>Talonflame</t>
  </si>
  <si>
    <t>Sandslash-Alola</t>
  </si>
  <si>
    <t>Raticate-Alola</t>
  </si>
  <si>
    <t>Obstagoon</t>
  </si>
  <si>
    <t>Komala</t>
  </si>
  <si>
    <t>Zigzagoon-Galar</t>
  </si>
  <si>
    <t>Sandshrew-Alola</t>
  </si>
  <si>
    <t>Wurmple</t>
  </si>
  <si>
    <t>Blipbug</t>
  </si>
  <si>
    <t>Cottonee</t>
  </si>
  <si>
    <t>Gossifleur</t>
  </si>
  <si>
    <t>Electrike</t>
  </si>
  <si>
    <t>Runerigus</t>
  </si>
  <si>
    <t>Forretress</t>
  </si>
  <si>
    <t>Roaring Moon</t>
  </si>
  <si>
    <t>Rattata-Alola</t>
  </si>
  <si>
    <t>Ponyta-Galar</t>
  </si>
  <si>
    <t>Chingling</t>
  </si>
  <si>
    <t>Roggenrola</t>
  </si>
  <si>
    <t>Venonat</t>
  </si>
  <si>
    <t>Gothita</t>
  </si>
  <si>
    <t>Trubbish</t>
  </si>
  <si>
    <t>Salandit</t>
  </si>
  <si>
    <t>Vullaby</t>
  </si>
  <si>
    <t>Muk-Alola</t>
  </si>
  <si>
    <t>Politoed</t>
  </si>
  <si>
    <t>Manectric</t>
  </si>
  <si>
    <t>Conkeldurr</t>
  </si>
  <si>
    <t>Pangoro</t>
  </si>
  <si>
    <t>Meowscarada</t>
  </si>
  <si>
    <t>Infernape</t>
  </si>
  <si>
    <t>Aggron</t>
  </si>
  <si>
    <t>Shiftry</t>
  </si>
  <si>
    <t>Gengar</t>
  </si>
  <si>
    <t>Scraggy</t>
  </si>
  <si>
    <t>Burmy-Trash</t>
  </si>
  <si>
    <t>Yamask-Galar</t>
  </si>
  <si>
    <t>Espurr</t>
  </si>
  <si>
    <t>Nidoran-F</t>
  </si>
  <si>
    <t>Vulpix-Alola</t>
  </si>
  <si>
    <t>Lunatone</t>
  </si>
  <si>
    <t>Falinks</t>
  </si>
  <si>
    <t>Froslass</t>
  </si>
  <si>
    <t>Nincada</t>
  </si>
  <si>
    <t>Skiddo</t>
  </si>
  <si>
    <t>Shieldon</t>
  </si>
  <si>
    <t>Magby</t>
  </si>
  <si>
    <t>Spritzee</t>
  </si>
  <si>
    <t>Cacnea</t>
  </si>
  <si>
    <t>Shellos</t>
  </si>
  <si>
    <t>Indeedee-F</t>
  </si>
  <si>
    <t>Minun</t>
  </si>
  <si>
    <t>Nosepass</t>
  </si>
  <si>
    <t>Sawk</t>
  </si>
  <si>
    <t>Palossand</t>
  </si>
  <si>
    <t>Golduck</t>
  </si>
  <si>
    <t>Rapidash-Galar</t>
  </si>
  <si>
    <t>Centiskorch-Sevii</t>
  </si>
  <si>
    <t>Hoothoot</t>
  </si>
  <si>
    <t>Skwovet</t>
  </si>
  <si>
    <t>Tympole</t>
  </si>
  <si>
    <t>Illumise</t>
  </si>
  <si>
    <t>Deerling-Autumn</t>
  </si>
  <si>
    <t>Gastly</t>
  </si>
  <si>
    <t>Shroodle</t>
  </si>
  <si>
    <t>Phantump</t>
  </si>
  <si>
    <t>Buizel</t>
  </si>
  <si>
    <t>Growlithe-Hisui</t>
  </si>
  <si>
    <t>Emolga</t>
  </si>
  <si>
    <t>Oranguru</t>
  </si>
  <si>
    <t>Morgrem</t>
  </si>
  <si>
    <t>Heliolisk</t>
  </si>
  <si>
    <t>Avalugg-Hisui</t>
  </si>
  <si>
    <t>Ceruledge</t>
  </si>
  <si>
    <t>Reuniclus</t>
  </si>
  <si>
    <t>Grimmsnarl</t>
  </si>
  <si>
    <t>Houndour</t>
  </si>
  <si>
    <t>Rellor</t>
  </si>
  <si>
    <t>Poltchageist</t>
  </si>
  <si>
    <t>Munna</t>
  </si>
  <si>
    <t>Murkrow</t>
  </si>
  <si>
    <t>Purrloin</t>
  </si>
  <si>
    <t>Seedot</t>
  </si>
  <si>
    <t>Wattrel</t>
  </si>
  <si>
    <t>Maschiff</t>
  </si>
  <si>
    <t>Toedscool</t>
  </si>
  <si>
    <t>Misdreavus</t>
  </si>
  <si>
    <t>Pumpkaboo-La</t>
  </si>
  <si>
    <t>Squawkabilly-W</t>
  </si>
  <si>
    <t>Bombirdier</t>
  </si>
  <si>
    <t>Stantler</t>
  </si>
  <si>
    <t>Turtonator</t>
  </si>
  <si>
    <t>Omastar</t>
  </si>
  <si>
    <t>Marowak-Alola</t>
  </si>
  <si>
    <t>Dugtrio-Alola</t>
  </si>
  <si>
    <t>Lotad</t>
  </si>
  <si>
    <t>Snom</t>
  </si>
  <si>
    <t>Croagunk</t>
  </si>
  <si>
    <t>OLD ROD</t>
  </si>
  <si>
    <t>PALLET TOWN</t>
  </si>
  <si>
    <t>CERULEAN CITY</t>
  </si>
  <si>
    <t>VERMILLION CITY</t>
  </si>
  <si>
    <t>S.S. ANNE</t>
  </si>
  <si>
    <t>CELADON CITY</t>
  </si>
  <si>
    <t>FUCHSIA CITY</t>
  </si>
  <si>
    <t>ROUTE 19</t>
  </si>
  <si>
    <t>ROUTE 20</t>
  </si>
  <si>
    <t>ROUTE 21B</t>
  </si>
  <si>
    <t>SEAFOAM B3F-B4F</t>
  </si>
  <si>
    <t>CINNABAR ISLAND</t>
  </si>
  <si>
    <t>- Obtained in Viridian City.</t>
  </si>
  <si>
    <t>Tentacool</t>
  </si>
  <si>
    <t>Psyduck</t>
  </si>
  <si>
    <t>Magikarp</t>
  </si>
  <si>
    <t>Carvanha</t>
  </si>
  <si>
    <t>Chinchou</t>
  </si>
  <si>
    <t>Arrokuda</t>
  </si>
  <si>
    <t>Krabby</t>
  </si>
  <si>
    <t>Wimpod</t>
  </si>
  <si>
    <t>Spheal</t>
  </si>
  <si>
    <t>Skrelp</t>
  </si>
  <si>
    <t>Clamperl</t>
  </si>
  <si>
    <t>Feebas</t>
  </si>
  <si>
    <t>Staryu</t>
  </si>
  <si>
    <t>Binacle</t>
  </si>
  <si>
    <t>Corphish</t>
  </si>
  <si>
    <t>Shellder</t>
  </si>
  <si>
    <t>Clauncher</t>
  </si>
  <si>
    <t>Finneon</t>
  </si>
  <si>
    <t>Horsea</t>
  </si>
  <si>
    <t>Tynamo</t>
  </si>
  <si>
    <t>Seel</t>
  </si>
  <si>
    <t>Tatsugiri</t>
  </si>
  <si>
    <t>Goldeen</t>
  </si>
  <si>
    <t>Remoraid</t>
  </si>
  <si>
    <t>Corsola</t>
  </si>
  <si>
    <t>Mareanie</t>
  </si>
  <si>
    <t>GOOD ROD</t>
  </si>
  <si>
    <t>- Obtained in Vermilion City.</t>
  </si>
  <si>
    <t>Barboach</t>
  </si>
  <si>
    <t>Clobbopus</t>
  </si>
  <si>
    <t>Wishiwashi</t>
  </si>
  <si>
    <t>Wailmer</t>
  </si>
  <si>
    <t>Slowpoke-Galar</t>
  </si>
  <si>
    <t>Frillish</t>
  </si>
  <si>
    <t>Bruxish</t>
  </si>
  <si>
    <t>Veluza</t>
  </si>
  <si>
    <t>Poliwag</t>
  </si>
  <si>
    <t>Qwilfish-Hisui</t>
  </si>
  <si>
    <t>Corsola-Galar</t>
  </si>
  <si>
    <t>Clawitzer</t>
  </si>
  <si>
    <t>Mantyke</t>
  </si>
  <si>
    <t>Qwilfish</t>
  </si>
  <si>
    <t>Shellos-East</t>
  </si>
  <si>
    <t>Sealeo</t>
  </si>
  <si>
    <t>Slowpoke</t>
  </si>
  <si>
    <t>Pyukumuku</t>
  </si>
  <si>
    <t>Mantyke-Sevii</t>
  </si>
  <si>
    <t>Sharpedo</t>
  </si>
  <si>
    <t>Feebas-Sevii</t>
  </si>
  <si>
    <t>Barraskewda</t>
  </si>
  <si>
    <t>Basculin</t>
  </si>
  <si>
    <t>Relicanth</t>
  </si>
  <si>
    <t>SUPER ROD</t>
  </si>
  <si>
    <t>- Obtained in Fuchsia City.</t>
  </si>
  <si>
    <t>Luvdisc</t>
  </si>
  <si>
    <t>53-55</t>
  </si>
  <si>
    <t>Octillery</t>
  </si>
  <si>
    <t>Whiscash</t>
  </si>
  <si>
    <t>Dondozo</t>
  </si>
  <si>
    <t>Dragalge</t>
  </si>
  <si>
    <t>Seadra</t>
  </si>
  <si>
    <t>Alomomola</t>
  </si>
  <si>
    <t>Lumineon</t>
  </si>
  <si>
    <t>Poliwhirl</t>
  </si>
  <si>
    <t>Lanturn</t>
  </si>
  <si>
    <t>Seaking</t>
  </si>
  <si>
    <t>Huntail</t>
  </si>
  <si>
    <t>Basculin-Blue</t>
  </si>
  <si>
    <t>Gyarados</t>
  </si>
  <si>
    <t>Toxapex</t>
  </si>
  <si>
    <t>Gorebyss</t>
  </si>
  <si>
    <t>Dhelmise-Sevii</t>
  </si>
  <si>
    <t>Wailord</t>
  </si>
  <si>
    <t>Mantine</t>
  </si>
  <si>
    <t>Dhelmise</t>
  </si>
  <si>
    <t>Araquanid</t>
  </si>
  <si>
    <t>Drednaw</t>
  </si>
  <si>
    <t>SURFING</t>
  </si>
  <si>
    <t>- Obtained in Safari Zone's western area.</t>
  </si>
  <si>
    <t>56-58</t>
  </si>
  <si>
    <t>Tentacruel</t>
  </si>
  <si>
    <t>Palafin</t>
  </si>
  <si>
    <t>Jellicent</t>
  </si>
  <si>
    <t>Basculegion</t>
  </si>
  <si>
    <t>Cramorant</t>
  </si>
  <si>
    <t>20-30</t>
  </si>
  <si>
    <t>Basculegion-F</t>
  </si>
  <si>
    <t>Mantine-Sevii</t>
  </si>
  <si>
    <t>Masquerain</t>
  </si>
  <si>
    <t>30-35</t>
  </si>
  <si>
    <t>Milotic-Sevii</t>
  </si>
  <si>
    <t>Barbaracle</t>
  </si>
  <si>
    <t>35-40</t>
  </si>
  <si>
    <t>Milotic</t>
  </si>
  <si>
    <t>CENTER (ZONE 1)</t>
  </si>
  <si>
    <t>DAY TIME</t>
  </si>
  <si>
    <t>NIGHT TIME</t>
  </si>
  <si>
    <t>Kecleon</t>
  </si>
  <si>
    <t>Spinda</t>
  </si>
  <si>
    <t>Iron Hands</t>
  </si>
  <si>
    <t>Iron Moth</t>
  </si>
  <si>
    <t>Chansey</t>
  </si>
  <si>
    <t>EAST (ZONE 2)</t>
  </si>
  <si>
    <t>Castform</t>
  </si>
  <si>
    <t>Tauros</t>
  </si>
  <si>
    <t>Tauros-Blaze</t>
  </si>
  <si>
    <t>Starmie</t>
  </si>
  <si>
    <t>Tauros-Combat</t>
  </si>
  <si>
    <t>Tauros-Aqua</t>
  </si>
  <si>
    <t>Wobbuffet</t>
  </si>
  <si>
    <t>Zorua</t>
  </si>
  <si>
    <t>Zorua-Hisui</t>
  </si>
  <si>
    <t>Kangaskhan</t>
  </si>
  <si>
    <t>NORTH (ZONE 3)</t>
  </si>
  <si>
    <t>Sandy Shocks</t>
  </si>
  <si>
    <t>Scream Tail</t>
  </si>
  <si>
    <t>Bisharp</t>
  </si>
  <si>
    <t>Gimmighoul</t>
  </si>
  <si>
    <t>WEST (ZONE 4)</t>
  </si>
  <si>
    <t>Druddigon</t>
  </si>
  <si>
    <t>Floatzel</t>
  </si>
  <si>
    <t>Iron Thorns</t>
  </si>
  <si>
    <t>Iron Jugulis</t>
  </si>
  <si>
    <t>Hippowdon</t>
  </si>
  <si>
    <t>Slither Wing</t>
  </si>
  <si>
    <t>Crabominable</t>
  </si>
  <si>
    <t>FAR-WEST (ZONE 5)</t>
  </si>
  <si>
    <t>Hydrapple</t>
  </si>
  <si>
    <t>Lapras</t>
  </si>
  <si>
    <t>Carnivine</t>
  </si>
  <si>
    <t>Chatot</t>
  </si>
  <si>
    <t>Munchlax</t>
  </si>
  <si>
    <t>Eiscue</t>
  </si>
  <si>
    <t>Eevee</t>
  </si>
  <si>
    <t>Floette-Eternal</t>
  </si>
  <si>
    <t>FOSSILS IN VERMILION CITY'S FANCLUB</t>
  </si>
  <si>
    <t>- Trade shards with a Hiker in the Vermilion City Fanclub to obtain a Fossil Pokémon.</t>
  </si>
  <si>
    <t>- The fossils that you find in Mt. Moon/Pewter City can be revived by a Scientist in the same building.</t>
  </si>
  <si>
    <t>- That Hiker can sell you the other Fossil Pokémon that you didn't choose in Mt. Moon.</t>
  </si>
  <si>
    <t>- For Galarian Fossil Pokémon, refer to the "Grass &amp; Caves" and "Raid Dens" tabs.</t>
  </si>
  <si>
    <t>GREEN SHARD</t>
  </si>
  <si>
    <t>BLUE SHARD</t>
  </si>
  <si>
    <t>RED SHARD</t>
  </si>
  <si>
    <t>YELLOW SHARD</t>
  </si>
  <si>
    <t>MT. MOON</t>
  </si>
  <si>
    <t>PEWTER MUSEUM</t>
  </si>
  <si>
    <t>Lileep</t>
  </si>
  <si>
    <t>Omanyte</t>
  </si>
  <si>
    <t>Anorith</t>
  </si>
  <si>
    <t>Archen</t>
  </si>
  <si>
    <t>Kabuto</t>
  </si>
  <si>
    <t>Tyrunt</t>
  </si>
  <si>
    <t>Tirtouga</t>
  </si>
  <si>
    <t>Amaura</t>
  </si>
  <si>
    <t>POKEMON</t>
  </si>
  <si>
    <t>LOCATION</t>
  </si>
  <si>
    <t>Snorlax</t>
  </si>
  <si>
    <t>Lv. 45 - Route 12 and Route 16, blocking the path. Requires Pokéflute, only two available, always holds Leftovers.</t>
  </si>
  <si>
    <t>Articuno</t>
  </si>
  <si>
    <t>Lv. 70 - Seafoam Islands B4F.</t>
  </si>
  <si>
    <t>Articuno-Galar</t>
  </si>
  <si>
    <t>Lv. 70 - Seafoam Islands B4F, one day after Articuno is knocked out or caught.</t>
  </si>
  <si>
    <t>Zapdos</t>
  </si>
  <si>
    <t>Lv. 70 - Power Plant.</t>
  </si>
  <si>
    <t>Zapdos-Galar</t>
  </si>
  <si>
    <t>Lv. 70 - Power Plant, one day after Zapdos is knocked out or caught.</t>
  </si>
  <si>
    <t>Moltres</t>
  </si>
  <si>
    <t>Lv. 70 - Safari Zone Far-Western Area.</t>
  </si>
  <si>
    <t>Moltres-Galar</t>
  </si>
  <si>
    <t>Lv. 70 - Safari Zone Far-Western Area, one day after Moltres is knocked out or caught.</t>
  </si>
  <si>
    <t>Mewtwo</t>
  </si>
  <si>
    <t>Lv. 70 - Cerulean Cave B1F, only after defeating Champion Blue.</t>
  </si>
  <si>
    <t>Mew</t>
  </si>
  <si>
    <t>Lv. 100 - Three Island Berry Forest, given to you by Gatekeeper Owen after winning the Berry Forest Gauntlet, 
knocking out Mew, then returning to Berry Forest with Mewtwo as your follower Pokémon, interacting with it and 
defeating Gatekeeper Owen.</t>
  </si>
  <si>
    <t>Raikou</t>
  </si>
  <si>
    <t>Lv. ?? - Route 2, possible 4-Stars raid encounter.</t>
  </si>
  <si>
    <t>Entei</t>
  </si>
  <si>
    <t>Suicune</t>
  </si>
  <si>
    <t>Lugia</t>
  </si>
  <si>
    <t>Ho-Oh</t>
  </si>
  <si>
    <t>Celebi</t>
  </si>
  <si>
    <t>Lv. ?? - Route 25, possible 4-Stars raid encounter.</t>
  </si>
  <si>
    <t>Regirock</t>
  </si>
  <si>
    <t>Lv. ?? - Mt. Moon, possible 3-Stars raid encounter.</t>
  </si>
  <si>
    <t>Regice</t>
  </si>
  <si>
    <t>Registeel</t>
  </si>
  <si>
    <t>Latias</t>
  </si>
  <si>
    <t>Lv. 80 - Roams in Kanto (Roamers are unlocked after getting the 8th badge and heading over to Route 22).</t>
  </si>
  <si>
    <t>Latios</t>
  </si>
  <si>
    <t>Kyogre</t>
  </si>
  <si>
    <t>Lv. 100 - Seafoam Islands Secret Room, accessed by beating the Sandshrew in B2F in a race then defeating Pryce 
in a Rematch Battle. Requires Bike Key Item and Z-Ring Key Item.</t>
  </si>
  <si>
    <t>Groudon</t>
  </si>
  <si>
    <t>Rayquaza</t>
  </si>
  <si>
    <t>Jirachi</t>
  </si>
  <si>
    <t>Lv. ?? - Victory Road, possible 5-Stars raid encounter.</t>
  </si>
  <si>
    <t>Deoxys</t>
  </si>
  <si>
    <t>Deoxys-A</t>
  </si>
  <si>
    <t>With Deoxys in your team, head over to Pewter City's museum, go upstairs and interact with the inscription where 
the Moon Stone is exposed. Choose the Deoxys that's in your team and select the Attack, Defense or Speed form. 
To turn Deoxys back to its Normal form, choose the Normal option.</t>
  </si>
  <si>
    <t>Deoxys-D</t>
  </si>
  <si>
    <t>Deoxys-S</t>
  </si>
  <si>
    <t>Rotom-Wash</t>
  </si>
  <si>
    <t>With Rotom as your Follower Pokémon, head over to Oak's Lab or the Cinnabar Island Labs and interact with the 
big machine that's red at the top. Your Rotom will change its form depending on the option you choose.</t>
  </si>
  <si>
    <t>Rotom-Heat</t>
  </si>
  <si>
    <t>Rotom-Fan</t>
  </si>
  <si>
    <t>Rotom-Mow</t>
  </si>
  <si>
    <t>Rotom-Frost</t>
  </si>
  <si>
    <t>Uxie</t>
  </si>
  <si>
    <t>Lv. ?? - Route 10, possible 4-Stars raid encounter.</t>
  </si>
  <si>
    <t>Mesprit</t>
  </si>
  <si>
    <t>Azelf</t>
  </si>
  <si>
    <t>Dialga</t>
  </si>
  <si>
    <t>Dialga-Origin</t>
  </si>
  <si>
    <t>Unavailable</t>
  </si>
  <si>
    <t>Palkia</t>
  </si>
  <si>
    <t>Palkia-Origin</t>
  </si>
  <si>
    <t>Heatran</t>
  </si>
  <si>
    <t>Lv. 90 - One Island Mt. Ember, after defeating Archer in a Rematch Battle.</t>
  </si>
  <si>
    <t>Regigigas</t>
  </si>
  <si>
    <t>Lv. ?? - Mt. Moon, possible 6-Stars raid encounter.</t>
  </si>
  <si>
    <t>Giratina</t>
  </si>
  <si>
    <t>Giratina-O</t>
  </si>
  <si>
    <t>Make Giratina hold a Griseous Orb.</t>
  </si>
  <si>
    <t>Cresselia</t>
  </si>
  <si>
    <t>Lv. ?? - Route 13, possible 5-Stars raid encounter.</t>
  </si>
  <si>
    <t>Phione</t>
  </si>
  <si>
    <t>Hatch an Egg obtained from a Manaphy parent and a Ditto.</t>
  </si>
  <si>
    <t>Manaphy</t>
  </si>
  <si>
    <t>Lv. ?? - Seafoam Islands 1F, possible 6-Stars raid encounter.</t>
  </si>
  <si>
    <t>Darkrai</t>
  </si>
  <si>
    <t>Shaymin</t>
  </si>
  <si>
    <t>Lv. ?? - Viridian Forest Expansion, possible 5-Stars raid encounter.</t>
  </si>
  <si>
    <t>Shaymin-Sky</t>
  </si>
  <si>
    <t>Use Gracidea Key Item on Shaymin. To obtain this item, defeat Falkner in the secret area of Rock Tunnel, near the 
exit of Power Plant. Requires Z-Ring Key Item. Use the Gracidea again to revert to normal form.</t>
  </si>
  <si>
    <t>Arceus</t>
  </si>
  <si>
    <t>Victini</t>
  </si>
  <si>
    <t>Cobalion</t>
  </si>
  <si>
    <t>Lv. 65 - Mt. Moon B2F. Requires Rock Smash HM.</t>
  </si>
  <si>
    <t>Terrakion</t>
  </si>
  <si>
    <t>Lv. 65 - Rock Tunnel B1F. Requires Rock Smash HM.</t>
  </si>
  <si>
    <t>Virizion</t>
  </si>
  <si>
    <t>Lv. 65 - Viridian Forest Expansion. Requires Rock Smash HM.</t>
  </si>
  <si>
    <t>Tornadus-I</t>
  </si>
  <si>
    <t>Tornadus-T</t>
  </si>
  <si>
    <t>Use Reveal Glass Key Item on Tornadus-I. To obtain this item, show any of the following Pokémon to a Scientist in 
Cinnabar Island Labs, third room: Tornadus, Thundurus, Landorus, Enamorus. Use the Reveal Glass again to revert 
to Incarnate Form.</t>
  </si>
  <si>
    <t>Thundurus-I</t>
  </si>
  <si>
    <t>Thundurus-T</t>
  </si>
  <si>
    <t>Use Reveal Glass Key Item on Thundurus-I. To obtain this item, show any of the following Pokémon to a Scientist in 
Cinnabar Island Labs, third room: Tornadus, Thundurus, Landorus, Enamorus. Use the Reveal Glass again to revert 
to Incarnate Form.</t>
  </si>
  <si>
    <t>Reshiram</t>
  </si>
  <si>
    <t>Zekrom</t>
  </si>
  <si>
    <t>Landorus-I</t>
  </si>
  <si>
    <t>Landorus-T</t>
  </si>
  <si>
    <t>Use Reveal Glass Key Item on Landorus-I. To obtain this item, show any of the following Pokémon to a Scientist in 
Cinnabar Island Labs, third room: Tornadus, Thundurus, Landorus, Enamorus. Use the Reveal Glass again to revert 
to Incarnate Form.</t>
  </si>
  <si>
    <t>Kyurem</t>
  </si>
  <si>
    <t>Kyurem-B</t>
  </si>
  <si>
    <t>Use DNA Splicers Key Item on Kyurem and Zekrom for Kyurem-Black, or Kyurem and Rehsiram for Kyurem-White. 
To obtain this item, show any of the following Pokémon to a Scientist in Cinnabar Island Labs, third room: 
Reshiram, Zekrom, Kyurem. Use the DNA Splicers again to separate both Pokémon.</t>
  </si>
  <si>
    <t>Kyurem-W</t>
  </si>
  <si>
    <t>Keldeo</t>
  </si>
  <si>
    <t>Lv. 70 - Seafoam Islands B1F.</t>
  </si>
  <si>
    <t>Meloetta</t>
  </si>
  <si>
    <t>Genesect</t>
  </si>
  <si>
    <t>Greninja-Ash</t>
  </si>
  <si>
    <t>Change Greninja's Ability to Battle Bond with an Ability Pill.</t>
  </si>
  <si>
    <t>Xerneas</t>
  </si>
  <si>
    <t>Yveltal</t>
  </si>
  <si>
    <t>Zygarde-10</t>
  </si>
  <si>
    <t>Lv. ?? - Route 16, possible 4-Stars raid encounter.</t>
  </si>
  <si>
    <t>Zygarde</t>
  </si>
  <si>
    <t>Lv. ?? - Victory Road, 6-Stars raid encounter.</t>
  </si>
  <si>
    <t>Diancie</t>
  </si>
  <si>
    <t>Hoopa</t>
  </si>
  <si>
    <t>Lv. ?? - Pokémon Mansion 1F, possible 5-Stars raid encounter.</t>
  </si>
  <si>
    <t>Hoopa-U</t>
  </si>
  <si>
    <t>Use Prison Bottle Key Item on Hoopa. To obtain this item, show Hoopa 
to a Scientist in Cinnabar Island Labs, third room. Use the Prison Bottle again to revert to normal form.</t>
  </si>
  <si>
    <t>Volcanion</t>
  </si>
  <si>
    <t>Lv. ?? - Cerulean Cave all floors, 2% encounter.</t>
  </si>
  <si>
    <t>Silvally</t>
  </si>
  <si>
    <t>Evolve Type: Null (Level-Up with 220+ Happiness). You can change Silvally's form by talking to a Scientist in 
Cinnabar Island Labs, third room.</t>
  </si>
  <si>
    <t>Tapu Koko</t>
  </si>
  <si>
    <t>Lv. ?? - Power Plant, 6-Stars raid encounter.</t>
  </si>
  <si>
    <t>Tapu Lele</t>
  </si>
  <si>
    <t>Lv. ?? - Pokémon Mansion 1F, 6-Stars raid encounter.</t>
  </si>
  <si>
    <t>Tapu Bulu</t>
  </si>
  <si>
    <t>Lv. ?? - Viridian Forest Expansion, 6-Stars raid encounter.</t>
  </si>
  <si>
    <t>Tapu Fini</t>
  </si>
  <si>
    <t>Cosmog</t>
  </si>
  <si>
    <t>Lv. 50 - One Island Pokémon Center, buy for 50 BP from the Battle Simulator, or Saffron City, from Dumbass Kid 
after defeating him in a Rematch Battle. Second method requires Z-Ring Key Item.</t>
  </si>
  <si>
    <t>Cosmoem</t>
  </si>
  <si>
    <t>Evolve Cosmog (Lv. 43).</t>
  </si>
  <si>
    <t>Solgaleo</t>
  </si>
  <si>
    <t>Evolve Cosmoem during the day (Lv. 64, 4:00 am to 4:59 pm).</t>
  </si>
  <si>
    <t>Lunala</t>
  </si>
  <si>
    <t>Evolve Cosmoem during the night (Lv. 64, 5:00 pm to 3:59 am).</t>
  </si>
  <si>
    <t>Nihilego</t>
  </si>
  <si>
    <t>Lv. ?? - Cerulean Cave 2F, possible 5-Stars raid encounter.</t>
  </si>
  <si>
    <t>Buzzwole</t>
  </si>
  <si>
    <t>Pheromosa</t>
  </si>
  <si>
    <t>Lv. ?? - Cerulean Cave 2F, possible 6-Stars raid encounter.</t>
  </si>
  <si>
    <t>Xurkitree</t>
  </si>
  <si>
    <t>Celesteela</t>
  </si>
  <si>
    <t>Kartana</t>
  </si>
  <si>
    <t>Guzzlord</t>
  </si>
  <si>
    <t>Necrozma</t>
  </si>
  <si>
    <t>Necrozma-DM</t>
  </si>
  <si>
    <t>Use Necrozmizer Key Item on Necrozma and Solgaleo for Dusk Mane form, or Necrozma and Lunala for Dawn Wings 
form. To obtain this item, buy it for 50 BP from the One Island Battle Simulator. Use the Necrozmizer again to 
separate both Pokémon.</t>
  </si>
  <si>
    <t>Necrozma-DW</t>
  </si>
  <si>
    <t>Magearna</t>
  </si>
  <si>
    <t>Lv. 90 - Rock Tunnel Secret Room, accessed from Power Plant's exit. Requires Z-Ring Key Item.</t>
  </si>
  <si>
    <t>Magearna-Original</t>
  </si>
  <si>
    <t>Marshadow</t>
  </si>
  <si>
    <t>Lv. 100 - Pokémon Tower Top, after winning the Pokémon Tower Gauntlet and defeating Morty in a Rematch Battle. 
Requires Z-Ring Key Item.</t>
  </si>
  <si>
    <t>Poipole</t>
  </si>
  <si>
    <t>Naganadel</t>
  </si>
  <si>
    <t>Evolve Poipole (Level-Up while knowing Dragon Pulse).</t>
  </si>
  <si>
    <t>Stakataka</t>
  </si>
  <si>
    <t>Blacephalon</t>
  </si>
  <si>
    <t>Zeraora</t>
  </si>
  <si>
    <t>Lv. ?? - Power Plant, possible 5-Stars raid encounter.</t>
  </si>
  <si>
    <t>Lv. ?? - Safari Zone Center, 20% encounter.</t>
  </si>
  <si>
    <t>Melmetal</t>
  </si>
  <si>
    <t>Evolve Meltan (Use Metal Coat).</t>
  </si>
  <si>
    <t>Zacian</t>
  </si>
  <si>
    <t>Zamazenta</t>
  </si>
  <si>
    <t>Eternatus</t>
  </si>
  <si>
    <t>Kubfu</t>
  </si>
  <si>
    <t>Lv. 30 - Cerulean Cave 2F, from Ketchup after Team Rocket leaves and defeating the former. Another Kubfu can be 
obtained after defeating Ketchup a second time, at least a day after the first battle.</t>
  </si>
  <si>
    <t>Urshifu-Single</t>
  </si>
  <si>
    <t>Evolve Kubfu (Use Dusk Stone)</t>
  </si>
  <si>
    <t>Urshifu-Rapid</t>
  </si>
  <si>
    <t>Evolve Kubfu (Use Water Stone)</t>
  </si>
  <si>
    <t>Zarude</t>
  </si>
  <si>
    <t>Regieleki</t>
  </si>
  <si>
    <t>Regidrago</t>
  </si>
  <si>
    <t>Glastrier</t>
  </si>
  <si>
    <t>Lv. ?? - Seafoam Islands 1F, possible 5-Stars raid encounter.</t>
  </si>
  <si>
    <t>Spectrier</t>
  </si>
  <si>
    <t>Calyrex</t>
  </si>
  <si>
    <t>Calyrex-Ice</t>
  </si>
  <si>
    <t>Calyrex-Shadow</t>
  </si>
  <si>
    <t>Enamorus-I</t>
  </si>
  <si>
    <t>Lv. 100 - Roams in Kanto, after getting an 8-win streak (or 6 in Hardcore Simulator mode) on One Island Battle 
Simulator.</t>
  </si>
  <si>
    <t>Enamorus-T</t>
  </si>
  <si>
    <t>Use Reveal Glass Key Item on Enamorus-I. To obtain this item, show any of the following Pokémon to a Scientist in 
Cinnabar Island Labs, third room: Tornadus, Thundurus, Landorus, Enamorus. Use the Reveal Glass again to revert 
to Incarnate Form.</t>
  </si>
  <si>
    <t>Lv. ?? - Cerulean Cave 2F, 30% encounter during the day, or Rock Tunnel Postgame Area, 8% encounter during the day.</t>
  </si>
  <si>
    <t>Lv. ?? - Cerulean Cave 2F, 20% encounter, or Safari Zone North, 20% encounter at night.</t>
  </si>
  <si>
    <t>Lv. ?? - Safari Zone North, 20% encounter.</t>
  </si>
  <si>
    <t>Lv. ?? - Safari Zone North, 20% encounter during the day.</t>
  </si>
  <si>
    <t>Lv. ?? - Viridian Forest Expansion, possible 5-Stars raid encounter, or Victory Road 1F, 20% encounter at night, or
Pokémon Tower 8F, 10% encounter, or Pokémon Tower 9F,  20% encounter.</t>
  </si>
  <si>
    <t>Lv. ?? - Safari Zone West, 10% encounter.</t>
  </si>
  <si>
    <t>Lv. ?? - Victory Road 3F, 21% encounter at night.</t>
  </si>
  <si>
    <t>Walking Wake</t>
  </si>
  <si>
    <t>Lv. 80 - Victory Road 2F.</t>
  </si>
  <si>
    <t>Gouging Fire</t>
  </si>
  <si>
    <t>Lv. 80 - Cinnabar Mansion Secret Area, which can only be accessed by 3F after Legendary Pokémon start roaming 
around Kanto.</t>
  </si>
  <si>
    <t>Raging Bolt</t>
  </si>
  <si>
    <t>Lv. 80 - Silph Co. Secret Area, which can only be accessed on 1F after Legendary Pokémon start roaming around 
Kanto.</t>
  </si>
  <si>
    <t>Lv. ?? - Cerulean Cave 2F at night or B1F, both 30% encounter, or Rock Tunnel Postgame Area, 8% encounter at night.</t>
  </si>
  <si>
    <t>Lv. ?? - Safari Zone Center, 20% encounter at night.</t>
  </si>
  <si>
    <t>Lv. ?? - Safari Zone Center, 20% encounter during the day.</t>
  </si>
  <si>
    <t>Lv. ?? - Safari Zone West, 20% encounter at night.</t>
  </si>
  <si>
    <t>Lv. ?? - Safari Zone West, 20% encounter during the day.</t>
  </si>
  <si>
    <t>Lv. ?? - Victory Road 3F, 21% encounter during the day.</t>
  </si>
  <si>
    <t>Lv. ?? - Victory Road 1F, 20% encounter during the day, or Power Plant, possible 5-Stars raid encounter.</t>
  </si>
  <si>
    <t>Iron Leaves</t>
  </si>
  <si>
    <t>Lv. ?? - Rock Tunnel, possible 5-Stars raid encounter.</t>
  </si>
  <si>
    <t>Iron Boulder</t>
  </si>
  <si>
    <t>Iron Crown</t>
  </si>
  <si>
    <t>Ting-Lu</t>
  </si>
  <si>
    <t>Chien-Pao</t>
  </si>
  <si>
    <t>Wo-Chien</t>
  </si>
  <si>
    <t>Chi-Yu</t>
  </si>
  <si>
    <t>Okidogi</t>
  </si>
  <si>
    <t>Lv. ?? - Safari Zone Far-Western Area, possible Raid Den encounter.</t>
  </si>
  <si>
    <t>Munkidori</t>
  </si>
  <si>
    <t>Fezandipiti</t>
  </si>
  <si>
    <t>Ogerpon</t>
  </si>
  <si>
    <t>Lv. 5 - Gift by Erika after defeating her in a rematch battle.</t>
  </si>
  <si>
    <t>Ogerpon-Wellspring</t>
  </si>
  <si>
    <t>Make Ogerpon hold a Wellspring Mask in battle, which can be found in Seafoam Islands.</t>
  </si>
  <si>
    <t>Ogerpon-Hearthflame</t>
  </si>
  <si>
    <t>Make Ogerpon hold a Hearthflame Mask in battle, which can be found in Cinnabar Mansion's Secret Area.</t>
  </si>
  <si>
    <t>Ogerpon-Cornerstone</t>
  </si>
  <si>
    <t>Make Ogerpon hold a Cornerstone Mask in battle, which is given by the Jojo Fan in Power Plant.</t>
  </si>
  <si>
    <t>Terapagos</t>
  </si>
  <si>
    <t>Pecharunt</t>
  </si>
  <si>
    <t>Koraidon</t>
  </si>
  <si>
    <t>Miraidon</t>
  </si>
  <si>
    <t>- In this hack, you will be able to battle Pokémon in Raid Dens. Those Dens are located in many places, and you will encounter different Pokémon depending on the Raid Den.</t>
  </si>
  <si>
    <t>- If the Raid Den is active, the Pokémon inside might change every hour. However, after battling the Pokémon inside, even if you lose, the Den will be deactivated. Dens regenerate after you throw a Wishing Piece inside.</t>
  </si>
  <si>
    <t>- The difficulty of the Raid Battle depends on the Pokémon inside the Den and the number of Stars shown in the Raid menu, ranging from 1-6 Stars. In select Dens, Legendary Pokémon may appear in 3, 4, 5 or 6-Stars Raids. The level of the Pokémon also depends on the number of Stars.</t>
  </si>
  <si>
    <t>- The number of Stars that a Raid Den can have depends on your Gym Badge count. The table below shows the possible number of Stars depending on Gym Badge count.</t>
  </si>
  <si>
    <r>
      <rPr>
        <rFont val="Sofia Sans Semi Condensed"/>
        <b/>
        <color rgb="FF3E3A3A"/>
        <sz val="13.0"/>
      </rPr>
      <t>1 Gym Badge:</t>
    </r>
    <r>
      <rPr>
        <rFont val="Sofia Sans Semi Condensed"/>
        <b/>
        <color rgb="FF3E3A3A"/>
        <sz val="13.0"/>
      </rPr>
      <t xml:space="preserve"> </t>
    </r>
    <r>
      <rPr>
        <rFont val="Sofia Sans Semi Condensed"/>
        <b/>
        <color rgb="FFE69138"/>
        <sz val="13.0"/>
      </rPr>
      <t>★</t>
    </r>
  </si>
  <si>
    <r>
      <rPr>
        <rFont val="Sofia Sans Semi Condensed"/>
        <b/>
        <color rgb="FF3E3A3A"/>
        <sz val="13.0"/>
      </rPr>
      <t>2 Gym Badges:</t>
    </r>
    <r>
      <rPr>
        <rFont val="Sofia Sans Semi Condensed"/>
        <b/>
        <color rgb="FF3E3A3A"/>
        <sz val="13.0"/>
      </rPr>
      <t xml:space="preserve"> </t>
    </r>
    <r>
      <rPr>
        <rFont val="Sofia Sans Semi Condensed"/>
        <b/>
        <color rgb="FFE69138"/>
        <sz val="13.0"/>
      </rPr>
      <t xml:space="preserve">★ </t>
    </r>
    <r>
      <rPr>
        <rFont val="Sofia Sans Semi Condensed"/>
        <b/>
        <color rgb="FF000000"/>
        <sz val="13.0"/>
      </rPr>
      <t>or</t>
    </r>
    <r>
      <rPr>
        <rFont val="Sofia Sans Semi Condensed"/>
        <b/>
        <color rgb="FFE69138"/>
        <sz val="13.0"/>
      </rPr>
      <t xml:space="preserve"> ★★</t>
    </r>
  </si>
  <si>
    <r>
      <rPr>
        <rFont val="Sofia Sans Semi Condensed"/>
        <b/>
        <color rgb="FF3E3A3A"/>
        <sz val="13.0"/>
      </rPr>
      <t>3 Gym Badges:</t>
    </r>
    <r>
      <rPr>
        <rFont val="Sofia Sans Semi Condensed"/>
        <b/>
        <color rgb="FF3E3A3A"/>
        <sz val="13.0"/>
      </rPr>
      <t xml:space="preserve"> </t>
    </r>
    <r>
      <rPr>
        <rFont val="Sofia Sans Semi Condensed"/>
        <b/>
        <color rgb="FFE69138"/>
        <sz val="13.0"/>
      </rPr>
      <t>★★</t>
    </r>
  </si>
  <si>
    <r>
      <rPr>
        <rFont val="Sofia Sans Semi Condensed"/>
        <b/>
        <color rgb="FF3E3A3A"/>
        <sz val="13.0"/>
      </rPr>
      <t>4 Gym Badges:</t>
    </r>
    <r>
      <rPr>
        <rFont val="Sofia Sans Semi Condensed"/>
        <b/>
        <color rgb="FF3E3A3A"/>
        <sz val="13.0"/>
      </rPr>
      <t xml:space="preserve"> </t>
    </r>
    <r>
      <rPr>
        <rFont val="Sofia Sans Semi Condensed"/>
        <b/>
        <color rgb="FFE69138"/>
        <sz val="13.0"/>
      </rPr>
      <t xml:space="preserve">★★ </t>
    </r>
    <r>
      <rPr>
        <rFont val="Sofia Sans Semi Condensed"/>
        <b/>
        <color rgb="FF000000"/>
        <sz val="13.0"/>
      </rPr>
      <t>or</t>
    </r>
    <r>
      <rPr>
        <rFont val="Sofia Sans Semi Condensed"/>
        <b/>
        <color rgb="FFE69138"/>
        <sz val="13.0"/>
      </rPr>
      <t xml:space="preserve"> ★★★</t>
    </r>
  </si>
  <si>
    <r>
      <rPr>
        <rFont val="Sofia Sans Semi Condensed"/>
        <b/>
        <color rgb="FF3E3A3A"/>
        <sz val="13.0"/>
      </rPr>
      <t>5 Gym Badges:</t>
    </r>
    <r>
      <rPr>
        <rFont val="Sofia Sans Semi Condensed"/>
        <b/>
        <color rgb="FF3E3A3A"/>
        <sz val="13.0"/>
      </rPr>
      <t xml:space="preserve"> </t>
    </r>
    <r>
      <rPr>
        <rFont val="Sofia Sans Semi Condensed"/>
        <b/>
        <color rgb="FFE69138"/>
        <sz val="13.0"/>
      </rPr>
      <t xml:space="preserve">★★★ </t>
    </r>
    <r>
      <rPr>
        <rFont val="Sofia Sans Semi Condensed"/>
        <b/>
        <color rgb="FF000000"/>
        <sz val="13.0"/>
      </rPr>
      <t>or</t>
    </r>
    <r>
      <rPr>
        <rFont val="Sofia Sans Semi Condensed"/>
        <b/>
        <color rgb="FFE69138"/>
        <sz val="13.0"/>
      </rPr>
      <t xml:space="preserve"> ★★★★</t>
    </r>
  </si>
  <si>
    <r>
      <rPr>
        <rFont val="Sofia Sans Semi Condensed"/>
        <b/>
        <color rgb="FF3E3A3A"/>
        <sz val="13.0"/>
      </rPr>
      <t xml:space="preserve">6 Gym Badges: </t>
    </r>
    <r>
      <rPr>
        <rFont val="Sofia Sans Semi Condensed"/>
        <b/>
        <color rgb="FFE69138"/>
        <sz val="13.0"/>
      </rPr>
      <t>★★★★</t>
    </r>
  </si>
  <si>
    <r>
      <rPr>
        <rFont val="Sofia Sans Semi Condensed"/>
        <b/>
        <color rgb="FF3E3A3A"/>
        <sz val="13.0"/>
      </rPr>
      <t>7 Gym Badges:</t>
    </r>
    <r>
      <rPr>
        <rFont val="Sofia Sans Semi Condensed"/>
        <b/>
        <color rgb="FF3E3A3A"/>
        <sz val="13.0"/>
      </rPr>
      <t xml:space="preserve"> </t>
    </r>
    <r>
      <rPr>
        <rFont val="Sofia Sans Semi Condensed"/>
        <b/>
        <color rgb="FFE69138"/>
        <sz val="13.0"/>
      </rPr>
      <t xml:space="preserve">★★★★ </t>
    </r>
    <r>
      <rPr>
        <rFont val="Sofia Sans Semi Condensed"/>
        <b/>
        <color rgb="FF000000"/>
        <sz val="13.0"/>
      </rPr>
      <t>or</t>
    </r>
    <r>
      <rPr>
        <rFont val="Sofia Sans Semi Condensed"/>
        <b/>
        <color rgb="FFE69138"/>
        <sz val="13.0"/>
      </rPr>
      <t xml:space="preserve"> ★★★★★</t>
    </r>
  </si>
  <si>
    <r>
      <rPr>
        <rFont val="Sofia Sans Semi Condensed"/>
        <b/>
        <color rgb="FF3E3A3A"/>
        <sz val="13.0"/>
      </rPr>
      <t>8 Gym Badges:</t>
    </r>
    <r>
      <rPr>
        <rFont val="Sofia Sans Semi Condensed"/>
        <b/>
        <color rgb="FF3E3A3A"/>
        <sz val="13.0"/>
      </rPr>
      <t xml:space="preserve"> </t>
    </r>
    <r>
      <rPr>
        <rFont val="Sofia Sans Semi Condensed"/>
        <b/>
        <color rgb="FFE69138"/>
        <sz val="13.0"/>
      </rPr>
      <t>★★★★★</t>
    </r>
  </si>
  <si>
    <r>
      <rPr>
        <rFont val="Sofia Sans Semi Condensed"/>
        <b/>
        <color rgb="FF3E3A3A"/>
        <sz val="13.0"/>
      </rPr>
      <t>After Entering Hall of Fame:</t>
    </r>
    <r>
      <rPr>
        <rFont val="Sofia Sans Semi Condensed"/>
        <b/>
        <color rgb="FF3E3A3A"/>
        <sz val="13.0"/>
      </rPr>
      <t xml:space="preserve"> </t>
    </r>
    <r>
      <rPr>
        <rFont val="Sofia Sans Semi Condensed"/>
        <b/>
        <color rgb="FFE69138"/>
        <sz val="13.0"/>
      </rPr>
      <t xml:space="preserve">★★★★★ </t>
    </r>
    <r>
      <rPr>
        <rFont val="Sofia Sans Semi Condensed"/>
        <b/>
        <color rgb="FF3E3A3A"/>
        <sz val="13.0"/>
      </rPr>
      <t xml:space="preserve">or </t>
    </r>
    <r>
      <rPr>
        <rFont val="Sofia Sans Semi Condensed"/>
        <b/>
        <color rgb="FFE69138"/>
        <sz val="13.0"/>
      </rPr>
      <t>★★★★★★</t>
    </r>
  </si>
  <si>
    <r>
      <rPr>
        <rFont val="Barlow Condensed"/>
        <color rgb="FF3E3A3A"/>
        <sz val="30.0"/>
        <u/>
      </rPr>
      <t xml:space="preserve"> </t>
    </r>
    <r>
      <rPr>
        <rFont val="Barlow Condensed"/>
        <b/>
        <color rgb="FF3E3A3A"/>
        <sz val="30.0"/>
        <u/>
      </rPr>
      <t>--</t>
    </r>
    <r>
      <rPr>
        <rFont val="Barlow Condensed"/>
        <color rgb="FF3E3A3A"/>
        <sz val="30.0"/>
        <u/>
      </rPr>
      <t xml:space="preserve"> </t>
    </r>
    <r>
      <rPr>
        <rFont val="Barlow Condensed"/>
        <b/>
        <color rgb="FF3E3A3A"/>
        <sz val="30.0"/>
        <u/>
      </rPr>
      <t>ROUTE 3</t>
    </r>
    <r>
      <rPr>
        <rFont val="Barlow Condensed"/>
        <color rgb="FF3E3A3A"/>
        <sz val="30.0"/>
        <u/>
      </rPr>
      <t xml:space="preserve"> </t>
    </r>
    <r>
      <rPr>
        <rFont val="Barlow Condensed"/>
        <b/>
        <color rgb="FF3E3A3A"/>
        <sz val="30.0"/>
        <u/>
      </rPr>
      <t xml:space="preserve">-- </t>
    </r>
    <r>
      <rPr>
        <rFont val="Barlow Condensed"/>
        <color rgb="FFE69138"/>
        <sz val="33.0"/>
        <u/>
      </rPr>
      <t>★</t>
    </r>
  </si>
  <si>
    <t>Drops:</t>
  </si>
  <si>
    <t>%</t>
  </si>
  <si>
    <t>Oran Berry</t>
  </si>
  <si>
    <t>Stardust</t>
  </si>
  <si>
    <t>Muscle Wing</t>
  </si>
  <si>
    <t>Chesto Berry</t>
  </si>
  <si>
    <t>—</t>
  </si>
  <si>
    <t>Coba Berry</t>
  </si>
  <si>
    <t>Berry Juice</t>
  </si>
  <si>
    <t>Sitrus Berry</t>
  </si>
  <si>
    <t>Heal Ball</t>
  </si>
  <si>
    <t>Leppa Berry</t>
  </si>
  <si>
    <t>Wishing Piece</t>
  </si>
  <si>
    <t>Protein</t>
  </si>
  <si>
    <t>PP Up</t>
  </si>
  <si>
    <t>Lucky Egg</t>
  </si>
  <si>
    <r>
      <rPr>
        <rFont val="Barlow Condensed"/>
        <color rgb="FF3E3A3A"/>
        <sz val="30.0"/>
        <u/>
      </rPr>
      <t xml:space="preserve"> </t>
    </r>
    <r>
      <rPr>
        <rFont val="Barlow Condensed"/>
        <b/>
        <color rgb="FF3E3A3A"/>
        <sz val="30.0"/>
        <u/>
      </rPr>
      <t>--</t>
    </r>
    <r>
      <rPr>
        <rFont val="Barlow Condensed"/>
        <color rgb="FF3E3A3A"/>
        <sz val="30.0"/>
        <u/>
      </rPr>
      <t xml:space="preserve"> </t>
    </r>
    <r>
      <rPr>
        <rFont val="Barlow Condensed"/>
        <b/>
        <color rgb="FF3E3A3A"/>
        <sz val="30.0"/>
        <u/>
      </rPr>
      <t>ROUTE 4</t>
    </r>
    <r>
      <rPr>
        <rFont val="Barlow Condensed"/>
        <color rgb="FF3E3A3A"/>
        <sz val="30.0"/>
        <u/>
      </rPr>
      <t xml:space="preserve"> </t>
    </r>
    <r>
      <rPr>
        <rFont val="Barlow Condensed"/>
        <b/>
        <color rgb="FF3E3A3A"/>
        <sz val="30.0"/>
        <u/>
      </rPr>
      <t xml:space="preserve">-- </t>
    </r>
    <r>
      <rPr>
        <rFont val="Barlow Condensed"/>
        <color rgb="FFE69138"/>
        <sz val="33.0"/>
        <u/>
      </rPr>
      <t>★</t>
    </r>
  </si>
  <si>
    <t>Genius Wing</t>
  </si>
  <si>
    <t>Colbur Berry</t>
  </si>
  <si>
    <t>Calcium</t>
  </si>
  <si>
    <r>
      <rPr>
        <rFont val="Barlow Condensed"/>
        <b/>
        <color rgb="FF3E3A3A"/>
        <sz val="30.0"/>
        <u/>
      </rPr>
      <t xml:space="preserve"> -- MT. MOON -- </t>
    </r>
    <r>
      <rPr>
        <rFont val="Barlow Condensed"/>
        <b/>
        <color rgb="FFE69138"/>
        <sz val="30.0"/>
        <u/>
      </rPr>
      <t>★</t>
    </r>
  </si>
  <si>
    <t>Swift Wing</t>
  </si>
  <si>
    <t>Charti Berry</t>
  </si>
  <si>
    <t>Moon Stone</t>
  </si>
  <si>
    <t>Carbos</t>
  </si>
  <si>
    <r>
      <rPr>
        <rFont val="Barlow Condensed"/>
        <b/>
        <color rgb="FF3E3A3A"/>
        <sz val="30.0"/>
        <u/>
      </rPr>
      <t xml:space="preserve"> -- ROUTE 24 -- </t>
    </r>
    <r>
      <rPr>
        <rFont val="Barlow Condensed"/>
        <b/>
        <color rgb="FFE69138"/>
        <sz val="30.0"/>
        <u/>
      </rPr>
      <t>★</t>
    </r>
  </si>
  <si>
    <t>Health Wing</t>
  </si>
  <si>
    <t>Passho Berry</t>
  </si>
  <si>
    <t>Nugget</t>
  </si>
  <si>
    <t>HP Up</t>
  </si>
  <si>
    <r>
      <rPr>
        <rFont val="Barlow Condensed"/>
        <b/>
        <color rgb="FF3E3A3A"/>
        <sz val="30.0"/>
        <u/>
      </rPr>
      <t xml:space="preserve"> -- ROUTE 25 -- </t>
    </r>
    <r>
      <rPr>
        <rFont val="Barlow Condensed"/>
        <b/>
        <color rgb="FFE69138"/>
        <sz val="30.0"/>
        <u/>
      </rPr>
      <t>★</t>
    </r>
  </si>
  <si>
    <t>Milcery</t>
  </si>
  <si>
    <t>Quick Ball</t>
  </si>
  <si>
    <t>Tanga Berry</t>
  </si>
  <si>
    <r>
      <rPr>
        <rFont val="Barlow Condensed"/>
        <b/>
        <color rgb="FF3E3A3A"/>
        <sz val="30.0"/>
        <u/>
      </rPr>
      <t xml:space="preserve"> -- ROUTE 5 -- </t>
    </r>
    <r>
      <rPr>
        <rFont val="Barlow Condensed"/>
        <b/>
        <color rgb="FFE69138"/>
        <sz val="30.0"/>
        <u/>
      </rPr>
      <t>★</t>
    </r>
  </si>
  <si>
    <t>Ultra Ball</t>
  </si>
  <si>
    <t>Resist Wing</t>
  </si>
  <si>
    <t>Wacan Berry</t>
  </si>
  <si>
    <t>Ability Capsule</t>
  </si>
  <si>
    <t>Iron</t>
  </si>
  <si>
    <r>
      <rPr>
        <rFont val="Barlow Condensed"/>
        <b/>
        <color rgb="FF3E3A3A"/>
        <sz val="30.0"/>
        <u/>
      </rPr>
      <t xml:space="preserve"> -- ROUTE 6 -- </t>
    </r>
    <r>
      <rPr>
        <rFont val="Barlow Condensed"/>
        <b/>
        <color rgb="FFE69138"/>
        <sz val="30.0"/>
        <u/>
      </rPr>
      <t>★</t>
    </r>
  </si>
  <si>
    <t>Haban Berry</t>
  </si>
  <si>
    <t>Clever Wing</t>
  </si>
  <si>
    <t>Chilan Berry</t>
  </si>
  <si>
    <t>Zinc</t>
  </si>
  <si>
    <t>Dream Patch</t>
  </si>
  <si>
    <r>
      <rPr>
        <rFont val="Barlow Condensed"/>
        <b/>
        <color rgb="FF3E3A3A"/>
        <sz val="30.0"/>
        <u/>
      </rPr>
      <t xml:space="preserve"> -- ROUTE 11 -- </t>
    </r>
    <r>
      <rPr>
        <rFont val="Barlow Condensed"/>
        <b/>
        <color rgb="FFE69138"/>
        <sz val="30.0"/>
        <u/>
      </rPr>
      <t>★</t>
    </r>
  </si>
  <si>
    <t>Roseli Berry</t>
  </si>
  <si>
    <r>
      <rPr>
        <rFont val="Barlow Condensed"/>
        <b/>
        <color rgb="FF3E3A3A"/>
        <sz val="30.0"/>
        <u/>
      </rPr>
      <t xml:space="preserve"> -- DIGLETT CAVE -- </t>
    </r>
    <r>
      <rPr>
        <rFont val="Barlow Condensed"/>
        <b/>
        <color rgb="FFE69138"/>
        <sz val="30.0"/>
        <u/>
      </rPr>
      <t>★</t>
    </r>
  </si>
  <si>
    <t>_x0010_Sandile</t>
  </si>
  <si>
    <t>Klink</t>
  </si>
  <si>
    <t>Great Ball</t>
  </si>
  <si>
    <t>Star Piece</t>
  </si>
  <si>
    <t>Yellow Shard</t>
  </si>
  <si>
    <t>Green Shard</t>
  </si>
  <si>
    <t>Red Shard</t>
  </si>
  <si>
    <t>Blue Shard</t>
  </si>
  <si>
    <t>Shuca Berry</t>
  </si>
  <si>
    <r>
      <rPr>
        <rFont val="Barlow Condensed"/>
        <b/>
        <color rgb="FF3E3A3A"/>
        <sz val="30.0"/>
        <u/>
      </rPr>
      <t xml:space="preserve"> -- ROUTE 2 -- </t>
    </r>
    <r>
      <rPr>
        <rFont val="Barlow Condensed"/>
        <b/>
        <color rgb="FFE69138"/>
        <sz val="30.0"/>
        <u/>
      </rPr>
      <t>★★</t>
    </r>
  </si>
  <si>
    <t>Koffing</t>
  </si>
  <si>
    <t>Impidimp</t>
  </si>
  <si>
    <t>Dream Ball</t>
  </si>
  <si>
    <r>
      <rPr>
        <rFont val="Barlow Condensed"/>
        <b/>
        <color rgb="FF3E3A3A"/>
        <sz val="30.0"/>
        <u/>
      </rPr>
      <t xml:space="preserve"> -- ROUTE 9 -- </t>
    </r>
    <r>
      <rPr>
        <rFont val="Barlow Condensed"/>
        <b/>
        <color rgb="FFE69138"/>
        <sz val="30.0"/>
        <u/>
      </rPr>
      <t>★★</t>
    </r>
  </si>
  <si>
    <t>Tangela</t>
  </si>
  <si>
    <t>Chople Berry</t>
  </si>
  <si>
    <r>
      <rPr>
        <rFont val="Barlow Condensed"/>
        <b/>
        <color rgb="FF3E3A3A"/>
        <sz val="30.0"/>
        <u/>
      </rPr>
      <t xml:space="preserve"> -- ROUTE 10 -- </t>
    </r>
    <r>
      <rPr>
        <rFont val="Barlow Condensed"/>
        <b/>
        <color rgb="FFE69138"/>
        <sz val="30.0"/>
        <u/>
      </rPr>
      <t>★★</t>
    </r>
  </si>
  <si>
    <t>Toxel</t>
  </si>
  <si>
    <t>Kasib Berry</t>
  </si>
  <si>
    <r>
      <rPr>
        <rFont val="Barlow Condensed"/>
        <b/>
        <color rgb="FF3E3A3A"/>
        <sz val="30.0"/>
        <u/>
      </rPr>
      <t xml:space="preserve"> -- ROCK TUNNEL -- </t>
    </r>
    <r>
      <rPr>
        <rFont val="Barlow Condensed"/>
        <b/>
        <color rgb="FFE69138"/>
        <sz val="30.0"/>
        <u/>
      </rPr>
      <t>★★</t>
    </r>
  </si>
  <si>
    <t>Tinkatuff</t>
  </si>
  <si>
    <t>Babiri Berry</t>
  </si>
  <si>
    <r>
      <rPr>
        <rFont val="Barlow Condensed"/>
        <b/>
        <color rgb="FF3E3A3A"/>
        <sz val="30.0"/>
        <u/>
      </rPr>
      <t xml:space="preserve"> -- ROUTE 16 -- </t>
    </r>
    <r>
      <rPr>
        <rFont val="Barlow Condensed"/>
        <b/>
        <color rgb="FFE69138"/>
        <sz val="30.0"/>
        <u/>
      </rPr>
      <t>★★</t>
    </r>
  </si>
  <si>
    <t>Kleavor</t>
  </si>
  <si>
    <t>Dusk Ball</t>
  </si>
  <si>
    <t>Payapa Berry</t>
  </si>
  <si>
    <t>Big Nugget</t>
  </si>
  <si>
    <r>
      <rPr>
        <rFont val="Barlow Condensed"/>
        <b/>
        <color rgb="FF3E3A3A"/>
        <sz val="30.0"/>
        <u/>
      </rPr>
      <t xml:space="preserve"> -- ROUTE 8 -- </t>
    </r>
    <r>
      <rPr>
        <rFont val="Barlow Condensed"/>
        <b/>
        <color rgb="FFE69138"/>
        <sz val="30.0"/>
        <u/>
      </rPr>
      <t>★★</t>
    </r>
  </si>
  <si>
    <t>Rindo Berry</t>
  </si>
  <si>
    <r>
      <rPr>
        <rFont val="Barlow Condensed"/>
        <b/>
        <color rgb="FF3E3A3A"/>
        <sz val="30.0"/>
        <u/>
      </rPr>
      <t xml:space="preserve"> -- ROUTE 12 -- </t>
    </r>
    <r>
      <rPr>
        <rFont val="Barlow Condensed"/>
        <b/>
        <color rgb="FFE69138"/>
        <sz val="30.0"/>
        <u/>
      </rPr>
      <t>★★</t>
    </r>
  </si>
  <si>
    <t>Sliggoo-Hisui</t>
  </si>
  <si>
    <t>Dive Ball</t>
  </si>
  <si>
    <t>Yache Berry</t>
  </si>
  <si>
    <r>
      <rPr>
        <rFont val="Barlow Condensed"/>
        <b/>
        <color rgb="FF3E3A3A"/>
        <sz val="30.0"/>
        <u/>
      </rPr>
      <t xml:space="preserve"> -- VIRIDIAN FOREST -- </t>
    </r>
    <r>
      <rPr>
        <rFont val="Barlow Condensed"/>
        <b/>
        <color rgb="FFE69138"/>
        <sz val="30.0"/>
        <u/>
      </rPr>
      <t>★★★</t>
    </r>
  </si>
  <si>
    <t>Gourgeist-Su</t>
  </si>
  <si>
    <t>Golurk</t>
  </si>
  <si>
    <t>Granbull</t>
  </si>
  <si>
    <t>Salac Berry</t>
  </si>
  <si>
    <t>PP Max</t>
  </si>
  <si>
    <r>
      <rPr>
        <rFont val="Barlow Condensed"/>
        <b/>
        <color rgb="FF3E3A3A"/>
        <sz val="30.0"/>
        <u/>
      </rPr>
      <t xml:space="preserve"> -- ROUTE 13 -- </t>
    </r>
    <r>
      <rPr>
        <rFont val="Barlow Condensed"/>
        <b/>
        <color rgb="FFE69138"/>
        <sz val="30.0"/>
        <u/>
      </rPr>
      <t>★★★</t>
    </r>
  </si>
  <si>
    <t>Breloom</t>
  </si>
  <si>
    <t>Kebia Berry</t>
  </si>
  <si>
    <t>Liechi Berry</t>
  </si>
  <si>
    <r>
      <rPr>
        <rFont val="Barlow Condensed"/>
        <b/>
        <color rgb="FF3E3A3A"/>
        <sz val="30.0"/>
        <u/>
      </rPr>
      <t xml:space="preserve"> -- MT. MOON -- </t>
    </r>
    <r>
      <rPr>
        <rFont val="Barlow Condensed"/>
        <b/>
        <color rgb="FFE69138"/>
        <sz val="30.0"/>
        <u/>
      </rPr>
      <t>★★★</t>
    </r>
  </si>
  <si>
    <r>
      <rPr>
        <rFont val="Barlow Condensed"/>
        <b/>
        <color rgb="FF3E3A3A"/>
        <sz val="30.0"/>
        <u/>
      </rPr>
      <t xml:space="preserve"> -- ROUTE 14 -- </t>
    </r>
    <r>
      <rPr>
        <rFont val="Barlow Condensed"/>
        <b/>
        <color rgb="FFE69138"/>
        <sz val="30.0"/>
        <u/>
      </rPr>
      <t>★★★</t>
    </r>
  </si>
  <si>
    <t>Petaya Berry</t>
  </si>
  <si>
    <r>
      <rPr>
        <rFont val="Barlow Condensed"/>
        <b/>
        <color rgb="FF3E3A3A"/>
        <sz val="30.0"/>
        <u/>
      </rPr>
      <t xml:space="preserve"> -- ROUTE 15 -- </t>
    </r>
    <r>
      <rPr>
        <rFont val="Barlow Condensed"/>
        <b/>
        <color rgb="FFE69138"/>
        <sz val="30.0"/>
        <u/>
      </rPr>
      <t>★★★</t>
    </r>
  </si>
  <si>
    <t>Exploud</t>
  </si>
  <si>
    <t>Persian-Alola</t>
  </si>
  <si>
    <r>
      <rPr>
        <rFont val="Barlow Condensed"/>
        <b/>
        <color rgb="FF3E3A3A"/>
        <sz val="30.0"/>
        <u/>
      </rPr>
      <t xml:space="preserve"> -- POKEMON MANSION -- </t>
    </r>
    <r>
      <rPr>
        <rFont val="Barlow Condensed"/>
        <b/>
        <color rgb="FFE69138"/>
        <sz val="30.0"/>
        <u/>
      </rPr>
      <t>★★★★</t>
    </r>
  </si>
  <si>
    <t>Noctowl</t>
  </si>
  <si>
    <t>Occa Berry</t>
  </si>
  <si>
    <r>
      <rPr>
        <rFont val="Barlow Condensed"/>
        <b/>
        <color rgb="FF3E3A3A"/>
        <sz val="30.0"/>
        <u/>
      </rPr>
      <t xml:space="preserve"> -- ROUTE 2 -- </t>
    </r>
    <r>
      <rPr>
        <rFont val="Barlow Condensed"/>
        <b/>
        <color rgb="FFE69138"/>
        <sz val="30.0"/>
        <u/>
      </rPr>
      <t>★★★★</t>
    </r>
  </si>
  <si>
    <t>Life Orb</t>
  </si>
  <si>
    <r>
      <rPr>
        <rFont val="Barlow Condensed"/>
        <b/>
        <color rgb="FF3E3A3A"/>
        <sz val="30.0"/>
        <u/>
      </rPr>
      <t xml:space="preserve"> -- ROUTE 16 -- </t>
    </r>
    <r>
      <rPr>
        <rFont val="Barlow Condensed"/>
        <b/>
        <color rgb="FFE69138"/>
        <sz val="30.0"/>
        <u/>
      </rPr>
      <t>★★★★</t>
    </r>
  </si>
  <si>
    <r>
      <rPr>
        <rFont val="Barlow Condensed"/>
        <b/>
        <color rgb="FF3E3A3A"/>
        <sz val="30.0"/>
        <u/>
      </rPr>
      <t xml:space="preserve"> -- ROUTE 10 -- </t>
    </r>
    <r>
      <rPr>
        <rFont val="Barlow Condensed"/>
        <b/>
        <color rgb="FFE69138"/>
        <sz val="30.0"/>
        <u/>
      </rPr>
      <t>★★★★</t>
    </r>
  </si>
  <si>
    <r>
      <rPr>
        <rFont val="Barlow Condensed"/>
        <b/>
        <color rgb="FF3E3A3A"/>
        <sz val="30.0"/>
        <u/>
      </rPr>
      <t xml:space="preserve"> -- ROUTE 25 -- </t>
    </r>
    <r>
      <rPr>
        <rFont val="Barlow Condensed"/>
        <b/>
        <color rgb="FFE69138"/>
        <sz val="30.0"/>
        <u/>
      </rPr>
      <t>★★★★</t>
    </r>
  </si>
  <si>
    <r>
      <rPr>
        <rFont val="Barlow Condensed"/>
        <b/>
        <color rgb="FF3E3A3A"/>
        <sz val="30.0"/>
        <u/>
      </rPr>
      <t xml:space="preserve"> -- SAFARI ZONE FAR-WESTERN AREA -- </t>
    </r>
    <r>
      <rPr>
        <rFont val="Barlow Condensed"/>
        <b/>
        <color rgb="FFE69138"/>
        <sz val="30.0"/>
        <u/>
      </rPr>
      <t>★★★★</t>
    </r>
  </si>
  <si>
    <r>
      <rPr>
        <rFont val="Barlow Condensed"/>
        <b/>
        <color rgb="FF3E3A3A"/>
        <sz val="30.0"/>
        <u/>
      </rPr>
      <t xml:space="preserve"> -- POWER PLANT -- </t>
    </r>
    <r>
      <rPr>
        <rFont val="Barlow Condensed"/>
        <b/>
        <color rgb="FFE69138"/>
        <sz val="30.0"/>
        <u/>
      </rPr>
      <t>★★★★</t>
    </r>
  </si>
  <si>
    <r>
      <rPr>
        <rFont val="Barlow Condensed"/>
        <b/>
        <color rgb="FF3E3A3A"/>
        <sz val="30.0"/>
        <u/>
      </rPr>
      <t xml:space="preserve"> -- SEAFOAM ISLANDS -- </t>
    </r>
    <r>
      <rPr>
        <rFont val="Barlow Condensed"/>
        <b/>
        <color rgb="FFE69138"/>
        <sz val="30.0"/>
        <u/>
      </rPr>
      <t>★★★★</t>
    </r>
  </si>
  <si>
    <r>
      <rPr>
        <rFont val="Barlow Condensed"/>
        <b/>
        <color rgb="FF3E3A3A"/>
        <sz val="30.0"/>
        <u/>
      </rPr>
      <t xml:space="preserve"> -- CERULEAN CAVE -- </t>
    </r>
    <r>
      <rPr>
        <rFont val="Barlow Condensed"/>
        <b/>
        <color rgb="FFE69138"/>
        <sz val="30.0"/>
        <u/>
      </rPr>
      <t>★★★★</t>
    </r>
  </si>
  <si>
    <t>Beast Ball</t>
  </si>
  <si>
    <t>Power Herb</t>
  </si>
  <si>
    <r>
      <rPr>
        <rFont val="Barlow Condensed"/>
        <b/>
        <color rgb="FF3E3A3A"/>
        <sz val="30.0"/>
        <u/>
      </rPr>
      <t xml:space="preserve"> -- ROUTE 13 -- </t>
    </r>
    <r>
      <rPr>
        <rFont val="Barlow Condensed"/>
        <b/>
        <color rgb="FFE69138"/>
        <sz val="30.0"/>
        <u/>
      </rPr>
      <t>★★★★★</t>
    </r>
  </si>
  <si>
    <r>
      <rPr>
        <rFont val="Barlow Condensed"/>
        <b/>
        <color rgb="FF3E3A3A"/>
        <sz val="30.0"/>
        <u/>
      </rPr>
      <t xml:space="preserve"> -- VIRIDIAN FOREST -- </t>
    </r>
    <r>
      <rPr>
        <rFont val="Barlow Condensed"/>
        <b/>
        <color rgb="FFE69138"/>
        <sz val="30.0"/>
        <u/>
      </rPr>
      <t>★★★★★</t>
    </r>
  </si>
  <si>
    <r>
      <rPr>
        <rFont val="Barlow Condensed"/>
        <b/>
        <color rgb="FF3E3A3A"/>
        <sz val="30.0"/>
        <u/>
      </rPr>
      <t xml:space="preserve"> -- ROCK TUNNEL -- </t>
    </r>
    <r>
      <rPr>
        <rFont val="Barlow Condensed"/>
        <b/>
        <color rgb="FFE69138"/>
        <sz val="30.0"/>
        <u/>
      </rPr>
      <t>★★★★★</t>
    </r>
  </si>
  <si>
    <r>
      <rPr>
        <rFont val="Barlow Condensed"/>
        <b/>
        <color rgb="FF3E3A3A"/>
        <sz val="30.0"/>
        <u/>
      </rPr>
      <t xml:space="preserve"> -- POKEMON MANSION -- </t>
    </r>
    <r>
      <rPr>
        <rFont val="Barlow Condensed"/>
        <b/>
        <color rgb="FFE69138"/>
        <sz val="30.0"/>
        <u/>
      </rPr>
      <t>★★★★★</t>
    </r>
  </si>
  <si>
    <r>
      <rPr>
        <rFont val="Barlow Condensed"/>
        <b/>
        <color rgb="FF3E3A3A"/>
        <sz val="30.0"/>
        <u/>
      </rPr>
      <t xml:space="preserve"> -- POWER PLANT -- </t>
    </r>
    <r>
      <rPr>
        <rFont val="Barlow Condensed"/>
        <b/>
        <color rgb="FFE69138"/>
        <sz val="30.0"/>
        <u/>
      </rPr>
      <t>★★★★★</t>
    </r>
  </si>
  <si>
    <r>
      <rPr>
        <rFont val="Barlow Condensed"/>
        <b/>
        <color rgb="FF3E3A3A"/>
        <sz val="30.0"/>
        <u/>
      </rPr>
      <t xml:space="preserve"> -- SEAFOAM ISLANDS -- </t>
    </r>
    <r>
      <rPr>
        <rFont val="Barlow Condensed"/>
        <b/>
        <color rgb="FFE69138"/>
        <sz val="30.0"/>
        <u/>
      </rPr>
      <t>★★★★★</t>
    </r>
  </si>
  <si>
    <r>
      <rPr>
        <rFont val="Barlow Condensed"/>
        <b/>
        <color rgb="FF3E3A3A"/>
        <sz val="30.0"/>
        <u/>
      </rPr>
      <t xml:space="preserve"> -- CERULEAN CAVE -- </t>
    </r>
    <r>
      <rPr>
        <rFont val="Barlow Condensed"/>
        <b/>
        <color rgb="FFE69138"/>
        <sz val="30.0"/>
        <u/>
      </rPr>
      <t>★★★★★</t>
    </r>
  </si>
  <si>
    <r>
      <rPr>
        <rFont val="Barlow Condensed"/>
        <b/>
        <color rgb="FF3E3A3A"/>
        <sz val="30.0"/>
        <u/>
      </rPr>
      <t xml:space="preserve"> -- VICTORY ROAD -- </t>
    </r>
    <r>
      <rPr>
        <rFont val="Barlow Condensed"/>
        <b/>
        <color rgb="FFE69138"/>
        <sz val="30.0"/>
        <u/>
      </rPr>
      <t>★★★★★</t>
    </r>
  </si>
  <si>
    <t>Rocky Helmet</t>
  </si>
  <si>
    <t>Eviolite</t>
  </si>
  <si>
    <r>
      <rPr>
        <rFont val="Barlow Condensed"/>
        <b/>
        <color rgb="FF3E3A3A"/>
        <sz val="30.0"/>
        <u/>
      </rPr>
      <t xml:space="preserve"> -- VIRIDIAN FOREST -- </t>
    </r>
    <r>
      <rPr>
        <rFont val="Barlow Condensed"/>
        <b/>
        <color rgb="FFE69138"/>
        <sz val="30.0"/>
        <u/>
      </rPr>
      <t>★★★★★★</t>
    </r>
  </si>
  <si>
    <t>Choice Scarf</t>
  </si>
  <si>
    <r>
      <rPr>
        <rFont val="Barlow Condensed"/>
        <b/>
        <color rgb="FF3E3A3A"/>
        <sz val="30.0"/>
        <u/>
      </rPr>
      <t xml:space="preserve"> -- MT. MOON -- </t>
    </r>
    <r>
      <rPr>
        <rFont val="Barlow Condensed"/>
        <b/>
        <color rgb="FFE69138"/>
        <sz val="30.0"/>
        <u/>
      </rPr>
      <t>★★★★★★</t>
    </r>
  </si>
  <si>
    <t>Choice Band</t>
  </si>
  <si>
    <r>
      <rPr>
        <rFont val="Barlow Condensed"/>
        <b/>
        <color rgb="FF3E3A3A"/>
        <sz val="30.0"/>
        <u/>
      </rPr>
      <t xml:space="preserve"> -- POKEMON MANSION -- </t>
    </r>
    <r>
      <rPr>
        <rFont val="Barlow Condensed"/>
        <b/>
        <color rgb="FFE69138"/>
        <sz val="30.0"/>
        <u/>
      </rPr>
      <t>★★★★★★</t>
    </r>
  </si>
  <si>
    <r>
      <rPr>
        <rFont val="Barlow Condensed"/>
        <b/>
        <color rgb="FF3E3A3A"/>
        <sz val="30.0"/>
        <u/>
      </rPr>
      <t xml:space="preserve"> -- POWER PLANT -- </t>
    </r>
    <r>
      <rPr>
        <rFont val="Barlow Condensed"/>
        <b/>
        <color rgb="FFE69138"/>
        <sz val="30.0"/>
        <u/>
      </rPr>
      <t>★★★★★★</t>
    </r>
  </si>
  <si>
    <t>Choice Specs</t>
  </si>
  <si>
    <r>
      <rPr>
        <rFont val="Barlow Condensed"/>
        <b/>
        <color rgb="FF3E3A3A"/>
        <sz val="30.0"/>
        <u/>
      </rPr>
      <t xml:space="preserve"> -- SEAFOAM ISLANDS -- </t>
    </r>
    <r>
      <rPr>
        <rFont val="Barlow Condensed"/>
        <b/>
        <color rgb="FFE69138"/>
        <sz val="30.0"/>
        <u/>
      </rPr>
      <t>★★★★★★</t>
    </r>
  </si>
  <si>
    <r>
      <rPr>
        <rFont val="Barlow Condensed"/>
        <b/>
        <color rgb="FF3E3A3A"/>
        <sz val="30.0"/>
        <u/>
      </rPr>
      <t xml:space="preserve"> -- CERULEAN CAVE -- </t>
    </r>
    <r>
      <rPr>
        <rFont val="Barlow Condensed"/>
        <b/>
        <color rgb="FFE69138"/>
        <sz val="30.0"/>
        <u/>
      </rPr>
      <t>★★★★★★</t>
    </r>
  </si>
  <si>
    <t>--</t>
  </si>
  <si>
    <t>White Herb</t>
  </si>
  <si>
    <r>
      <rPr>
        <rFont val="Barlow Condensed"/>
        <b/>
        <color rgb="FF3E3A3A"/>
        <sz val="30.0"/>
        <u/>
      </rPr>
      <t xml:space="preserve"> -- VICTORY ROAD -- </t>
    </r>
    <r>
      <rPr>
        <rFont val="Barlow Condensed"/>
        <b/>
        <color rgb="FFE69138"/>
        <sz val="30.0"/>
        <u/>
      </rPr>
      <t>★★★★★★</t>
    </r>
  </si>
  <si>
    <t>SHARD TRADES IN CELADON CITY'S MANSION</t>
  </si>
  <si>
    <t>- Trade 1 Shard for a random Starter Pokémon egg of the colour's corresponding type.</t>
  </si>
  <si>
    <t>- Trade 1 Yellow Shard for a random special Pikachu forme holding a Light Ball.</t>
  </si>
  <si>
    <t>Squirtle</t>
  </si>
  <si>
    <t>Pikachu-Popstar</t>
  </si>
  <si>
    <t>Chikorita</t>
  </si>
  <si>
    <t>Totodile</t>
  </si>
  <si>
    <t>Cyndaquil</t>
  </si>
  <si>
    <t>Pikachu-Belle</t>
  </si>
  <si>
    <t>Treecko</t>
  </si>
  <si>
    <t>Mudkip</t>
  </si>
  <si>
    <t>Torchic</t>
  </si>
  <si>
    <t>Pikachu-Rockstar</t>
  </si>
  <si>
    <t>Turtwig</t>
  </si>
  <si>
    <t>Piplup</t>
  </si>
  <si>
    <t>Chimchar</t>
  </si>
  <si>
    <t>Pikachu-Libre</t>
  </si>
  <si>
    <t>Snivy</t>
  </si>
  <si>
    <t>Oshawott</t>
  </si>
  <si>
    <t>Tepig</t>
  </si>
  <si>
    <t>Pikachu-PhD</t>
  </si>
  <si>
    <t>Chespin</t>
  </si>
  <si>
    <t>Froakie</t>
  </si>
  <si>
    <t>Fennekin</t>
  </si>
  <si>
    <t>Pikachu-Flying</t>
  </si>
  <si>
    <t>Rowlet</t>
  </si>
  <si>
    <t>Popplio</t>
  </si>
  <si>
    <t>Litten</t>
  </si>
  <si>
    <t>Pikachu-Surfing</t>
  </si>
  <si>
    <t>Grookey</t>
  </si>
  <si>
    <t>Sobble</t>
  </si>
  <si>
    <t>Scorbunny</t>
  </si>
  <si>
    <t>Any Cap Pikachu</t>
  </si>
  <si>
    <t>Sprigatito</t>
  </si>
  <si>
    <t>Quaxly</t>
  </si>
  <si>
    <t>Fuecoco</t>
  </si>
  <si>
    <t>CELADON CITY'S GAME CORNER</t>
  </si>
  <si>
    <t>-  Each of those Pokémon are sold to the player for 100,000$</t>
  </si>
  <si>
    <t>-  You can also choose whether to get their Hidden Ability or not, for free</t>
  </si>
  <si>
    <t>-  Add an additional 100,000$ for those Pokémon's Shiny form</t>
  </si>
  <si>
    <t>-  You can change Rotom's form in Oak's Lab by interacting with a big machine</t>
  </si>
  <si>
    <t>Dratini</t>
  </si>
  <si>
    <t>Jangmo-o</t>
  </si>
  <si>
    <t>Larvitar</t>
  </si>
  <si>
    <t>Gible</t>
  </si>
  <si>
    <t>Beldum</t>
  </si>
  <si>
    <t>Larvesta</t>
  </si>
  <si>
    <t>Dreepy</t>
  </si>
  <si>
    <t>Bagon</t>
  </si>
  <si>
    <t>Deino</t>
  </si>
  <si>
    <t>Honedge</t>
  </si>
  <si>
    <t>Goomy</t>
  </si>
  <si>
    <t>Frigibax</t>
  </si>
  <si>
    <t>CELADON CITY RESTAURANT</t>
  </si>
  <si>
    <t>Looking for...</t>
  </si>
  <si>
    <t>Reward</t>
  </si>
  <si>
    <t>ROUTE 5 UNDERGROUND PATH</t>
  </si>
  <si>
    <t>ROUTE 18'S GATE UPSTAIRS</t>
  </si>
  <si>
    <t>VERMILION CITY</t>
  </si>
  <si>
    <t>CINNABAR ISLAND LAB</t>
  </si>
  <si>
    <t>Farfetch'd-Galar</t>
  </si>
  <si>
    <t>ROUTE 11'S GATE UPSTAIRS</t>
  </si>
  <si>
    <t>Florges</t>
  </si>
  <si>
    <t>Furret</t>
  </si>
  <si>
    <t>?</t>
  </si>
  <si>
    <t>???</t>
  </si>
  <si>
    <t>CERULEAN CITY'S GYM</t>
  </si>
  <si>
    <t>REQUIREMENTS</t>
  </si>
  <si>
    <t>ADDITIONAL INFORMATION</t>
  </si>
  <si>
    <t>Finizen</t>
  </si>
  <si>
    <t>Defeat Misty in a Rematch Battle for the first time</t>
  </si>
  <si>
    <t>(Lv. 5)</t>
  </si>
  <si>
    <t>ROUTE 4'S POKEMON CENTER</t>
  </si>
  <si>
    <t>Buy for 500$ from a guy inside</t>
  </si>
  <si>
    <t>Talk again to buy a Shiny Magikarp for 75,000$ 
(both Lv. 5)</t>
  </si>
  <si>
    <t>ROUTE 5'S POKEMON DAYCARE</t>
  </si>
  <si>
    <t>Defeat the man in a Hisui-themed battle</t>
  </si>
  <si>
    <t>CELADON CITY'S MANSION</t>
  </si>
  <si>
    <t>Go to the room in 4F and pick up the Pokéball</t>
  </si>
  <si>
    <t>(Lv. 25)</t>
  </si>
  <si>
    <t>SAFFRON CITY'S DOJO</t>
  </si>
  <si>
    <t>Defeat Chuck</t>
  </si>
  <si>
    <t>Can only pick one, (Both Lv. 35)</t>
  </si>
  <si>
    <t>SILPH CO. 7F</t>
  </si>
  <si>
    <t>Defeat your rival and talk to the guy behind him</t>
  </si>
  <si>
    <t>CELADON CITY'S GYM</t>
  </si>
  <si>
    <t>Defeat Erika in a Rematch Battle</t>
  </si>
  <si>
    <t>Defeat Ketchup after Team Rocket leaves</t>
  </si>
  <si>
    <t>Can get another Kubfu by winning a Rematch 
Battle, one day after (both Lv. 30)</t>
  </si>
  <si>
    <t>POST-GAME</t>
  </si>
  <si>
    <t>VIRIDIAN CITY'S GYM</t>
  </si>
  <si>
    <t xml:space="preserve">Defeat Clair in a Rematch Battle (requires Z-Ring) </t>
  </si>
  <si>
    <t>Has the exclusive Gift Move Spirit Shackle 
(Lv. 100)</t>
  </si>
  <si>
    <t>Defeat Misty in a Rematch Battle (requires Z-Ring)</t>
  </si>
  <si>
    <t>Has the exclusive Gift Move Shell Smash 
(Lv. 100)</t>
  </si>
  <si>
    <t>SAFFRON CITY</t>
  </si>
  <si>
    <t>Defeat Dumbass Kid in a Rematch Battle 
(requires Z-Ring)</t>
  </si>
  <si>
    <t>(Lv. 50)</t>
  </si>
  <si>
    <t>ONE ISLAND POKEMON CENTER</t>
  </si>
  <si>
    <t xml:space="preserve">Buy from the Battle Simulator (50 BP) </t>
  </si>
  <si>
    <t>Defeat Red after getting a 4+ win streak in the 
Battle Simulator</t>
  </si>
  <si>
    <t>Is always Shiny + Has 252 EVs in all stats 
(Normal Mode) or 252 HP EVs with 100 EVs in Atk 
and SpAtk (Hardcore/Minimal Grinding Modes) 
+ Has the exclusive Gift Move Aura Wheel 
(Lv. 100)</t>
  </si>
  <si>
    <t>Defeat Bugsy in a Rematch Battle</t>
  </si>
  <si>
    <t>Has the exclusive Gift Move Extreme Speed 
(Lv. 100)</t>
  </si>
  <si>
    <t>MT. EMBER TOP</t>
  </si>
  <si>
    <t>Defeat Archer in a Rematch Battle</t>
  </si>
  <si>
    <t>Has the exclusive Gift Moves Headlong Rush 
and Brave Bird (Lv. 100)</t>
  </si>
  <si>
    <t>TWO ISLAND</t>
  </si>
  <si>
    <t>Clefable</t>
  </si>
  <si>
    <t>Defeat Whitney in a Rematch Battle</t>
  </si>
  <si>
    <t>Has the exclusive Gift Move Light of Ruin 
(Lv. 100)</t>
  </si>
  <si>
    <t>Defeat Gatekeeper Owen after saving Lostelle</t>
  </si>
  <si>
    <t>(Lv. 100)</t>
  </si>
  <si>
    <t>- To input these codes, talk to the red Nurse in any Pokémon Center and select the "Mystery Gift" option.</t>
  </si>
  <si>
    <t>- You may only claim those rewards after entering the Hall Of Fame at least once.</t>
  </si>
  <si>
    <t>- Those codes are case-sensitive and the rewards can only be redeemed once per save file.</t>
  </si>
  <si>
    <t>- They will never expire. Most Mystery Gifts can be inputted in v3.1 even released after that version.</t>
  </si>
  <si>
    <t>- Pokémon distributed through Mystery Gifts are always Lv. 85.</t>
  </si>
  <si>
    <t>MYSTERY GIFT CODES</t>
  </si>
  <si>
    <t>RXIIqgh29</t>
  </si>
  <si>
    <t>Has Hidden Ability Phoenix Down.</t>
  </si>
  <si>
    <t>86ZvZG1Bm</t>
  </si>
  <si>
    <t>qNubjEQuZki</t>
  </si>
  <si>
    <t>xZnwrncs</t>
  </si>
  <si>
    <t>Has exclusive Gift Moves Dragon Ascent and V-Create.</t>
  </si>
  <si>
    <t>s75piYi</t>
  </si>
  <si>
    <t>Has the move Dark Hole, which can only be retaught once</t>
  </si>
  <si>
    <t>ZcqLcEfUDp5Z</t>
  </si>
  <si>
    <t>xo6HsTl5Uym1</t>
  </si>
  <si>
    <t>Holds Rusted Shield</t>
  </si>
  <si>
    <t>nvfArRPTYXcr</t>
  </si>
  <si>
    <t>FHbrO5xLF3Vy</t>
  </si>
  <si>
    <t>enR6C8knHyO</t>
  </si>
  <si>
    <t>Holds Rusted Sword</t>
  </si>
  <si>
    <t>ELGzsFeJATlE</t>
  </si>
  <si>
    <t>Has exclusive Gift Move Mystic Power</t>
  </si>
  <si>
    <t>ghS57gu</t>
  </si>
  <si>
    <t>02UXRthxIDrp</t>
  </si>
  <si>
    <t>pGIk3xteX4Am</t>
  </si>
  <si>
    <t>h77XuRIDLXea</t>
  </si>
  <si>
    <t>Has exclusive Gift Moves Dragon Hammer and Spirit Shackle, holds Griseous Orb</t>
  </si>
  <si>
    <t>sW0rdPjYsrjx</t>
  </si>
  <si>
    <t>Y2YWRRZPdw</t>
  </si>
  <si>
    <t>Holds Adamant Orb</t>
  </si>
  <si>
    <t>divysuSN</t>
  </si>
  <si>
    <t>af7trmwb</t>
  </si>
  <si>
    <t>Holds Red Orb</t>
  </si>
  <si>
    <t>Unobtainable Pokémon as of v4.1</t>
  </si>
  <si>
    <t>Number of currently available Pokémon</t>
  </si>
  <si>
    <t>1023/1025</t>
  </si>
  <si>
    <t>ICONS</t>
  </si>
  <si>
    <t>DAY</t>
  </si>
  <si>
    <t>Blue</t>
  </si>
  <si>
    <t>NIGHT</t>
  </si>
  <si>
    <t>Green</t>
  </si>
  <si>
    <t>GRASS</t>
  </si>
  <si>
    <t>Red</t>
  </si>
  <si>
    <t>Yellow</t>
  </si>
  <si>
    <t>TRADING</t>
  </si>
  <si>
    <t>Number</t>
  </si>
  <si>
    <t>Pokemon Name</t>
  </si>
  <si>
    <t>Sprite</t>
  </si>
  <si>
    <t>Gen5 Sprites</t>
  </si>
  <si>
    <t>Ivysaur</t>
  </si>
  <si>
    <t>Venusaur</t>
  </si>
  <si>
    <t>Charmeleon</t>
  </si>
  <si>
    <t>Charizard</t>
  </si>
  <si>
    <t>Wartortle</t>
  </si>
  <si>
    <t>Blastoise</t>
  </si>
  <si>
    <t>charizard-megax</t>
  </si>
  <si>
    <t>charizard-megay</t>
  </si>
  <si>
    <t>Metapod</t>
  </si>
  <si>
    <t>Butterfree</t>
  </si>
  <si>
    <t>Kakuna</t>
  </si>
  <si>
    <t>Beedrill</t>
  </si>
  <si>
    <t>Pidgeotto</t>
  </si>
  <si>
    <t>Pidgeot</t>
  </si>
  <si>
    <t>butterfree-gmax</t>
  </si>
  <si>
    <t>Arbok</t>
  </si>
  <si>
    <t>beedrill-mega</t>
  </si>
  <si>
    <t>Raichu</t>
  </si>
  <si>
    <t>Nidorina</t>
  </si>
  <si>
    <t>Nidoqueen</t>
  </si>
  <si>
    <t>Nidorino</t>
  </si>
  <si>
    <t>Nidoking</t>
  </si>
  <si>
    <t>Wigglytuff</t>
  </si>
  <si>
    <t>Gloom</t>
  </si>
  <si>
    <t>Vileplume</t>
  </si>
  <si>
    <t>Venomoth</t>
  </si>
  <si>
    <t>Persian</t>
  </si>
  <si>
    <t>nidoranf</t>
  </si>
  <si>
    <t>nidoranm</t>
  </si>
  <si>
    <t>Kadabra</t>
  </si>
  <si>
    <t>Machoke</t>
  </si>
  <si>
    <t>Weepinbell</t>
  </si>
  <si>
    <t>Victreebel</t>
  </si>
  <si>
    <t>Golem</t>
  </si>
  <si>
    <t>Dodrio</t>
  </si>
  <si>
    <t>Cloyster</t>
  </si>
  <si>
    <t>Hypno</t>
  </si>
  <si>
    <t>Hitmonlee</t>
  </si>
  <si>
    <t>Hitmonchan</t>
  </si>
  <si>
    <t>machamp-gmax</t>
  </si>
  <si>
    <t>Rhydon</t>
  </si>
  <si>
    <t>Mr. Mime</t>
  </si>
  <si>
    <t>farfetchd</t>
  </si>
  <si>
    <t>Vaporeon</t>
  </si>
  <si>
    <t>Jolteon</t>
  </si>
  <si>
    <t>Flareon</t>
  </si>
  <si>
    <t>Dragonair</t>
  </si>
  <si>
    <t>Bayleef</t>
  </si>
  <si>
    <t>kingler-gmax</t>
  </si>
  <si>
    <t>Quilava</t>
  </si>
  <si>
    <t>Croconaw</t>
  </si>
  <si>
    <t>Feraligatr</t>
  </si>
  <si>
    <t>Ledian</t>
  </si>
  <si>
    <t>Crobat</t>
  </si>
  <si>
    <t>Pichu</t>
  </si>
  <si>
    <t>Cleffa</t>
  </si>
  <si>
    <t>Igglybuff</t>
  </si>
  <si>
    <t>Togetic</t>
  </si>
  <si>
    <t>Flaaffy</t>
  </si>
  <si>
    <t>mrmime</t>
  </si>
  <si>
    <t>mrmime-galar</t>
  </si>
  <si>
    <t>Bellossom</t>
  </si>
  <si>
    <t>Azumarill</t>
  </si>
  <si>
    <t>Sudowoodo</t>
  </si>
  <si>
    <t>Skiploom</t>
  </si>
  <si>
    <t>Sunflora</t>
  </si>
  <si>
    <t>lapras-gmax</t>
  </si>
  <si>
    <t>Quagsire</t>
  </si>
  <si>
    <t>Espeon</t>
  </si>
  <si>
    <t>Umbreon</t>
  </si>
  <si>
    <t>snorlax-gmax</t>
  </si>
  <si>
    <t>Ursaring</t>
  </si>
  <si>
    <t>mewtwo-megax</t>
  </si>
  <si>
    <t>mewtwo-megay</t>
  </si>
  <si>
    <t>Kingdra</t>
  </si>
  <si>
    <t>Donphan</t>
  </si>
  <si>
    <t>Porygon2</t>
  </si>
  <si>
    <t>Hitmontop</t>
  </si>
  <si>
    <t>Blissey</t>
  </si>
  <si>
    <t>pichu-spikyeared</t>
  </si>
  <si>
    <t>Pupitar</t>
  </si>
  <si>
    <t>Grovyle</t>
  </si>
  <si>
    <t>Sceptile</t>
  </si>
  <si>
    <t>Combusken</t>
  </si>
  <si>
    <t>Marshtomp</t>
  </si>
  <si>
    <t>Swampert</t>
  </si>
  <si>
    <t>Linoone</t>
  </si>
  <si>
    <t>Silcoon</t>
  </si>
  <si>
    <t>Beautifly</t>
  </si>
  <si>
    <t>Cascoon</t>
  </si>
  <si>
    <t>Dustox</t>
  </si>
  <si>
    <t>Lombre</t>
  </si>
  <si>
    <t>Ludicolo</t>
  </si>
  <si>
    <t>Nuzleaf</t>
  </si>
  <si>
    <t>Swellow</t>
  </si>
  <si>
    <t>Kirlia</t>
  </si>
  <si>
    <t>Vigoroth</t>
  </si>
  <si>
    <t>Slaking</t>
  </si>
  <si>
    <t>Ninjask</t>
  </si>
  <si>
    <t>Shedinja</t>
  </si>
  <si>
    <t>Loudred</t>
  </si>
  <si>
    <t>Hariyama</t>
  </si>
  <si>
    <t>Azurill</t>
  </si>
  <si>
    <t>Delcatty</t>
  </si>
  <si>
    <t>Lairon</t>
  </si>
  <si>
    <t>Camerupt</t>
  </si>
  <si>
    <t>Vibrava</t>
  </si>
  <si>
    <t>hooh</t>
  </si>
  <si>
    <t>Cacturne</t>
  </si>
  <si>
    <t>grovyle</t>
  </si>
  <si>
    <t>sceptile</t>
  </si>
  <si>
    <t>sceptile-mega</t>
  </si>
  <si>
    <t>torchic</t>
  </si>
  <si>
    <t>combusken</t>
  </si>
  <si>
    <t>blaziken</t>
  </si>
  <si>
    <t>blaziken-mega</t>
  </si>
  <si>
    <t>mudkip</t>
  </si>
  <si>
    <t>marshtomp</t>
  </si>
  <si>
    <t>Claydol</t>
  </si>
  <si>
    <t>Cradily</t>
  </si>
  <si>
    <t>Armaldo</t>
  </si>
  <si>
    <t>Duskull</t>
  </si>
  <si>
    <t>Wynaut</t>
  </si>
  <si>
    <t>Shelgon</t>
  </si>
  <si>
    <t>Metang</t>
  </si>
  <si>
    <t>Grotle</t>
  </si>
  <si>
    <t>Torterra</t>
  </si>
  <si>
    <t>Monferno</t>
  </si>
  <si>
    <t>Prinplup</t>
  </si>
  <si>
    <t>Staravia</t>
  </si>
  <si>
    <t>Bibarel</t>
  </si>
  <si>
    <t>Kricketune</t>
  </si>
  <si>
    <t>Luxio</t>
  </si>
  <si>
    <t>Luxray</t>
  </si>
  <si>
    <t>Rampardos</t>
  </si>
  <si>
    <t>Bastiodon</t>
  </si>
  <si>
    <t>Wormadam</t>
  </si>
  <si>
    <t>Mothim</t>
  </si>
  <si>
    <t>Vespiquen</t>
  </si>
  <si>
    <t>Cherrim</t>
  </si>
  <si>
    <t>Gastrodon</t>
  </si>
  <si>
    <t>Drifblim</t>
  </si>
  <si>
    <t>Honchkrow</t>
  </si>
  <si>
    <t>Purugly</t>
  </si>
  <si>
    <t>Bronzong</t>
  </si>
  <si>
    <t>Happiny</t>
  </si>
  <si>
    <t>Gabite</t>
  </si>
  <si>
    <t>Drapion</t>
  </si>
  <si>
    <t>Weavile</t>
  </si>
  <si>
    <t>Magnezone</t>
  </si>
  <si>
    <t>Lickilicky</t>
  </si>
  <si>
    <t>Rhyperior</t>
  </si>
  <si>
    <t>Electivire</t>
  </si>
  <si>
    <t>Magmortar</t>
  </si>
  <si>
    <t>Togekiss</t>
  </si>
  <si>
    <t>Yanmega</t>
  </si>
  <si>
    <t>Leafeon</t>
  </si>
  <si>
    <t>Glaceon</t>
  </si>
  <si>
    <t>Mamoswine</t>
  </si>
  <si>
    <t>Porygon-Z</t>
  </si>
  <si>
    <t>Gallade</t>
  </si>
  <si>
    <t>Probopass</t>
  </si>
  <si>
    <t>Dusknoir</t>
  </si>
  <si>
    <t>kyogre-primal</t>
  </si>
  <si>
    <t>groudon-primal</t>
  </si>
  <si>
    <t>deoxys-attack</t>
  </si>
  <si>
    <t>deoxys-defense</t>
  </si>
  <si>
    <t>Servine</t>
  </si>
  <si>
    <t>deoxys-speed</t>
  </si>
  <si>
    <t>Serperior</t>
  </si>
  <si>
    <t>Pignite</t>
  </si>
  <si>
    <t>Emboar</t>
  </si>
  <si>
    <t>Dewott</t>
  </si>
  <si>
    <t>Samurott</t>
  </si>
  <si>
    <t>Watchog</t>
  </si>
  <si>
    <t>Herdier</t>
  </si>
  <si>
    <t>Stoutland</t>
  </si>
  <si>
    <t>Musharna</t>
  </si>
  <si>
    <t>Tranquill</t>
  </si>
  <si>
    <t>Unfezant</t>
  </si>
  <si>
    <t>Gigalith</t>
  </si>
  <si>
    <t>Swoobat</t>
  </si>
  <si>
    <t>Gurdurr</t>
  </si>
  <si>
    <t>Palpitoad</t>
  </si>
  <si>
    <t>gastrodon-west</t>
  </si>
  <si>
    <t>gastrodon-east</t>
  </si>
  <si>
    <t>Leavanny</t>
  </si>
  <si>
    <t>Scolipede</t>
  </si>
  <si>
    <t>Whimsicott</t>
  </si>
  <si>
    <t>Krokorok</t>
  </si>
  <si>
    <t>mimejr</t>
  </si>
  <si>
    <t>Scrafty</t>
  </si>
  <si>
    <t>Carracosta</t>
  </si>
  <si>
    <t>Archeops</t>
  </si>
  <si>
    <t>Zoroark</t>
  </si>
  <si>
    <t>Cinccino</t>
  </si>
  <si>
    <t>Gothorita</t>
  </si>
  <si>
    <t>Gothitelle</t>
  </si>
  <si>
    <t>Duosion</t>
  </si>
  <si>
    <t>Swanna</t>
  </si>
  <si>
    <t>Vanillish</t>
  </si>
  <si>
    <t>Sawsbuck</t>
  </si>
  <si>
    <t>porygonz</t>
  </si>
  <si>
    <t>Klang</t>
  </si>
  <si>
    <t>Klinklang</t>
  </si>
  <si>
    <t>Eelektrik</t>
  </si>
  <si>
    <t>Beheeyem</t>
  </si>
  <si>
    <t>Litwick</t>
  </si>
  <si>
    <t>Chandelure</t>
  </si>
  <si>
    <t>Fraxure</t>
  </si>
  <si>
    <t>Haxorus</t>
  </si>
  <si>
    <t>giratina-origin</t>
  </si>
  <si>
    <t>Accelgor</t>
  </si>
  <si>
    <t>Mienshao</t>
  </si>
  <si>
    <t>Braviary</t>
  </si>
  <si>
    <t>Mandibuzz</t>
  </si>
  <si>
    <t>Zweilous</t>
  </si>
  <si>
    <t>Hydreigon</t>
  </si>
  <si>
    <t>Quilladin</t>
  </si>
  <si>
    <t>Chesnaught</t>
  </si>
  <si>
    <t>Braixen</t>
  </si>
  <si>
    <t>Delphox</t>
  </si>
  <si>
    <t>Frogadier</t>
  </si>
  <si>
    <t>Greninja</t>
  </si>
  <si>
    <t>Diggersby</t>
  </si>
  <si>
    <t>Fletchinder</t>
  </si>
  <si>
    <t>Spewpa</t>
  </si>
  <si>
    <t>Vivillon</t>
  </si>
  <si>
    <t>Floette</t>
  </si>
  <si>
    <t>Gogoat</t>
  </si>
  <si>
    <t>Meowstic</t>
  </si>
  <si>
    <t>Doublade</t>
  </si>
  <si>
    <t>Aromatisse</t>
  </si>
  <si>
    <t>Slurpuff</t>
  </si>
  <si>
    <t>Malamar</t>
  </si>
  <si>
    <t>basculin-bluestriped</t>
  </si>
  <si>
    <t>Tyrantrum</t>
  </si>
  <si>
    <t>Aurorus</t>
  </si>
  <si>
    <t>Sylveon</t>
  </si>
  <si>
    <t>Sliggoo</t>
  </si>
  <si>
    <t>darmanitan-galarzen</t>
  </si>
  <si>
    <t>Trevenant</t>
  </si>
  <si>
    <t>Gourgeist</t>
  </si>
  <si>
    <t>garbodor-gmax</t>
  </si>
  <si>
    <t>Dartrix</t>
  </si>
  <si>
    <t>Decidueye</t>
  </si>
  <si>
    <t>Torracat</t>
  </si>
  <si>
    <t>Incineroar</t>
  </si>
  <si>
    <t>Brionne</t>
  </si>
  <si>
    <t>Primarina</t>
  </si>
  <si>
    <t>Trumbeak</t>
  </si>
  <si>
    <t>Toucannon</t>
  </si>
  <si>
    <t>Ribombee</t>
  </si>
  <si>
    <t>Lycanroc</t>
  </si>
  <si>
    <t>Mudsdale</t>
  </si>
  <si>
    <t>Shiinotic</t>
  </si>
  <si>
    <t>Steenee</t>
  </si>
  <si>
    <t>Hakamo-o</t>
  </si>
  <si>
    <t>tornadus</t>
  </si>
  <si>
    <t>tornadus-therian</t>
  </si>
  <si>
    <t>thundurus</t>
  </si>
  <si>
    <t>thundurus-therian</t>
  </si>
  <si>
    <t>landorus</t>
  </si>
  <si>
    <t>landorus-therian</t>
  </si>
  <si>
    <t>kyurem-black</t>
  </si>
  <si>
    <t>kyurem-white</t>
  </si>
  <si>
    <t>Thwackey</t>
  </si>
  <si>
    <t>Rillaboom</t>
  </si>
  <si>
    <t>Raboot</t>
  </si>
  <si>
    <t>Drizzile</t>
  </si>
  <si>
    <t>Inteleon</t>
  </si>
  <si>
    <t>Greedent</t>
  </si>
  <si>
    <t>Corvisquire</t>
  </si>
  <si>
    <t>Dottler</t>
  </si>
  <si>
    <t>Orbeetle</t>
  </si>
  <si>
    <t>Thievul</t>
  </si>
  <si>
    <t>Eldegoss</t>
  </si>
  <si>
    <t>Dubwool</t>
  </si>
  <si>
    <t>Boltund</t>
  </si>
  <si>
    <t>Flapple</t>
  </si>
  <si>
    <t>Appletun</t>
  </si>
  <si>
    <t>Hattrem</t>
  </si>
  <si>
    <t>Perrserker</t>
  </si>
  <si>
    <t>Mr. Rime</t>
  </si>
  <si>
    <t>Alcremie</t>
  </si>
  <si>
    <t>Drakloak</t>
  </si>
  <si>
    <t>zygarde-complete</t>
  </si>
  <si>
    <t>Wyrdeer</t>
  </si>
  <si>
    <t>hoopa-unbound</t>
  </si>
  <si>
    <t>Sneasler</t>
  </si>
  <si>
    <t>Overqwil</t>
  </si>
  <si>
    <t>Floragato</t>
  </si>
  <si>
    <t>Crocalor</t>
  </si>
  <si>
    <t>Skeledirge</t>
  </si>
  <si>
    <t>Quaxwell</t>
  </si>
  <si>
    <t>Lechonk-M</t>
  </si>
  <si>
    <t>Spidops</t>
  </si>
  <si>
    <t>Lokix</t>
  </si>
  <si>
    <t>Pawmo</t>
  </si>
  <si>
    <t>Pawmot</t>
  </si>
  <si>
    <t>Maushold</t>
  </si>
  <si>
    <t>Dachsbun</t>
  </si>
  <si>
    <t>Dolliv</t>
  </si>
  <si>
    <t>lycanroc-midnight</t>
  </si>
  <si>
    <t>Arboliva</t>
  </si>
  <si>
    <t>Naclstack</t>
  </si>
  <si>
    <t>Garganacl</t>
  </si>
  <si>
    <t>Bellibolt</t>
  </si>
  <si>
    <t>Kilowattrel</t>
  </si>
  <si>
    <t>Mabosschiff</t>
  </si>
  <si>
    <t>Grafaiai</t>
  </si>
  <si>
    <t>Brambleghast</t>
  </si>
  <si>
    <t>Toedscruel</t>
  </si>
  <si>
    <t>Scovillain</t>
  </si>
  <si>
    <t>Rabsca</t>
  </si>
  <si>
    <t>Espathra</t>
  </si>
  <si>
    <t>typenull</t>
  </si>
  <si>
    <t>Tinkaton</t>
  </si>
  <si>
    <t>Wugtrio</t>
  </si>
  <si>
    <t>Revavroom</t>
  </si>
  <si>
    <t>Glimmora</t>
  </si>
  <si>
    <t>Clodsire</t>
  </si>
  <si>
    <t>Farigiraf</t>
  </si>
  <si>
    <t>Dudunsparce</t>
  </si>
  <si>
    <t>Kingambit</t>
  </si>
  <si>
    <t>jangmoo</t>
  </si>
  <si>
    <t>hakamoo</t>
  </si>
  <si>
    <t>kommoo</t>
  </si>
  <si>
    <t>tapukoko</t>
  </si>
  <si>
    <t>tapulele</t>
  </si>
  <si>
    <t>tapubulu</t>
  </si>
  <si>
    <t>tapufini</t>
  </si>
  <si>
    <t>Arctibax</t>
  </si>
  <si>
    <t>Gholdengo</t>
  </si>
  <si>
    <t>necrozma-duskmane</t>
  </si>
  <si>
    <t>necrozma-dawnwings</t>
  </si>
  <si>
    <t>Dipplin</t>
  </si>
  <si>
    <t>Archaludon</t>
  </si>
  <si>
    <t>19-1</t>
  </si>
  <si>
    <t>20-1</t>
  </si>
  <si>
    <t>26-1</t>
  </si>
  <si>
    <t>Raichu-Alola</t>
  </si>
  <si>
    <t>27-1</t>
  </si>
  <si>
    <t>28-1</t>
  </si>
  <si>
    <t>37-1</t>
  </si>
  <si>
    <t>38-1</t>
  </si>
  <si>
    <t>50-1</t>
  </si>
  <si>
    <t>51-1</t>
  </si>
  <si>
    <t>52-1</t>
  </si>
  <si>
    <t>53-1</t>
  </si>
  <si>
    <t>74-1</t>
  </si>
  <si>
    <t>75-1</t>
  </si>
  <si>
    <t>76-1</t>
  </si>
  <si>
    <t>Golem-Alola</t>
  </si>
  <si>
    <t>88-1</t>
  </si>
  <si>
    <t>89-1</t>
  </si>
  <si>
    <t>orbeetle-gmax</t>
  </si>
  <si>
    <t>103-1</t>
  </si>
  <si>
    <t>105-1</t>
  </si>
  <si>
    <t>52-2</t>
  </si>
  <si>
    <t>77-1</t>
  </si>
  <si>
    <t>78-1</t>
  </si>
  <si>
    <t>79-1</t>
  </si>
  <si>
    <t>80-2</t>
  </si>
  <si>
    <t>83-1</t>
  </si>
  <si>
    <t>110-1</t>
  </si>
  <si>
    <t>122-1</t>
  </si>
  <si>
    <t>drednaw-gmax</t>
  </si>
  <si>
    <t>144-1</t>
  </si>
  <si>
    <t>145-1</t>
  </si>
  <si>
    <t>146-1</t>
  </si>
  <si>
    <t>199-1</t>
  </si>
  <si>
    <t>Slowking-Galar</t>
  </si>
  <si>
    <t>222-1</t>
  </si>
  <si>
    <t>263-1</t>
  </si>
  <si>
    <t>coalossal-gmax</t>
  </si>
  <si>
    <t>264-1</t>
  </si>
  <si>
    <t>Linoone-Galar</t>
  </si>
  <si>
    <t>554-1</t>
  </si>
  <si>
    <t>Darumaka-Galar</t>
  </si>
  <si>
    <t>555-1</t>
  </si>
  <si>
    <t>flapple-gmax</t>
  </si>
  <si>
    <t>562-1</t>
  </si>
  <si>
    <t>618-1</t>
  </si>
  <si>
    <t>appletun-gmax</t>
  </si>
  <si>
    <t>58-1</t>
  </si>
  <si>
    <t>59-1</t>
  </si>
  <si>
    <t>100-1</t>
  </si>
  <si>
    <t>sandaconda-gmax</t>
  </si>
  <si>
    <t>101-1</t>
  </si>
  <si>
    <t>157-1</t>
  </si>
  <si>
    <t>211-1</t>
  </si>
  <si>
    <t>215-1</t>
  </si>
  <si>
    <t>503-1</t>
  </si>
  <si>
    <t>549-1</t>
  </si>
  <si>
    <t>570-1</t>
  </si>
  <si>
    <t>571-1</t>
  </si>
  <si>
    <t>toxtricity-lowkey</t>
  </si>
  <si>
    <t>628-1</t>
  </si>
  <si>
    <t>toxtricity-gmax</t>
  </si>
  <si>
    <t>705-1</t>
  </si>
  <si>
    <t>706-1</t>
  </si>
  <si>
    <t>713-1</t>
  </si>
  <si>
    <t>centiskorch-gmax</t>
  </si>
  <si>
    <t>724-1</t>
  </si>
  <si>
    <t>128-1</t>
  </si>
  <si>
    <t>128-2</t>
  </si>
  <si>
    <t>128-3</t>
  </si>
  <si>
    <t>194-1</t>
  </si>
  <si>
    <t>https://i.ibb.co/YfJK75p/blitzle.png</t>
  </si>
  <si>
    <t>https://i.ibb.co/L9cQ1C9/zebstrika.png</t>
  </si>
  <si>
    <t>Zebstrika-Sevii</t>
  </si>
  <si>
    <t>https://i.ibb.co/7nn1kwY/sizzli.png</t>
  </si>
  <si>
    <t>Sizzlipede-Sevii</t>
  </si>
  <si>
    <t>https://i.ibb.co/DRYBrLP/centi.png</t>
  </si>
  <si>
    <t>https://i.ibb.co/p6q42b6/dhelmise.png</t>
  </si>
  <si>
    <t>https://i.ibb.co/Qb9rXzq/wishismall.png</t>
  </si>
  <si>
    <t>https://i.ibb.co/8MLW6ZL/wishibig.png</t>
  </si>
  <si>
    <t>Wishiwashi-School-Sevii</t>
  </si>
  <si>
    <t>https://i.ibb.co/7zF1Xb9/clauncher.png</t>
  </si>
  <si>
    <t>https://i.ibb.co/h1HJKdf/clawitzer.png</t>
  </si>
  <si>
    <t>Clawitzer-Sevii</t>
  </si>
  <si>
    <t>https://i.ibb.co/JvcPpPk/feebas.png</t>
  </si>
  <si>
    <t>https://i.ibb.co/bdr5Wkf/milotic.png</t>
  </si>
  <si>
    <t>sirfetchd</t>
  </si>
  <si>
    <t>https://i.ibb.co/44gwSdt/carnivine.png</t>
  </si>
  <si>
    <t>mrrime</t>
  </si>
  <si>
    <t>https://i.ibb.co/dMd6QqS/Doduo.png</t>
  </si>
  <si>
    <t>https://i.ibb.co/tB3McC4/Dodrio.png</t>
  </si>
  <si>
    <t>https://i.ibb.co/x532jKD/mantyke.png</t>
  </si>
  <si>
    <t>https://i.ibb.co/TvMpZXK/mantine.png</t>
  </si>
  <si>
    <t>alcremie-gmax</t>
  </si>
  <si>
    <t>https://i.ibb.co/3yGyb11/teddi.png</t>
  </si>
  <si>
    <t>https://i.ibb.co/mT2SprD/ursaring.png</t>
  </si>
  <si>
    <t>Ursaring-Sevii</t>
  </si>
  <si>
    <t>https://i.ibb.co/t8b3wR3/noibat.png</t>
  </si>
  <si>
    <t>https://i.ibb.co/wL4cSTF/noivern.png</t>
  </si>
  <si>
    <t>Noivern-Sevii</t>
  </si>
  <si>
    <t>https://i.ibb.co/5F4PCgs/nymble.png</t>
  </si>
  <si>
    <t>https://i.ibb.co/y82vzrm/lokix.png</t>
  </si>
  <si>
    <t>Lokix-Sevii</t>
  </si>
  <si>
    <t>https://raw.githubusercontent.com/msikma/pokesprite/master/icons/pokemon/regular/pikachu-cosplay.png</t>
  </si>
  <si>
    <t>Pikachu-Cosplay</t>
  </si>
  <si>
    <t>eiscue-noice</t>
  </si>
  <si>
    <t>https://raw.githubusercontent.com/msikma/pokesprite/master/icons/pokemon/regular/pikachu-rock-star.png</t>
  </si>
  <si>
    <t>https://raw.githubusercontent.com/msikma/pokesprite/master/icons/pokemon/regular/pikachu-belle.png</t>
  </si>
  <si>
    <t>https://raw.githubusercontent.com/msikma/pokesprite/master/icons/pokemon/regular/pikachu-pop-star.png</t>
  </si>
  <si>
    <t>https://raw.githubusercontent.com/msikma/pokesprite/master/icons/pokemon/regular/pikachu-phd.png</t>
  </si>
  <si>
    <t>Pikachu-Phd</t>
  </si>
  <si>
    <t>https://raw.githubusercontent.com/msikma/pokesprite/master/icons/pokemon/regular/pikachu-libre.png</t>
  </si>
  <si>
    <t>https://raw.githubusercontent.com/msikma/pokesprite/master/icons/pokemon/regular/pikachu-original-cap.png</t>
  </si>
  <si>
    <t>Pikachu-Original</t>
  </si>
  <si>
    <t>https://raw.githubusercontent.com/msikma/pokesprite/master/icons/pokemon/regular/pikachu-hoenn-cap.png</t>
  </si>
  <si>
    <t>Pikachu-Hoenn</t>
  </si>
  <si>
    <t>https://raw.githubusercontent.com/msikma/pokesprite/master/icons/pokemon/regular/pikachu-sinnoh-cap.png</t>
  </si>
  <si>
    <t>Pikachu-Sinnoh</t>
  </si>
  <si>
    <t>https://raw.githubusercontent.com/msikma/pokesprite/master/icons/pokemon/regular/pikachu-unova-cap.png</t>
  </si>
  <si>
    <t>Pikachu-Unova</t>
  </si>
  <si>
    <t>https://raw.githubusercontent.com/msikma/pokesprite/master/icons/pokemon/regular/pikachu-kalos-cap.png</t>
  </si>
  <si>
    <t>Pikachu-Kalos</t>
  </si>
  <si>
    <t>https://raw.githubusercontent.com/msikma/pokesprite/master/icons/pokemon/regular/pikachu-alola-cap.png</t>
  </si>
  <si>
    <t>Pikachu-Alola</t>
  </si>
  <si>
    <t>https://raw.githubusercontent.com/msikma/pokesprite/master/icons/pokemon/regular/pikachu-partner-cap.png</t>
  </si>
  <si>
    <t>Pikachu-Partner</t>
  </si>
  <si>
    <t>https://i.ibb.co/WHKZ3hL/pikachu-flying.png</t>
  </si>
  <si>
    <t>https://i.ibb.co/HNrK2Xh/pikachu-surfing.png</t>
  </si>
  <si>
    <t>386-1</t>
  </si>
  <si>
    <t>386-2</t>
  </si>
  <si>
    <t>386-3</t>
  </si>
  <si>
    <t>412-1</t>
  </si>
  <si>
    <t>412-2</t>
  </si>
  <si>
    <t>zacian-crowned</t>
  </si>
  <si>
    <t>413-1</t>
  </si>
  <si>
    <t>Wormadam-Sandy</t>
  </si>
  <si>
    <t>413-2</t>
  </si>
  <si>
    <t>Wormadam-Trash</t>
  </si>
  <si>
    <t>zamazenta-crowned</t>
  </si>
  <si>
    <t>422-1</t>
  </si>
  <si>
    <t>423-1</t>
  </si>
  <si>
    <t>Gastrodon-East</t>
  </si>
  <si>
    <t>479-1</t>
  </si>
  <si>
    <t>479-2</t>
  </si>
  <si>
    <t>urshifu</t>
  </si>
  <si>
    <t>479-3</t>
  </si>
  <si>
    <t>urshifu-gmax</t>
  </si>
  <si>
    <t>479-4</t>
  </si>
  <si>
    <t>urshifu-rapidstrike</t>
  </si>
  <si>
    <t>479-5</t>
  </si>
  <si>
    <t>urshifu-rapidstrikegmax</t>
  </si>
  <si>
    <t>483-1</t>
  </si>
  <si>
    <t>484-1</t>
  </si>
  <si>
    <t>487-1</t>
  </si>
  <si>
    <t>492-1</t>
  </si>
  <si>
    <t>550-1</t>
  </si>
  <si>
    <t>585-1</t>
  </si>
  <si>
    <t>585-2</t>
  </si>
  <si>
    <t>585-3</t>
  </si>
  <si>
    <t>641-1</t>
  </si>
  <si>
    <t>642-1</t>
  </si>
  <si>
    <t>645-1</t>
  </si>
  <si>
    <t>646-1</t>
  </si>
  <si>
    <t>646-2</t>
  </si>
  <si>
    <t>658-2</t>
  </si>
  <si>
    <t>basculin-whitestriped</t>
  </si>
  <si>
    <t>670-5</t>
  </si>
  <si>
    <t>678-1</t>
  </si>
  <si>
    <t>Meowstic-F</t>
  </si>
  <si>
    <t>710-1</t>
  </si>
  <si>
    <t>710-2</t>
  </si>
  <si>
    <t>710-3</t>
  </si>
  <si>
    <t>711-1</t>
  </si>
  <si>
    <t>Gourgeist-Sm</t>
  </si>
  <si>
    <t>711-2</t>
  </si>
  <si>
    <t>Gourgeist-La</t>
  </si>
  <si>
    <t>711-3</t>
  </si>
  <si>
    <t>718-1</t>
  </si>
  <si>
    <t>720-1</t>
  </si>
  <si>
    <t>741-1</t>
  </si>
  <si>
    <t>Oricorio-Pompom</t>
  </si>
  <si>
    <t>741-2</t>
  </si>
  <si>
    <t>Oricorio-Pau</t>
  </si>
  <si>
    <t>741-3</t>
  </si>
  <si>
    <t>Oricorio-Sensu</t>
  </si>
  <si>
    <t>745-1</t>
  </si>
  <si>
    <t>Lycanroc-Night</t>
  </si>
  <si>
    <t>745-2</t>
  </si>
  <si>
    <t>Lycanroc-Dusk</t>
  </si>
  <si>
    <t>800-1</t>
  </si>
  <si>
    <t>800-2</t>
  </si>
  <si>
    <t>801-1</t>
  </si>
  <si>
    <t>869-1</t>
  </si>
  <si>
    <t>enamorus</t>
  </si>
  <si>
    <t>876-1</t>
  </si>
  <si>
    <t>enamorus-therian</t>
  </si>
  <si>
    <t>888-1</t>
  </si>
  <si>
    <t>Zacian-C</t>
  </si>
  <si>
    <t>889-1</t>
  </si>
  <si>
    <t>Zamazenta-C</t>
  </si>
  <si>
    <t>898-1</t>
  </si>
  <si>
    <t>898-2</t>
  </si>
  <si>
    <t>902-1</t>
  </si>
  <si>
    <t>905-1</t>
  </si>
  <si>
    <t>931-3</t>
  </si>
  <si>
    <t>https://img.pokemondb.net/sprites/scarlet-violet/normal/ursaluna-bloodmoon.png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</si>
</sst>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
  </numFmts>
  <fonts count="146">
    <font>
      <sz val="10.0"/>
      <color rgb="FF000000"/>
      <name val="Arial"/>
      <scheme val="minor"/>
    </font>
    <font>
      <b/>
      <i/>
      <sz val="14.0"/>
      <color theme="1"/>
      <name val="Exo 2"/>
    </font>
    <font/>
    <font>
      <b/>
      <sz val="12.0"/>
      <color rgb="FF1155CC"/>
      <name val="Exo 2"/>
    </font>
    <font>
      <b/>
      <sz val="12.0"/>
      <color rgb="FF0000FF"/>
      <name val="Exo 2"/>
    </font>
    <font>
      <b/>
      <sz val="12.0"/>
      <color theme="1"/>
      <name val="Exo 2"/>
    </font>
    <font>
      <b/>
      <sz val="12.0"/>
      <color rgb="FF000000"/>
      <name val="Exo 2"/>
    </font>
    <font>
      <color rgb="FF3E3A3A"/>
      <name val="Barlow Condensed"/>
    </font>
    <font>
      <color theme="1"/>
      <name val="Arial"/>
    </font>
    <font>
      <sz val="19.0"/>
      <color rgb="FF3E3A3A"/>
      <name val="Barlow Condensed"/>
    </font>
    <font>
      <b/>
      <u/>
      <sz val="19.0"/>
      <color rgb="FF3E3A3A"/>
      <name val="IBM Plex Sans Condensed"/>
    </font>
    <font>
      <b/>
      <u/>
      <sz val="17.0"/>
      <color rgb="FF3E3A3A"/>
      <name val="IBM Plex Sans Condensed"/>
    </font>
    <font>
      <b/>
      <u/>
      <sz val="18.0"/>
      <color rgb="FF3E3A3A"/>
      <name val="IBM Plex Sans Condensed"/>
    </font>
    <font>
      <b/>
      <sz val="19.0"/>
      <color rgb="FFFFFFFF"/>
      <name val="Righteous"/>
    </font>
    <font>
      <b/>
      <u/>
      <sz val="16.0"/>
      <color rgb="FF3E3A3A"/>
      <name val="IBM Plex Sans Condensed"/>
    </font>
    <font>
      <b/>
      <u/>
      <sz val="15.0"/>
      <color rgb="FF3E3A3A"/>
      <name val="IBM Plex Sans Condensed"/>
    </font>
    <font>
      <b/>
      <sz val="11.0"/>
      <color rgb="FF3E3A3A"/>
      <name val="IBM Plex Sans Condensed"/>
    </font>
    <font>
      <b/>
      <sz val="11.0"/>
      <color theme="1"/>
      <name val="IBM Plex Sans Condensed"/>
    </font>
    <font>
      <sz val="15.0"/>
      <color rgb="FF3E3A3A"/>
      <name val="Barlow Condensed"/>
    </font>
    <font>
      <sz val="14.0"/>
      <color rgb="FF3E3A3A"/>
      <name val="Barlow Condensed"/>
    </font>
    <font>
      <sz val="19.0"/>
      <color rgb="FF3E3A3A"/>
      <name val="IBM Plex Sans Condensed"/>
    </font>
    <font>
      <b/>
      <sz val="19.0"/>
      <color rgb="FF3E3A3A"/>
      <name val="IBM Plex Sans Condensed"/>
    </font>
    <font>
      <b/>
      <sz val="11.0"/>
      <color rgb="FF3E3A3A"/>
      <name val="Sofia Sans Semi Condensed"/>
    </font>
    <font>
      <b/>
      <i/>
      <sz val="11.0"/>
      <color rgb="FF3E3A3A"/>
      <name val="Sofia Sans Semi Condensed"/>
    </font>
    <font>
      <b/>
      <u/>
      <sz val="19.0"/>
      <color rgb="FF3E3A3A"/>
      <name val="IBM Plex Sans Condensed"/>
    </font>
    <font>
      <b/>
      <u/>
      <sz val="18.0"/>
      <color rgb="FF3E3A3A"/>
      <name val="IBM Plex Sans Condensed"/>
    </font>
    <font>
      <b/>
      <u/>
      <sz val="17.0"/>
      <color rgb="FF3E3A3A"/>
      <name val="IBM Plex Sans Condensed"/>
    </font>
    <font>
      <color rgb="FF3E3A3A"/>
      <name val="Arial"/>
    </font>
    <font>
      <b/>
      <sz val="55.0"/>
      <color rgb="FF3E3A3A"/>
      <name val="Barlow Condensed"/>
    </font>
    <font>
      <b/>
      <sz val="40.0"/>
      <color rgb="FF3E3A3A"/>
      <name val="Barlow Condensed"/>
    </font>
    <font>
      <sz val="19.0"/>
      <color rgb="FF3E3A3A"/>
      <name val="Arial"/>
    </font>
    <font>
      <b/>
      <sz val="25.0"/>
      <color rgb="FF3E3A3A"/>
      <name val="Barlow Condensed"/>
    </font>
    <font>
      <sz val="12.0"/>
      <color rgb="FF3E3A3A"/>
      <name val="Barlow Condensed"/>
    </font>
    <font>
      <b/>
      <sz val="12.0"/>
      <color theme="1"/>
      <name val="Sofia Sans Semi Condensed"/>
    </font>
    <font>
      <b/>
      <u/>
      <sz val="25.0"/>
      <color rgb="FF3E3A3A"/>
      <name val="Sofia Sans Semi Condensed"/>
    </font>
    <font>
      <b/>
      <sz val="25.0"/>
      <color rgb="FF3E3A3A"/>
      <name val="Sofia Sans Semi Condensed"/>
    </font>
    <font>
      <b/>
      <sz val="12.0"/>
      <color theme="1"/>
      <name val="Barlow Semi Condensed"/>
    </font>
    <font>
      <b/>
      <i/>
      <sz val="13.0"/>
      <color rgb="FF3E3A3A"/>
      <name val="Sofia Sans Semi Condensed"/>
    </font>
    <font>
      <b/>
      <i/>
      <sz val="11.0"/>
      <color rgb="FFB7B7B7"/>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4.0"/>
      <color theme="1"/>
      <name val="Sofia Sans Semi Condensed"/>
    </font>
    <font>
      <b/>
      <u/>
      <sz val="13.0"/>
      <color rgb="FF232222"/>
      <name val="Sofia Sans Semi Condensed"/>
    </font>
    <font>
      <b/>
      <u/>
      <sz val="13.0"/>
      <color rgb="FF232222"/>
      <name val="&quot;Sofia Sans Semi Condensed&quot;"/>
    </font>
    <font>
      <sz val="11.0"/>
      <color theme="1"/>
      <name val="Calibri"/>
    </font>
    <font>
      <b/>
      <u/>
      <sz val="13.0"/>
      <color rgb="FF232222"/>
      <name val="&quot;Sofia Sans Semi Condensed&quot;"/>
    </font>
    <font>
      <i/>
      <sz val="11.0"/>
      <color rgb="FF000000"/>
      <name val="Sofia Sans Semi Condensed"/>
    </font>
    <font>
      <b/>
      <sz val="12.0"/>
      <color theme="1"/>
      <name val="&quot;Sofia Sans Semi Condensed&quot;"/>
    </font>
    <font>
      <color theme="1"/>
      <name val="Barlow Condensed"/>
    </font>
    <font>
      <sz val="20.0"/>
      <color rgb="FFFFFFFF"/>
      <name val="Barlow Condensed"/>
    </font>
    <font>
      <sz val="15.0"/>
      <color theme="1"/>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b/>
      <sz val="15.0"/>
      <color theme="1"/>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u/>
      <sz val="15.0"/>
      <color rgb="FF0000FF"/>
      <name val="Barlow Condensed"/>
    </font>
    <font>
      <b/>
      <sz val="25.0"/>
      <color theme="1"/>
      <name val="Barlow Condensed"/>
    </font>
    <font>
      <sz val="30.0"/>
      <color rgb="FF3E3A3A"/>
      <name val="Barlow Condensed"/>
    </font>
    <font>
      <sz val="12.0"/>
      <color rgb="FF000000"/>
      <name val="Sofia Sans Semi Condensed"/>
    </font>
    <font>
      <sz val="20.0"/>
      <color rgb="FF3E3A3A"/>
      <name val="Barlow Condensed"/>
    </font>
    <font>
      <color rgb="FF3E3A3A"/>
      <name val="Arial"/>
      <scheme val="minor"/>
    </font>
    <font>
      <b/>
      <sz val="13.0"/>
      <color rgb="FF3E3A3A"/>
      <name val="Sofia Sans Semi Condensed"/>
    </font>
    <font>
      <sz val="13.0"/>
      <color rgb="FF3E3A3A"/>
      <name val="Barlow Condensed"/>
    </font>
    <font>
      <sz val="13.0"/>
      <color rgb="FF3E3A3A"/>
      <name val="Arial"/>
      <scheme val="minor"/>
    </font>
    <font>
      <u/>
      <sz val="30.0"/>
      <color rgb="FF3E3A3A"/>
      <name val="Barlow Condensed"/>
    </font>
    <font>
      <sz val="10.0"/>
      <color rgb="FF3E3A3A"/>
      <name val="Barlow Condensed"/>
    </font>
    <font>
      <sz val="22.0"/>
      <color rgb="FF3E3A3A"/>
      <name val="Barlow Condensed"/>
    </font>
    <font>
      <sz val="18.0"/>
      <color rgb="FF3E3A3A"/>
      <name val="Barlow Condensed"/>
    </font>
    <font>
      <u/>
      <sz val="30.0"/>
      <color rgb="FF3E3A3A"/>
      <name val="Barlow Condensed"/>
    </font>
    <font>
      <b/>
      <u/>
      <sz val="30.0"/>
      <color rgb="FF3E3A3A"/>
      <name val="Barlow Condensed"/>
    </font>
    <font>
      <b/>
      <u/>
      <sz val="30.0"/>
      <color rgb="FF3E3A3A"/>
      <name val="Barlow Condensed"/>
    </font>
    <font>
      <b/>
      <sz val="18.0"/>
      <color rgb="FF3E3A3A"/>
      <name val="IBM Plex Sans Condensed"/>
    </font>
    <font>
      <b/>
      <u/>
      <sz val="13.0"/>
      <color rgb="FF232222"/>
      <name val="Sofia Sans Semi Condensed"/>
    </font>
    <font>
      <b/>
      <u/>
      <sz val="14.0"/>
      <color theme="1"/>
      <name val="Sofia Sans Semi Condensed"/>
    </font>
    <font>
      <b/>
      <u/>
      <sz val="13.0"/>
      <color rgb="FF232222"/>
      <name val="Sofia Sans Semi Condensed"/>
    </font>
    <font>
      <sz val="22.0"/>
      <color theme="1"/>
      <name val="Barlow Condensed"/>
    </font>
    <font>
      <b/>
      <u/>
      <sz val="22.0"/>
      <color theme="1"/>
      <name val="Barlow Condensed"/>
    </font>
    <font>
      <b/>
      <u/>
      <sz val="22.0"/>
      <color theme="1"/>
      <name val="Barlow Condensed"/>
    </font>
    <font>
      <sz val="12.0"/>
      <color theme="1"/>
      <name val="Barlow Condensed"/>
    </font>
    <font>
      <b/>
      <sz val="10.0"/>
      <color theme="1"/>
      <name val="IBM Plex Sans Condensed"/>
    </font>
    <font>
      <sz val="13.0"/>
      <color theme="1"/>
      <name val="Barlow Condensed"/>
    </font>
    <font>
      <color theme="1"/>
      <name val="Cabin Condensed"/>
    </font>
    <font>
      <sz val="15.0"/>
      <color theme="1"/>
      <name val="Cabin Condensed"/>
    </font>
    <font>
      <b/>
      <u/>
      <sz val="22.0"/>
      <color theme="1"/>
      <name val="Barlow Condensed"/>
    </font>
    <font>
      <b/>
      <u/>
      <sz val="22.0"/>
      <color theme="1"/>
      <name val="Barlow Condensed"/>
    </font>
    <font>
      <b/>
      <sz val="22.0"/>
      <color theme="1"/>
      <name val="Barlow Condensed"/>
    </font>
    <font>
      <b/>
      <u/>
      <sz val="22.0"/>
      <color theme="1"/>
      <name val="Barlow Condensed"/>
    </font>
    <font>
      <b/>
      <u/>
      <sz val="22.0"/>
      <color theme="1"/>
      <name val="Barlow Condensed"/>
    </font>
    <font>
      <b/>
      <u/>
      <sz val="22.0"/>
      <color theme="1"/>
      <name val="Barlow Condensed"/>
    </font>
    <font>
      <b/>
      <u/>
      <sz val="22.0"/>
      <color theme="1"/>
      <name val="Barlow Condensed"/>
    </font>
    <font>
      <b/>
      <sz val="15.0"/>
      <color rgb="FF00FFFF"/>
      <name val="IBM Plex Sans Condensed"/>
    </font>
    <font>
      <u/>
      <sz val="25.0"/>
      <color theme="1"/>
      <name val="Barlow Condensed"/>
    </font>
    <font>
      <u/>
      <sz val="25.0"/>
      <color theme="1"/>
      <name val="Barlow Condensed"/>
    </font>
    <font>
      <b/>
      <u/>
      <sz val="25.0"/>
      <color theme="1"/>
      <name val="Barlow Condensed"/>
    </font>
    <font>
      <u/>
      <sz val="25.0"/>
      <color theme="1"/>
      <name val="Barlow Condensed"/>
    </font>
    <font>
      <u/>
      <sz val="25.0"/>
      <color theme="1"/>
      <name val="Barlow Condensed"/>
    </font>
    <font>
      <sz val="10.0"/>
      <color theme="1"/>
      <name val="Lexend Deca"/>
    </font>
    <font>
      <color theme="1"/>
      <name val="Lexend Deca"/>
    </font>
    <font>
      <b/>
      <sz val="12.0"/>
      <color rgb="FF000000"/>
      <name val="Lexend Deca"/>
    </font>
    <font>
      <b/>
      <u/>
      <sz val="25.0"/>
      <color theme="1"/>
      <name val="Barlow Condensed"/>
    </font>
    <font>
      <b/>
      <u/>
      <sz val="25.0"/>
      <color theme="1"/>
      <name val="Barlow Condensed"/>
    </font>
    <font>
      <b/>
      <u/>
      <sz val="25.0"/>
      <color theme="1"/>
      <name val="Barlow Condensed"/>
    </font>
    <font>
      <b/>
      <u/>
      <sz val="25.0"/>
      <color theme="1"/>
      <name val="Barlow Condensed"/>
    </font>
    <font>
      <sz val="30.0"/>
      <color theme="1"/>
      <name val="Barlow Condensed"/>
    </font>
    <font>
      <b/>
      <sz val="30.0"/>
      <color rgb="FFFFFFFF"/>
      <name val="Barlow Condensed"/>
    </font>
    <font>
      <b/>
      <u/>
      <sz val="25.0"/>
      <color theme="1"/>
      <name val="Barlow Condensed"/>
    </font>
    <font>
      <b/>
      <u/>
      <sz val="25.0"/>
      <color theme="1"/>
      <name val="Barlow Condensed"/>
    </font>
    <font>
      <b/>
      <u/>
      <sz val="25.0"/>
      <color theme="1"/>
      <name val="Barlow Condensed"/>
    </font>
    <font>
      <b/>
      <sz val="11.0"/>
      <color rgb="FF000000"/>
      <name val="Lexend Deca"/>
    </font>
    <font>
      <b/>
      <u/>
      <sz val="25.0"/>
      <color theme="1"/>
      <name val="Barlow Condensed"/>
    </font>
    <font>
      <b/>
      <u/>
      <sz val="25.0"/>
      <color theme="1"/>
      <name val="Barlow Condensed"/>
    </font>
    <font>
      <b/>
      <u/>
      <sz val="25.0"/>
      <color theme="1"/>
      <name val="Barlow Condensed"/>
    </font>
    <font>
      <sz val="18.0"/>
      <color theme="1"/>
      <name val="Arial"/>
    </font>
    <font>
      <sz val="18.0"/>
      <color rgb="FFFFFFFF"/>
      <name val="Barlow Condensed"/>
    </font>
    <font>
      <b/>
      <sz val="20.0"/>
      <color theme="1"/>
      <name val="Barlow Condensed"/>
    </font>
    <font>
      <color theme="1"/>
      <name val="Fira Sans Extra Condensed"/>
    </font>
    <font>
      <b/>
      <sz val="20.0"/>
      <color theme="1"/>
      <name val="Fira Sans Extra Condensed"/>
    </font>
    <font>
      <b/>
      <color theme="1"/>
      <name val="Fira Sans Extra Condensed"/>
    </font>
    <font>
      <color theme="1"/>
      <name val="Fjalla One"/>
    </font>
    <font>
      <sz val="11.0"/>
      <color theme="1"/>
      <name val="Fjalla One"/>
    </font>
    <font>
      <sz val="10.0"/>
      <color theme="1"/>
      <name val="Fjalla One"/>
    </font>
    <font>
      <u/>
      <sz val="11.0"/>
      <color theme="1"/>
      <name val="Fjalla One"/>
    </font>
    <font>
      <u/>
      <sz val="11.0"/>
      <color theme="1"/>
      <name val="Fjalla One"/>
    </font>
    <font>
      <u/>
      <color rgb="FF1155CC"/>
      <name val="&quot;Fjalla One&quot;"/>
    </font>
    <font>
      <u/>
      <color rgb="FF1155CC"/>
      <name val="&quot;Fjalla One&quot;"/>
    </font>
    <font>
      <u/>
      <color theme="1"/>
      <name val="Fjalla One"/>
    </font>
    <font>
      <u/>
      <color theme="1"/>
      <name val="Fjalla One"/>
    </font>
    <font>
      <u/>
      <color rgb="FF0000FF"/>
      <name val="Fjalla One"/>
    </font>
    <font>
      <u/>
      <color rgb="FF0000FF"/>
      <name val="Fjalla One"/>
    </font>
    <font>
      <u/>
      <color rgb="FF0000FF"/>
      <name val="Fjalla One"/>
    </font>
    <font>
      <u/>
      <color rgb="FF0000FF"/>
      <name val="Fjalla One"/>
    </font>
    <font>
      <u/>
      <color rgb="FF0000FF"/>
      <name val="Fjalla One"/>
    </font>
  </fonts>
  <fills count="98">
    <fill>
      <patternFill patternType="none"/>
    </fill>
    <fill>
      <patternFill patternType="lightGray"/>
    </fill>
    <fill>
      <patternFill patternType="solid">
        <fgColor rgb="FFD9D9D9"/>
        <bgColor rgb="FFD9D9D9"/>
      </patternFill>
    </fill>
    <fill>
      <patternFill patternType="solid">
        <fgColor rgb="FF3E3A3A"/>
        <bgColor rgb="FF3E3A3A"/>
      </patternFill>
    </fill>
    <fill>
      <patternFill patternType="solid">
        <fgColor rgb="FFEFEFEF"/>
        <bgColor rgb="FFEFEFEF"/>
      </patternFill>
    </fill>
    <fill>
      <patternFill patternType="solid">
        <fgColor rgb="FF434343"/>
        <bgColor rgb="FF434343"/>
      </patternFill>
    </fill>
    <fill>
      <patternFill patternType="solid">
        <fgColor rgb="FF7EEFAD"/>
        <bgColor rgb="FF7EEFAD"/>
      </patternFill>
    </fill>
    <fill>
      <patternFill patternType="solid">
        <fgColor rgb="FFF3F3F3"/>
        <bgColor rgb="FFF3F3F3"/>
      </patternFill>
    </fill>
    <fill>
      <patternFill patternType="solid">
        <fgColor rgb="FFD4EF7E"/>
        <bgColor rgb="FFD4EF7E"/>
      </patternFill>
    </fill>
    <fill>
      <patternFill patternType="solid">
        <fgColor rgb="FFEFCA7E"/>
        <bgColor rgb="FFEFCA7E"/>
      </patternFill>
    </fill>
    <fill>
      <patternFill patternType="solid">
        <fgColor rgb="FFEFAF7E"/>
        <bgColor rgb="FFEFAF7E"/>
      </patternFill>
    </fill>
    <fill>
      <patternFill patternType="solid">
        <fgColor rgb="FFEF7E7E"/>
        <bgColor rgb="FFEF7E7E"/>
      </patternFill>
    </fill>
    <fill>
      <patternFill patternType="solid">
        <fgColor theme="0"/>
        <bgColor theme="0"/>
      </patternFill>
    </fill>
    <fill>
      <patternFill patternType="solid">
        <fgColor rgb="FF3FBD67"/>
        <bgColor rgb="FF3FBD67"/>
      </patternFill>
    </fill>
    <fill>
      <patternFill patternType="solid">
        <fgColor rgb="FFCBF6BB"/>
        <bgColor rgb="FFCBF6BB"/>
      </patternFill>
    </fill>
    <fill>
      <patternFill patternType="solid">
        <fgColor rgb="FF5A5BC5"/>
        <bgColor rgb="FF5A5BC5"/>
      </patternFill>
    </fill>
    <fill>
      <patternFill patternType="solid">
        <fgColor rgb="FFACB4FF"/>
        <bgColor rgb="FFACB4FF"/>
      </patternFill>
    </fill>
    <fill>
      <patternFill patternType="solid">
        <fgColor rgb="FFAB4D63"/>
        <bgColor rgb="FFAB4D63"/>
      </patternFill>
    </fill>
    <fill>
      <patternFill patternType="solid">
        <fgColor rgb="FFFFB3B3"/>
        <bgColor rgb="FFFFB3B3"/>
      </patternFill>
    </fill>
    <fill>
      <patternFill patternType="solid">
        <fgColor rgb="FFFFE65A"/>
        <bgColor rgb="FFFFE65A"/>
      </patternFill>
    </fill>
    <fill>
      <patternFill patternType="solid">
        <fgColor rgb="FFFAF1B7"/>
        <bgColor rgb="FFFAF1B7"/>
      </patternFill>
    </fill>
    <fill>
      <patternFill patternType="solid">
        <fgColor rgb="FFACE6D5"/>
        <bgColor rgb="FFACE6D5"/>
      </patternFill>
    </fill>
    <fill>
      <patternFill patternType="solid">
        <fgColor rgb="FFEEB49C"/>
        <bgColor rgb="FFEEB49C"/>
      </patternFill>
    </fill>
    <fill>
      <patternFill patternType="solid">
        <fgColor rgb="FF739C9C"/>
        <bgColor rgb="FF739C9C"/>
      </patternFill>
    </fill>
    <fill>
      <patternFill patternType="solid">
        <fgColor rgb="FF93705B"/>
        <bgColor rgb="FF93705B"/>
      </patternFill>
    </fill>
    <fill>
      <patternFill patternType="solid">
        <fgColor rgb="FFF4CCCC"/>
        <bgColor rgb="FFF4CCCC"/>
      </patternFill>
    </fill>
    <fill>
      <patternFill patternType="solid">
        <fgColor rgb="FFEA9999"/>
        <bgColor rgb="FFEA9999"/>
      </patternFill>
    </fill>
    <fill>
      <patternFill patternType="solid">
        <fgColor rgb="FFFCE5CD"/>
        <bgColor rgb="FFFCE5CD"/>
      </patternFill>
    </fill>
    <fill>
      <patternFill patternType="solid">
        <fgColor rgb="FFFFFFFF"/>
        <bgColor rgb="FFFFFFFF"/>
      </patternFill>
    </fill>
    <fill>
      <patternFill patternType="solid">
        <fgColor rgb="FFF9CB9C"/>
        <bgColor rgb="FFF9CB9C"/>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C9DAF8"/>
        <bgColor rgb="FFC9DAF8"/>
      </patternFill>
    </fill>
    <fill>
      <patternFill patternType="solid">
        <fgColor rgb="FFA4C2F4"/>
        <bgColor rgb="FFA4C2F4"/>
      </patternFill>
    </fill>
    <fill>
      <patternFill patternType="solid">
        <fgColor rgb="FFCFE2F3"/>
        <bgColor rgb="FFCFE2F3"/>
      </patternFill>
    </fill>
    <fill>
      <patternFill patternType="solid">
        <fgColor rgb="FF9FC5E8"/>
        <bgColor rgb="FF9FC5E8"/>
      </patternFill>
    </fill>
    <fill>
      <patternFill patternType="solid">
        <fgColor rgb="FFD9D2E9"/>
        <bgColor rgb="FFD9D2E9"/>
      </patternFill>
    </fill>
    <fill>
      <patternFill patternType="solid">
        <fgColor rgb="FFB4A7D6"/>
        <bgColor rgb="FFB4A7D6"/>
      </patternFill>
    </fill>
    <fill>
      <patternFill patternType="solid">
        <fgColor rgb="FFEAD1DC"/>
        <bgColor rgb="FFEAD1DC"/>
      </patternFill>
    </fill>
    <fill>
      <patternFill patternType="solid">
        <fgColor rgb="FFD5A6BD"/>
        <bgColor rgb="FFD5A6BD"/>
      </patternFill>
    </fill>
    <fill>
      <patternFill patternType="solid">
        <fgColor rgb="FFFFF6ED"/>
        <bgColor rgb="FFFFF6ED"/>
      </patternFill>
    </fill>
    <fill>
      <patternFill patternType="solid">
        <fgColor rgb="FFFDFFED"/>
        <bgColor rgb="FFFDFFED"/>
      </patternFill>
    </fill>
    <fill>
      <patternFill patternType="solid">
        <fgColor rgb="FFF2FFED"/>
        <bgColor rgb="FFF2FFED"/>
      </patternFill>
    </fill>
    <fill>
      <patternFill patternType="solid">
        <fgColor rgb="FFEDFFFA"/>
        <bgColor rgb="FFEDFFFA"/>
      </patternFill>
    </fill>
    <fill>
      <patternFill patternType="solid">
        <fgColor rgb="FFB3F0DE"/>
        <bgColor rgb="FFB3F0DE"/>
      </patternFill>
    </fill>
    <fill>
      <patternFill patternType="solid">
        <fgColor rgb="FFB3F0B5"/>
        <bgColor rgb="FFB3F0B5"/>
      </patternFill>
    </fill>
    <fill>
      <patternFill patternType="solid">
        <fgColor rgb="FFCCF0B3"/>
        <bgColor rgb="FFCCF0B3"/>
      </patternFill>
    </fill>
    <fill>
      <patternFill patternType="solid">
        <fgColor rgb="FFDCF0B3"/>
        <bgColor rgb="FFDCF0B3"/>
      </patternFill>
    </fill>
    <fill>
      <patternFill patternType="solid">
        <fgColor rgb="FFF0E4B3"/>
        <bgColor rgb="FFF0E4B3"/>
      </patternFill>
    </fill>
    <fill>
      <patternFill patternType="solid">
        <fgColor rgb="FFF0C9B3"/>
        <bgColor rgb="FFF0C9B3"/>
      </patternFill>
    </fill>
    <fill>
      <patternFill patternType="solid">
        <fgColor rgb="FFF0B9B3"/>
        <bgColor rgb="FFF0B9B3"/>
      </patternFill>
    </fill>
    <fill>
      <patternFill patternType="solid">
        <fgColor rgb="FFE68E8E"/>
        <bgColor rgb="FFE68E8E"/>
      </patternFill>
    </fill>
    <fill>
      <patternFill patternType="solid">
        <fgColor rgb="FFDEEEF6"/>
        <bgColor rgb="FFDEEEF6"/>
      </patternFill>
    </fill>
    <fill>
      <patternFill patternType="solid">
        <fgColor rgb="FFA4ACB4"/>
        <bgColor rgb="FFA4ACB4"/>
      </patternFill>
    </fill>
    <fill>
      <patternFill patternType="solid">
        <fgColor rgb="FFA64D79"/>
        <bgColor rgb="FFA64D79"/>
      </patternFill>
    </fill>
    <fill>
      <patternFill patternType="solid">
        <fgColor rgb="FFEDF5FF"/>
        <bgColor rgb="FFEDF5FF"/>
      </patternFill>
    </fill>
    <fill>
      <patternFill patternType="solid">
        <fgColor rgb="FFF0EDFF"/>
        <bgColor rgb="FFF0EDFF"/>
      </patternFill>
    </fill>
    <fill>
      <patternFill patternType="solid">
        <fgColor rgb="FFFFEDFD"/>
        <bgColor rgb="FFFFEDFD"/>
      </patternFill>
    </fill>
    <fill>
      <patternFill patternType="solid">
        <fgColor rgb="FFFFEDF3"/>
        <bgColor rgb="FFFFEDF3"/>
      </patternFill>
    </fill>
    <fill>
      <patternFill patternType="solid">
        <fgColor rgb="FFFFE4E4"/>
        <bgColor rgb="FFFFE4E4"/>
      </patternFill>
    </fill>
    <fill>
      <patternFill patternType="solid">
        <fgColor rgb="FFFF4545"/>
        <bgColor rgb="FFFF4545"/>
      </patternFill>
    </fill>
    <fill>
      <patternFill patternType="solid">
        <fgColor rgb="FFF0F8FF"/>
        <bgColor rgb="FFF0F8FF"/>
      </patternFill>
    </fill>
    <fill>
      <patternFill patternType="solid">
        <fgColor rgb="FFDAEEFF"/>
        <bgColor rgb="FFDAEEFF"/>
      </patternFill>
    </fill>
    <fill>
      <patternFill patternType="solid">
        <fgColor rgb="FFFFF7F0"/>
        <bgColor rgb="FFFFF7F0"/>
      </patternFill>
    </fill>
    <fill>
      <patternFill patternType="solid">
        <fgColor rgb="FFF7EDE4"/>
        <bgColor rgb="FFF7EDE4"/>
      </patternFill>
    </fill>
    <fill>
      <patternFill patternType="solid">
        <fgColor rgb="FFF0FFF3"/>
        <bgColor rgb="FFF0FFF3"/>
      </patternFill>
    </fill>
    <fill>
      <patternFill patternType="solid">
        <fgColor rgb="FFDBF6E0"/>
        <bgColor rgb="FFDBF6E0"/>
      </patternFill>
    </fill>
    <fill>
      <patternFill patternType="solid">
        <fgColor rgb="FFFFF0F0"/>
        <bgColor rgb="FFFFF0F0"/>
      </patternFill>
    </fill>
    <fill>
      <patternFill patternType="solid">
        <fgColor rgb="FFF6E1DB"/>
        <bgColor rgb="FFF6E1DB"/>
      </patternFill>
    </fill>
    <fill>
      <patternFill patternType="solid">
        <fgColor rgb="FFECE3FF"/>
        <bgColor rgb="FFECE3FF"/>
      </patternFill>
    </fill>
    <fill>
      <patternFill patternType="solid">
        <fgColor rgb="FFDDD3F2"/>
        <bgColor rgb="FFDDD3F2"/>
      </patternFill>
    </fill>
    <fill>
      <patternFill patternType="solid">
        <fgColor rgb="FFF7F0FF"/>
        <bgColor rgb="FFF7F0FF"/>
      </patternFill>
    </fill>
    <fill>
      <patternFill patternType="solid">
        <fgColor rgb="FFFBE0E9"/>
        <bgColor rgb="FFFBE0E9"/>
      </patternFill>
    </fill>
    <fill>
      <patternFill patternType="solid">
        <fgColor rgb="FFF9F4D9"/>
        <bgColor rgb="FFF9F4D9"/>
      </patternFill>
    </fill>
    <fill>
      <patternFill patternType="solid">
        <fgColor rgb="FFFAFFF0"/>
        <bgColor rgb="FFFAFFF0"/>
      </patternFill>
    </fill>
    <fill>
      <patternFill patternType="solid">
        <fgColor rgb="FFF1FBDE"/>
        <bgColor rgb="FFF1FBDE"/>
      </patternFill>
    </fill>
    <fill>
      <patternFill patternType="solid">
        <fgColor rgb="FFF0FAFF"/>
        <bgColor rgb="FFF0FAFF"/>
      </patternFill>
    </fill>
    <fill>
      <patternFill patternType="solid">
        <fgColor rgb="FFDCEEF7"/>
        <bgColor rgb="FFDCEEF7"/>
      </patternFill>
    </fill>
    <fill>
      <patternFill patternType="solid">
        <fgColor rgb="FFFFF3F3"/>
        <bgColor rgb="FFFFF3F3"/>
      </patternFill>
    </fill>
    <fill>
      <patternFill patternType="solid">
        <fgColor rgb="FFFBE3EB"/>
        <bgColor rgb="FFFBE3EB"/>
      </patternFill>
    </fill>
    <fill>
      <patternFill patternType="solid">
        <fgColor rgb="FFC7F1F1"/>
        <bgColor rgb="FFC7F1F1"/>
      </patternFill>
    </fill>
    <fill>
      <patternFill patternType="solid">
        <fgColor rgb="FFEFC6DB"/>
        <bgColor rgb="FFEFC6DB"/>
      </patternFill>
    </fill>
    <fill>
      <patternFill patternType="solid">
        <fgColor rgb="FFD7D7FB"/>
        <bgColor rgb="FFD7D7FB"/>
      </patternFill>
    </fill>
    <fill>
      <patternFill patternType="solid">
        <fgColor rgb="FFCCCCCC"/>
        <bgColor rgb="FFCCCCCC"/>
      </patternFill>
    </fill>
    <fill>
      <patternFill patternType="solid">
        <fgColor rgb="FFA7B4ED"/>
        <bgColor rgb="FFA7B4ED"/>
      </patternFill>
    </fill>
    <fill>
      <patternFill patternType="solid">
        <fgColor rgb="FFEDB7ED"/>
        <bgColor rgb="FFEDB7ED"/>
      </patternFill>
    </fill>
    <fill>
      <patternFill patternType="solid">
        <fgColor rgb="FFF4B1D0"/>
        <bgColor rgb="FFF4B1D0"/>
      </patternFill>
    </fill>
    <fill>
      <patternFill patternType="solid">
        <fgColor rgb="FFE5C39A"/>
        <bgColor rgb="FFE5C39A"/>
      </patternFill>
    </fill>
    <fill>
      <patternFill patternType="solid">
        <fgColor rgb="FFE1DFA4"/>
        <bgColor rgb="FFE1DFA4"/>
      </patternFill>
    </fill>
    <fill>
      <patternFill patternType="solid">
        <fgColor rgb="FFB8A9E0"/>
        <bgColor rgb="FFB8A9E0"/>
      </patternFill>
    </fill>
    <fill>
      <patternFill patternType="solid">
        <fgColor rgb="FF999999"/>
        <bgColor rgb="FF999999"/>
      </patternFill>
    </fill>
    <fill>
      <patternFill patternType="solid">
        <fgColor rgb="FFDCD987"/>
        <bgColor rgb="FFDCD987"/>
      </patternFill>
    </fill>
    <fill>
      <patternFill patternType="solid">
        <fgColor rgb="FFDEB284"/>
        <bgColor rgb="FFDEB284"/>
      </patternFill>
    </fill>
    <fill>
      <patternFill patternType="solid">
        <fgColor rgb="FFBDBDBD"/>
        <bgColor rgb="FFBDBDBD"/>
      </patternFill>
    </fill>
  </fills>
  <borders count="851">
    <border/>
    <border>
      <top style="thin">
        <color rgb="FFD9D9D9"/>
      </top>
    </border>
    <border>
      <left style="double">
        <color rgb="FF000000"/>
      </left>
      <top style="double">
        <color rgb="FF000000"/>
      </top>
    </border>
    <border>
      <top style="double">
        <color rgb="FF000000"/>
      </top>
    </border>
    <border>
      <top style="double">
        <color rgb="FF000000"/>
      </top>
      <bottom style="thin">
        <color rgb="FFB7B7B7"/>
      </bottom>
    </border>
    <border>
      <right style="double">
        <color rgb="FF000000"/>
      </right>
      <top style="double">
        <color rgb="FF000000"/>
      </top>
      <bottom style="thin">
        <color rgb="FFB7B7B7"/>
      </bottom>
    </border>
    <border>
      <left style="double">
        <color rgb="FF000000"/>
      </left>
    </border>
    <border>
      <right style="double">
        <color rgb="FF000000"/>
      </right>
    </border>
    <border>
      <bottom style="thin">
        <color rgb="FFD9D9D9"/>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3E3A3A"/>
      </left>
      <right style="thin">
        <color rgb="FF3E3A3A"/>
      </right>
      <top style="thin">
        <color rgb="FF3E3A3A"/>
      </top>
      <bottom style="thin">
        <color rgb="FF3E3A3A"/>
      </bottom>
    </border>
    <border>
      <left style="thin">
        <color rgb="FF3E3A3A"/>
      </left>
      <right style="thin">
        <color rgb="FF3E3A3A"/>
      </right>
      <top style="thin">
        <color rgb="FF3E3A3A"/>
      </top>
    </border>
    <border>
      <left style="thin">
        <color rgb="FF3E3A3A"/>
      </left>
      <top style="thin">
        <color rgb="FF3E3A3A"/>
      </top>
      <bottom style="thin">
        <color rgb="FF3E3A3A"/>
      </bottom>
    </border>
    <border>
      <left style="thick">
        <color rgb="FF7EEFAD"/>
      </left>
      <right style="thin">
        <color rgb="FFEFEFEF"/>
      </right>
      <top style="thick">
        <color rgb="FF7EEFAD"/>
      </top>
      <bottom style="thin">
        <color rgb="FFEFEFEF"/>
      </bottom>
    </border>
    <border>
      <left style="thin">
        <color rgb="FFEFEFEF"/>
      </left>
      <right style="thin">
        <color rgb="FFEFEFEF"/>
      </right>
      <top style="thick">
        <color rgb="FF7EEFAD"/>
      </top>
    </border>
    <border>
      <left style="thin">
        <color rgb="FFEFEFEF"/>
      </left>
      <right style="thin">
        <color rgb="FFEFEFEF"/>
      </right>
      <top style="thick">
        <color rgb="FF7EEFAD"/>
      </top>
      <bottom style="thin">
        <color rgb="FFEFEFEF"/>
      </bottom>
    </border>
    <border>
      <left style="thin">
        <color rgb="FFEFEFEF"/>
      </left>
      <right style="thick">
        <color rgb="FF7EEFAD"/>
      </right>
      <top style="thick">
        <color rgb="FF7EEFAD"/>
      </top>
      <bottom style="thin">
        <color rgb="FFEFEFEF"/>
      </bottom>
    </border>
    <border>
      <right style="thin">
        <color rgb="FF3E3A3A"/>
      </right>
      <top style="thin">
        <color rgb="FF3E3A3A"/>
      </top>
      <bottom style="thin">
        <color rgb="FF3E3A3A"/>
      </bottom>
    </border>
    <border>
      <left style="thick">
        <color rgb="FF7EEFAD"/>
      </left>
      <top style="thin">
        <color rgb="FFEFEFEF"/>
      </top>
      <bottom style="thin">
        <color rgb="FFEFEFEF"/>
      </bottom>
    </border>
    <border>
      <left style="thick">
        <color rgb="FF3E3A3A"/>
      </left>
      <right style="thin">
        <color rgb="FFEFEFEF"/>
      </right>
      <top style="thick">
        <color rgb="FF3E3A3A"/>
      </top>
      <bottom style="thin">
        <color rgb="FFEFEFEF"/>
      </bottom>
    </border>
    <border>
      <left style="thin">
        <color rgb="FFEFEFEF"/>
      </left>
      <top style="thick">
        <color rgb="FF3E3A3A"/>
      </top>
      <bottom style="thin">
        <color rgb="FFEFEFEF"/>
      </bottom>
    </border>
    <border>
      <top style="thick">
        <color rgb="FF3E3A3A"/>
      </top>
      <bottom style="thin">
        <color rgb="FFEFEFEF"/>
      </bottom>
    </border>
    <border>
      <right style="thick">
        <color rgb="FF3E3A3A"/>
      </right>
      <top style="thick">
        <color rgb="FF3E3A3A"/>
      </top>
      <bottom style="thin">
        <color rgb="FFEFEFEF"/>
      </bottom>
    </border>
    <border>
      <right style="thin">
        <color rgb="FFFFFFFF"/>
      </right>
      <top style="thin">
        <color rgb="FFEFEFEF"/>
      </top>
      <bottom style="thin">
        <color rgb="FFEFEFEF"/>
      </bottom>
    </border>
    <border>
      <left style="thick">
        <color rgb="FF000000"/>
      </left>
      <right style="thick">
        <color rgb="FF000000"/>
      </right>
      <top style="thick">
        <color rgb="FF000000"/>
      </top>
    </border>
    <border>
      <right style="thick">
        <color rgb="FF7EEFAD"/>
      </right>
      <top style="thin">
        <color rgb="FFEFEFEF"/>
      </top>
      <bottom style="thin">
        <color rgb="FFEFEFEF"/>
      </bottom>
    </border>
    <border>
      <left style="thick">
        <color rgb="FF3E3A3A"/>
      </left>
      <right style="thin">
        <color rgb="FFEFEFEF"/>
      </right>
      <top style="thin">
        <color rgb="FFEFEFEF"/>
      </top>
      <bottom style="medium">
        <color rgb="FF3E3A3A"/>
      </bottom>
    </border>
    <border>
      <left style="thin">
        <color rgb="FFEFEFEF"/>
      </left>
      <top style="thin">
        <color rgb="FFEFEFEF"/>
      </top>
      <bottom style="medium">
        <color rgb="FF3E3A3A"/>
      </bottom>
    </border>
    <border>
      <right style="thin">
        <color rgb="FFEFEFEF"/>
      </right>
      <top style="thin">
        <color rgb="FFEFEFEF"/>
      </top>
      <bottom style="medium">
        <color rgb="FF3E3A3A"/>
      </bottom>
    </border>
    <border>
      <left style="thin">
        <color rgb="FFEFEFEF"/>
      </left>
      <right style="thick">
        <color rgb="FF3E3A3A"/>
      </right>
      <top style="thin">
        <color rgb="FFEFEFEF"/>
      </top>
      <bottom style="medium">
        <color rgb="FF3E3A3A"/>
      </bottom>
    </border>
    <border>
      <left style="thick">
        <color rgb="FF000000"/>
      </left>
      <right style="thick">
        <color rgb="FF000000"/>
      </right>
    </border>
    <border>
      <left style="thick">
        <color rgb="FF3E3A3A"/>
      </left>
      <right style="thin">
        <color rgb="FF000000"/>
      </right>
      <bottom style="thin">
        <color rgb="FF7EEFAD"/>
      </bottom>
    </border>
    <border>
      <right style="thin">
        <color rgb="FFFFFFFF"/>
      </right>
      <bottom style="thin">
        <color rgb="FFFFFFFF"/>
      </bottom>
    </border>
    <border>
      <left style="thin">
        <color rgb="FFFFFFFF"/>
      </left>
      <right style="thin">
        <color rgb="FFFFFFFF"/>
      </right>
      <bottom style="thin">
        <color rgb="FFFFFFFF"/>
      </bottom>
    </border>
    <border>
      <left style="thin">
        <color rgb="FF000000"/>
      </left>
      <right style="thick">
        <color rgb="FF3E3A3A"/>
      </right>
      <bottom style="thin">
        <color rgb="FFFFFFFF"/>
      </bottom>
    </border>
    <border>
      <left style="thick">
        <color rgb="FF3E3A3A"/>
      </left>
      <right style="thin">
        <color rgb="FF000000"/>
      </right>
      <top style="thin">
        <color rgb="FF7EEFAD"/>
      </top>
    </border>
    <border>
      <right style="thin">
        <color rgb="FFEFEFEF"/>
      </right>
      <top style="thin">
        <color rgb="FFFFFFFF"/>
      </top>
    </border>
    <border>
      <right style="thin">
        <color rgb="FFF3F3F3"/>
      </right>
      <top style="thin">
        <color rgb="FFFFFFFF"/>
      </top>
    </border>
    <border>
      <left style="thin">
        <color rgb="FF000000"/>
      </left>
      <right style="thick">
        <color rgb="FF3E3A3A"/>
      </right>
      <top style="thin">
        <color rgb="FFFFFFFF"/>
      </top>
    </border>
    <border>
      <left style="thick">
        <color rgb="FF3E3A3A"/>
      </left>
      <right style="thin">
        <color rgb="FF000000"/>
      </right>
      <top style="thin">
        <color rgb="FF434343"/>
      </top>
      <bottom style="thin">
        <color rgb="FFD4EF7E"/>
      </bottom>
    </border>
    <border>
      <right style="thin">
        <color rgb="FFFFFFFF"/>
      </right>
      <top style="thin">
        <color rgb="FF434343"/>
      </top>
      <bottom style="thin">
        <color rgb="FFFFFFFF"/>
      </bottom>
    </border>
    <border>
      <left style="thin">
        <color rgb="FFFFFFFF"/>
      </left>
      <right style="thin">
        <color rgb="FFFFFFFF"/>
      </right>
      <top style="thin">
        <color rgb="FF434343"/>
      </top>
      <bottom style="thin">
        <color rgb="FFFFFFFF"/>
      </bottom>
    </border>
    <border>
      <left style="thin">
        <color rgb="FF000000"/>
      </left>
      <right style="thick">
        <color rgb="FF3E3A3A"/>
      </right>
      <top style="thin">
        <color rgb="FF434343"/>
      </top>
      <bottom style="thin">
        <color rgb="FFFFFFFF"/>
      </bottom>
    </border>
    <border>
      <left style="thick">
        <color rgb="FF3E3A3A"/>
      </left>
      <right style="thin">
        <color rgb="FF000000"/>
      </right>
      <top style="thin">
        <color rgb="FFD4EF7E"/>
      </top>
      <bottom style="thin">
        <color rgb="FFD4EF7E"/>
      </bottom>
    </border>
    <border>
      <right style="thin">
        <color rgb="FFEFEFEF"/>
      </right>
      <top style="thin">
        <color rgb="FFFFFFFF"/>
      </top>
      <bottom style="thin">
        <color rgb="FFFFFFFF"/>
      </bottom>
    </border>
    <border>
      <right style="thin">
        <color rgb="FFF3F3F3"/>
      </right>
      <top style="thin">
        <color rgb="FFFFFFFF"/>
      </top>
      <bottom style="thin">
        <color rgb="FFFFFFFF"/>
      </bottom>
    </border>
    <border>
      <left style="thin">
        <color rgb="FF000000"/>
      </left>
      <right style="thick">
        <color rgb="FF3E3A3A"/>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3E3A3A"/>
      </left>
      <right style="thin">
        <color rgb="FF000000"/>
      </right>
      <top style="thin">
        <color rgb="FFD4EF7E"/>
      </top>
      <bottom style="thin">
        <color rgb="FF434343"/>
      </bottom>
    </border>
    <border>
      <right style="thin">
        <color rgb="FFEFEFEF"/>
      </right>
      <top style="thin">
        <color rgb="FFFFFFFF"/>
      </top>
      <bottom style="thin">
        <color rgb="FF434343"/>
      </bottom>
    </border>
    <border>
      <right style="thin">
        <color rgb="FFF3F3F3"/>
      </right>
      <top style="thin">
        <color rgb="FFFFFFFF"/>
      </top>
      <bottom style="thin">
        <color rgb="FF434343"/>
      </bottom>
    </border>
    <border>
      <left style="thin">
        <color rgb="FF000000"/>
      </left>
      <right style="thick">
        <color rgb="FF3E3A3A"/>
      </right>
      <top style="thin">
        <color rgb="FFFFFFFF"/>
      </top>
      <bottom style="thin">
        <color rgb="FF434343"/>
      </bottom>
    </border>
    <border>
      <left style="thick">
        <color rgb="FF3E3A3A"/>
      </left>
      <right style="thin">
        <color rgb="FF000000"/>
      </right>
      <bottom style="thin">
        <color rgb="FFEFCA7E"/>
      </bottom>
    </border>
    <border>
      <left style="thick">
        <color rgb="FF3E3A3A"/>
      </left>
      <right style="thin">
        <color rgb="FF000000"/>
      </right>
      <top style="thin">
        <color rgb="FFEFCA7E"/>
      </top>
    </border>
    <border>
      <left style="thick">
        <color rgb="FF3E3A3A"/>
      </left>
      <right style="thin">
        <color rgb="FF000000"/>
      </right>
      <top style="thin">
        <color rgb="FF434343"/>
      </top>
      <bottom style="thin">
        <color rgb="FFEFAF7E"/>
      </bottom>
    </border>
    <border>
      <left style="thick">
        <color rgb="FF3E3A3A"/>
      </left>
      <right style="thin">
        <color rgb="FF000000"/>
      </right>
      <top style="thin">
        <color rgb="FFEFAF7E"/>
      </top>
      <bottom style="thin">
        <color rgb="FF434343"/>
      </bottom>
    </border>
    <border>
      <left style="thick">
        <color rgb="FF3E3A3A"/>
      </left>
      <right style="thin">
        <color rgb="FF000000"/>
      </right>
      <bottom style="thin">
        <color rgb="FFEF7E7E"/>
      </bottom>
    </border>
    <border>
      <left style="thick">
        <color rgb="FF3E3A3A"/>
      </left>
      <right style="thin">
        <color rgb="FF000000"/>
      </right>
      <top style="thin">
        <color rgb="FFEF7E7E"/>
      </top>
      <bottom style="thick">
        <color rgb="FF3E3A3A"/>
      </bottom>
    </border>
    <border>
      <right style="thin">
        <color rgb="FFEFEFEF"/>
      </right>
      <top style="thin">
        <color rgb="FFFFFFFF"/>
      </top>
      <bottom style="thick">
        <color rgb="FF3E3A3A"/>
      </bottom>
    </border>
    <border>
      <left style="thin">
        <color rgb="FFEFEFEF"/>
      </left>
      <right style="thin">
        <color rgb="FFF3F3F3"/>
      </right>
      <top style="thin">
        <color rgb="FFFFFFFF"/>
      </top>
      <bottom style="thick">
        <color rgb="FF3E3A3A"/>
      </bottom>
    </border>
    <border>
      <left style="thin">
        <color rgb="FF000000"/>
      </left>
      <right style="thick">
        <color rgb="FF3E3A3A"/>
      </right>
      <top style="thin">
        <color rgb="FFFFFFFF"/>
      </top>
      <bottom style="thick">
        <color rgb="FF3E3A3A"/>
      </bottom>
    </border>
    <border>
      <left style="thick">
        <color rgb="FF7EEFAD"/>
      </left>
      <right style="thin">
        <color rgb="FFEFEFEF"/>
      </right>
      <top style="thin">
        <color rgb="FFEFEFEF"/>
      </top>
      <bottom style="thin">
        <color rgb="FFEFEFEF"/>
      </bottom>
    </border>
    <border>
      <left style="thin">
        <color rgb="FFEFEFEF"/>
      </left>
      <right style="thin">
        <color rgb="FFEFEFEF"/>
      </right>
      <bottom style="thin">
        <color rgb="FFFFFFFF"/>
      </bottom>
    </border>
    <border>
      <left style="thin">
        <color rgb="FFEFEFEF"/>
      </left>
      <right style="thin">
        <color rgb="FFEFEFEF"/>
      </right>
    </border>
    <border>
      <left style="thin">
        <color rgb="FFEFEFEF"/>
      </left>
      <right style="thin">
        <color rgb="FFEFEFEF"/>
      </right>
      <top style="thin">
        <color rgb="FFEFEFEF"/>
      </top>
      <bottom style="thin">
        <color rgb="FFEFEFEF"/>
      </bottom>
    </border>
    <border>
      <left style="thin">
        <color rgb="FFEFEFEF"/>
      </left>
      <right style="thick">
        <color rgb="FF7EEFAD"/>
      </right>
      <top style="thin">
        <color rgb="FFEFEFEF"/>
      </top>
      <bottom style="thin">
        <color rgb="FFEFEFEF"/>
      </bottom>
    </border>
    <border>
      <left style="thick">
        <color rgb="FF000000"/>
      </left>
      <right style="thick">
        <color rgb="FF000000"/>
      </right>
      <bottom style="thick">
        <color rgb="FF000000"/>
      </bottom>
    </border>
    <border>
      <left style="thick">
        <color rgb="FF7EEFAD"/>
      </left>
      <right style="thin">
        <color rgb="FFEFEFEF"/>
      </right>
      <top style="thin">
        <color rgb="FFEFEFEF"/>
      </top>
      <bottom style="thick">
        <color rgb="FF7EEFAD"/>
      </bottom>
    </border>
    <border>
      <left style="thin">
        <color rgb="FFEFEFEF"/>
      </left>
      <right style="thin">
        <color rgb="FFEFEFEF"/>
      </right>
      <top style="thin">
        <color rgb="FFFFFFFF"/>
      </top>
      <bottom style="thick">
        <color rgb="FF7EEFAD"/>
      </bottom>
    </border>
    <border>
      <left style="thin">
        <color rgb="FFEFEFEF"/>
      </left>
      <right style="thin">
        <color rgb="FFEFEFEF"/>
      </right>
      <bottom style="thick">
        <color rgb="FF7EEFAD"/>
      </bottom>
    </border>
    <border>
      <left style="thin">
        <color rgb="FFEFEFEF"/>
      </left>
      <right style="thin">
        <color rgb="FFEFEFEF"/>
      </right>
      <top style="thin">
        <color rgb="FFEFEFEF"/>
      </top>
      <bottom style="thick">
        <color rgb="FF7EEFAD"/>
      </bottom>
    </border>
    <border>
      <left style="thin">
        <color rgb="FFEFEFEF"/>
      </left>
      <right style="thick">
        <color rgb="FF7EEFAD"/>
      </right>
      <top style="thin">
        <color rgb="FFEFEFEF"/>
      </top>
      <bottom style="thick">
        <color rgb="FF7EEFAD"/>
      </bottom>
    </border>
    <border>
      <left style="thin">
        <color rgb="FF3E3A3A"/>
      </left>
      <right style="thin">
        <color rgb="FF3E3A3A"/>
      </right>
      <bottom style="thin">
        <color rgb="FF3E3A3A"/>
      </bottom>
    </border>
    <border>
      <left style="thick">
        <color rgb="FF52D9F6"/>
      </left>
      <right style="thin">
        <color rgb="FFEFEFEF"/>
      </right>
      <top style="thick">
        <color rgb="FF52D9F6"/>
      </top>
      <bottom style="thin">
        <color rgb="FFEFEFEF"/>
      </bottom>
    </border>
    <border>
      <left style="thin">
        <color rgb="FFEFEFEF"/>
      </left>
      <right style="thin">
        <color rgb="FFEFEFEF"/>
      </right>
      <top style="thick">
        <color rgb="FF52D9F6"/>
      </top>
    </border>
    <border>
      <left style="thin">
        <color rgb="FFEFEFEF"/>
      </left>
      <right style="thin">
        <color rgb="FFEFEFEF"/>
      </right>
      <top style="thick">
        <color rgb="FF52D9F6"/>
      </top>
      <bottom style="thin">
        <color rgb="FFEFEFEF"/>
      </bottom>
    </border>
    <border>
      <left style="thin">
        <color rgb="FFEFEFEF"/>
      </left>
      <right style="thin">
        <color rgb="FFEFEFEF"/>
      </right>
      <top style="thick">
        <color rgb="FF52D9F6"/>
      </top>
      <bottom style="medium">
        <color rgb="FFFFFFFF"/>
      </bottom>
    </border>
    <border>
      <left style="thin">
        <color rgb="FFEFEFEF"/>
      </left>
      <right style="thick">
        <color rgb="FF52D9F6"/>
      </right>
      <top style="thick">
        <color rgb="FF52D9F6"/>
      </top>
      <bottom style="thin">
        <color rgb="FFEFEFEF"/>
      </bottom>
    </border>
    <border>
      <left style="thick">
        <color rgb="FF52D9F6"/>
      </left>
      <top style="thin">
        <color rgb="FFEFEFEF"/>
      </top>
      <bottom style="thin">
        <color rgb="FFEFEFEF"/>
      </bottom>
    </border>
    <border>
      <left style="thick">
        <color rgb="FF000000"/>
      </left>
      <right style="thin">
        <color rgb="FFEFEFEF"/>
      </right>
      <top style="thick">
        <color rgb="FF000000"/>
      </top>
      <bottom style="thin">
        <color rgb="FFEFEFEF"/>
      </bottom>
    </border>
    <border>
      <left style="thin">
        <color rgb="FFEFEFEF"/>
      </left>
      <right style="thick">
        <color rgb="FF000000"/>
      </right>
      <top style="thick">
        <color rgb="FF000000"/>
      </top>
      <bottom style="thin">
        <color rgb="FFEFEFEF"/>
      </bottom>
    </border>
    <border>
      <top style="thin">
        <color rgb="FFEFEFEF"/>
      </top>
      <bottom style="thin">
        <color rgb="FFEFEFEF"/>
      </bottom>
    </border>
    <border>
      <top style="medium">
        <color rgb="FFFFFFFF"/>
      </top>
      <bottom style="medium">
        <color rgb="FFFFFFFF"/>
      </bottom>
    </border>
    <border>
      <right style="thick">
        <color rgb="FF52D9F6"/>
      </right>
      <top style="thin">
        <color rgb="FFEFEFEF"/>
      </top>
      <bottom style="thin">
        <color rgb="FFEFEFEF"/>
      </bottom>
    </border>
    <border>
      <left style="thick">
        <color rgb="FF000000"/>
      </left>
      <top style="thin">
        <color rgb="FFEFEFEF"/>
      </top>
      <bottom style="thick">
        <color rgb="FF000000"/>
      </bottom>
    </border>
    <border>
      <right style="thick">
        <color rgb="FF000000"/>
      </right>
      <top style="thin">
        <color rgb="FFEFEFEF"/>
      </top>
      <bottom style="thick">
        <color rgb="FF000000"/>
      </bottom>
    </border>
    <border>
      <left style="thick">
        <color rgb="FF52D9F6"/>
      </left>
      <right style="thin">
        <color rgb="FFEFEFEF"/>
      </right>
      <top style="thin">
        <color rgb="FFEFEFEF"/>
      </top>
      <bottom style="thin">
        <color rgb="FFEFEFEF"/>
      </bottom>
    </border>
    <border>
      <left style="thin">
        <color rgb="FFEFEFEF"/>
      </left>
      <right style="thin">
        <color rgb="FFEFEFEF"/>
      </right>
      <bottom style="thin">
        <color rgb="FFEFEFEF"/>
      </bottom>
    </border>
    <border>
      <left style="thin">
        <color rgb="FFEFEFEF"/>
      </left>
      <top style="thin">
        <color rgb="FFEFEFEF"/>
      </top>
      <bottom style="thin">
        <color rgb="FFEFEFEF"/>
      </bottom>
    </border>
    <border>
      <left style="thick">
        <color rgb="FF3E3A3A"/>
      </left>
      <right style="thin">
        <color rgb="FF000000"/>
      </right>
      <bottom style="thin">
        <color rgb="FF000000"/>
      </bottom>
    </border>
    <border>
      <right style="thin">
        <color rgb="FFFFFFFF"/>
      </right>
      <bottom style="thin">
        <color rgb="FF000000"/>
      </bottom>
    </border>
    <border>
      <left style="thin">
        <color rgb="FFFFFFFF"/>
      </left>
      <right style="thin">
        <color rgb="FFFFFFFF"/>
      </right>
      <bottom style="thin">
        <color rgb="FF000000"/>
      </bottom>
    </border>
    <border>
      <left style="thin">
        <color rgb="FF000000"/>
      </left>
      <right style="thick">
        <color rgb="FF3E3A3A"/>
      </right>
      <bottom style="thin">
        <color rgb="FF000000"/>
      </bottom>
    </border>
    <border>
      <left style="thick">
        <color rgb="FF3E3A3A"/>
      </left>
      <right style="thin">
        <color rgb="FF000000"/>
      </right>
      <top style="thin">
        <color rgb="FF000000"/>
      </top>
      <bottom style="thick">
        <color rgb="FF000000"/>
      </bottom>
    </border>
    <border>
      <right style="thin">
        <color rgb="FFEFEFEF"/>
      </right>
      <top style="thin">
        <color rgb="FF000000"/>
      </top>
      <bottom style="thick">
        <color rgb="FF000000"/>
      </bottom>
    </border>
    <border>
      <right style="thin">
        <color rgb="FFF3F3F3"/>
      </right>
      <top style="thin">
        <color rgb="FF000000"/>
      </top>
      <bottom style="thick">
        <color rgb="FF000000"/>
      </bottom>
    </border>
    <border>
      <left style="thin">
        <color rgb="FF000000"/>
      </left>
      <right style="thick">
        <color rgb="FF3E3A3A"/>
      </right>
      <top style="thin">
        <color rgb="FF000000"/>
      </top>
      <bottom style="thick">
        <color rgb="FF000000"/>
      </bottom>
    </border>
    <border>
      <left style="thin">
        <color rgb="FFEFEFEF"/>
      </left>
      <right style="thin">
        <color rgb="FFEFEFEF"/>
      </right>
      <top style="thin">
        <color rgb="FFEFEFEF"/>
      </top>
    </border>
    <border>
      <left style="thin">
        <color rgb="FFEFEFEF"/>
      </left>
      <right style="thin">
        <color rgb="FFEFEFEF"/>
      </right>
      <top style="medium">
        <color rgb="FFFFFFFF"/>
      </top>
      <bottom style="medium">
        <color rgb="FFFFFFFF"/>
      </bottom>
    </border>
    <border>
      <left style="thin">
        <color rgb="FFEFEFEF"/>
      </left>
      <top style="thick">
        <color rgb="FF000000"/>
      </top>
      <bottom style="thin">
        <color rgb="FFEFEFEF"/>
      </bottom>
    </border>
    <border>
      <top style="thick">
        <color rgb="FF000000"/>
      </top>
      <bottom style="thin">
        <color rgb="FFEFEFEF"/>
      </bottom>
    </border>
    <border>
      <right style="thick">
        <color rgb="FF000000"/>
      </right>
      <top style="thick">
        <color rgb="FF000000"/>
      </top>
      <bottom style="thin">
        <color rgb="FFEFEFEF"/>
      </bottom>
    </border>
    <border>
      <left style="thick">
        <color rgb="FF000000"/>
      </left>
      <right style="thin">
        <color rgb="FFEFEFEF"/>
      </right>
      <top style="thin">
        <color rgb="FFEFEFEF"/>
      </top>
      <bottom style="medium">
        <color rgb="FF3E3A3A"/>
      </bottom>
    </border>
    <border>
      <left style="thin">
        <color rgb="FFEFEFEF"/>
      </left>
      <right style="thick">
        <color rgb="FF000000"/>
      </right>
      <top style="thin">
        <color rgb="FFEFEFEF"/>
      </top>
      <bottom style="medium">
        <color rgb="FF3E3A3A"/>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border>
    <border>
      <right style="thin">
        <color rgb="FFEFEFEF"/>
      </right>
      <bottom style="thin">
        <color rgb="FFFFFFFF"/>
      </bottom>
    </border>
    <border>
      <right style="thin">
        <color rgb="FFF3F3F3"/>
      </right>
      <bottom style="thin">
        <color rgb="FFFFFFFF"/>
      </bottom>
    </border>
    <border>
      <left style="thin">
        <color rgb="FF000000"/>
      </left>
      <right style="thick">
        <color rgb="FF000000"/>
      </right>
    </border>
    <border>
      <left style="thick">
        <color rgb="FF000000"/>
      </left>
      <right style="thin">
        <color rgb="FF000000"/>
      </right>
      <top style="thin">
        <color rgb="FFEFAF7E"/>
      </top>
      <bottom style="thick">
        <color rgb="FF000000"/>
      </bottom>
    </border>
    <border>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000000"/>
      </left>
      <right style="thick">
        <color rgb="FF000000"/>
      </right>
      <top style="thin">
        <color rgb="FFFFFFFF"/>
      </top>
      <bottom style="thick">
        <color rgb="FF000000"/>
      </bottom>
    </border>
    <border>
      <left style="thick">
        <color rgb="FF000000"/>
      </left>
      <right style="thin">
        <color rgb="FF000000"/>
      </right>
      <top style="thin">
        <color rgb="FF7EEFAD"/>
      </top>
    </border>
    <border>
      <left style="thin">
        <color rgb="FF000000"/>
      </left>
      <right style="thick">
        <color rgb="FF000000"/>
      </right>
      <top style="thin">
        <color rgb="FFFFFFFF"/>
      </top>
      <bottom style="thin">
        <color rgb="FFFFFFFF"/>
      </bottom>
    </border>
    <border>
      <left style="thin">
        <color rgb="FF000000"/>
      </left>
      <right style="thick">
        <color rgb="FF000000"/>
      </right>
      <top style="thin">
        <color rgb="FFFFFFFF"/>
      </top>
    </border>
    <border>
      <left style="thick">
        <color rgb="FF000000"/>
      </left>
      <right style="thin">
        <color rgb="FF000000"/>
      </right>
      <top style="thin">
        <color rgb="FF000000"/>
      </top>
      <bottom style="thin">
        <color rgb="FF000000"/>
      </bottom>
    </border>
    <border>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EFEFEF"/>
      </right>
    </border>
    <border>
      <right style="thin">
        <color rgb="FFF3F3F3"/>
      </right>
    </border>
    <border>
      <left style="thick">
        <color rgb="FF000000"/>
      </left>
      <right style="thin">
        <color rgb="FF000000"/>
      </right>
      <top style="thin">
        <color rgb="FF000000"/>
      </top>
      <bottom style="thick">
        <color rgb="FF000000"/>
      </bottom>
    </border>
    <border>
      <right style="thin">
        <color rgb="FFFFFFFF"/>
      </right>
      <top style="thin">
        <color rgb="FF000000"/>
      </top>
      <bottom style="thick">
        <color rgb="FF000000"/>
      </bottom>
    </border>
    <border>
      <left style="thin">
        <color rgb="FFFFFFFF"/>
      </left>
      <right style="thin">
        <color rgb="FFFFFFFF"/>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FFFFFF"/>
      </right>
    </border>
    <border>
      <left style="thin">
        <color rgb="FFFFFFFF"/>
      </left>
      <right style="thin">
        <color rgb="FFFFFFFF"/>
      </right>
    </border>
    <border>
      <left style="thick">
        <color rgb="FF000000"/>
      </left>
      <right style="thin">
        <color rgb="FF000000"/>
      </right>
      <top style="thin">
        <color rgb="FF000000"/>
      </top>
    </border>
    <border>
      <right style="thin">
        <color rgb="FFEFEFEF"/>
      </right>
      <top style="thin">
        <color rgb="FF000000"/>
      </top>
    </border>
    <border>
      <right style="thin">
        <color rgb="FFF3F3F3"/>
      </right>
      <top style="thin">
        <color rgb="FF000000"/>
      </top>
    </border>
    <border>
      <left style="thin">
        <color rgb="FF000000"/>
      </left>
      <right style="thick">
        <color rgb="FF000000"/>
      </right>
      <top style="thin">
        <color rgb="FF000000"/>
      </top>
    </border>
    <border>
      <left style="thick">
        <color rgb="FF52D9F6"/>
      </left>
      <right style="thin">
        <color rgb="FFEFEFEF"/>
      </right>
      <top style="thin">
        <color rgb="FFEFEFEF"/>
      </top>
      <bottom style="thick">
        <color rgb="FF52D9F6"/>
      </bottom>
    </border>
    <border>
      <left style="thin">
        <color rgb="FFEFEFEF"/>
      </left>
      <right style="thin">
        <color rgb="FFEFEFEF"/>
      </right>
      <top style="thin">
        <color rgb="FFEFEFEF"/>
      </top>
      <bottom style="thick">
        <color rgb="FF52D9F6"/>
      </bottom>
    </border>
    <border>
      <left style="thin">
        <color rgb="FFEFEFEF"/>
      </left>
      <right style="thin">
        <color rgb="FFEFEFEF"/>
      </right>
      <bottom style="thick">
        <color rgb="FF52D9F6"/>
      </bottom>
    </border>
    <border>
      <left style="thin">
        <color rgb="FFEFEFEF"/>
      </left>
      <right style="thin">
        <color rgb="FFEFEFEF"/>
      </right>
      <top style="medium">
        <color rgb="FFFFFFFF"/>
      </top>
      <bottom style="thick">
        <color rgb="FF52D9F6"/>
      </bottom>
    </border>
    <border>
      <left style="thin">
        <color rgb="FFEFEFEF"/>
      </left>
      <right style="thick">
        <color rgb="FF52D9F6"/>
      </right>
      <top style="thin">
        <color rgb="FFEFEFEF"/>
      </top>
      <bottom style="thick">
        <color rgb="FF52D9F6"/>
      </bottom>
    </border>
    <border>
      <left style="thick">
        <color rgb="FFFFEE61"/>
      </left>
      <right style="thin">
        <color rgb="FFEFEFEF"/>
      </right>
      <top style="thick">
        <color rgb="FFFFEE61"/>
      </top>
      <bottom style="thin">
        <color rgb="FFEFEFEF"/>
      </bottom>
    </border>
    <border>
      <left style="thin">
        <color rgb="FFEFEFEF"/>
      </left>
      <top style="thick">
        <color rgb="FFFFEE61"/>
      </top>
      <bottom style="thin">
        <color rgb="FFEFEFEF"/>
      </bottom>
    </border>
    <border>
      <top style="thick">
        <color rgb="FFFFEE61"/>
      </top>
      <bottom style="thin">
        <color rgb="FFEFEFEF"/>
      </bottom>
    </border>
    <border>
      <right style="thin">
        <color rgb="FFEFEFEF"/>
      </right>
      <top style="thick">
        <color rgb="FFFFEE61"/>
      </top>
      <bottom style="thin">
        <color rgb="FFEFEFEF"/>
      </bottom>
    </border>
    <border>
      <left style="thin">
        <color rgb="FFEFEFEF"/>
      </left>
      <right style="thick">
        <color rgb="FFFFEE61"/>
      </right>
      <top style="thick">
        <color rgb="FFFFEE61"/>
      </top>
      <bottom style="thin">
        <color rgb="FFEFEFEF"/>
      </bottom>
    </border>
    <border>
      <left style="thick">
        <color rgb="FFFFEE61"/>
      </left>
      <top style="thin">
        <color rgb="FFEFEFEF"/>
      </top>
      <bottom style="thin">
        <color rgb="FFEFEFEF"/>
      </bottom>
    </border>
    <border>
      <left style="double">
        <color rgb="FF000000"/>
      </left>
      <top style="thin">
        <color rgb="FFEFEFEF"/>
      </top>
      <bottom style="thin">
        <color rgb="FFEFEFEF"/>
      </bottom>
    </border>
    <border>
      <right style="thick">
        <color rgb="FFFFEE61"/>
      </right>
      <top style="thin">
        <color rgb="FFEFEFEF"/>
      </top>
      <bottom style="thin">
        <color rgb="FFEFEFEF"/>
      </bottom>
    </border>
    <border>
      <left style="thick">
        <color rgb="FF000000"/>
      </left>
      <right style="thin">
        <color rgb="FF000000"/>
      </right>
      <bottom style="thin">
        <color rgb="FF7EEFAD"/>
      </bottom>
    </border>
    <border>
      <left style="thin">
        <color rgb="FF000000"/>
      </left>
      <right style="thick">
        <color rgb="FF000000"/>
      </right>
      <bottom style="thin">
        <color rgb="FFFFFFFF"/>
      </bottom>
    </border>
    <border>
      <left style="thick">
        <color rgb="FF000000"/>
      </left>
      <right style="thin">
        <color rgb="FF000000"/>
      </right>
      <top style="thin">
        <color rgb="FF7EEFAD"/>
      </top>
      <bottom style="thin">
        <color rgb="FF000000"/>
      </bottom>
    </border>
    <border>
      <left style="thick">
        <color rgb="FF000000"/>
      </left>
      <right style="thin">
        <color rgb="FF000000"/>
      </right>
      <bottom style="thin">
        <color rgb="FFEFAF7E"/>
      </bottom>
    </border>
    <border>
      <left style="thin">
        <color rgb="FFEFEFEF"/>
      </left>
      <right style="thin">
        <color rgb="FFF3F3F3"/>
      </right>
      <top style="thin">
        <color rgb="FFFFFFFF"/>
      </top>
    </border>
    <border>
      <right style="thin">
        <color rgb="FFEFEFEF"/>
      </right>
      <top style="thin">
        <color rgb="FF000000"/>
      </top>
      <bottom style="thin">
        <color rgb="FF000000"/>
      </bottom>
    </border>
    <border>
      <right style="thin">
        <color rgb="FFF3F3F3"/>
      </right>
      <top style="thin">
        <color rgb="FF000000"/>
      </top>
      <bottom style="thin">
        <color rgb="FF000000"/>
      </bottom>
    </border>
    <border>
      <left style="thick">
        <color rgb="FF000000"/>
      </left>
      <right style="thin">
        <color rgb="FF000000"/>
      </right>
      <top style="thin">
        <color rgb="FF434343"/>
      </top>
      <bottom style="thin">
        <color rgb="FFD4EF7E"/>
      </bottom>
    </border>
    <border>
      <left style="thin">
        <color rgb="FF000000"/>
      </left>
      <right style="thick">
        <color rgb="FF000000"/>
      </right>
      <top style="thin">
        <color rgb="FF434343"/>
      </top>
      <bottom style="thin">
        <color rgb="FFFFFFFF"/>
      </bottom>
    </border>
    <border>
      <right style="thin">
        <color rgb="FFEFEFEF"/>
      </right>
      <top style="thin">
        <color rgb="FFEFEFEF"/>
      </top>
      <bottom style="thin">
        <color rgb="FFEFEFEF"/>
      </bottom>
    </border>
    <border>
      <left style="thick">
        <color rgb="FF000000"/>
      </left>
      <right style="thin">
        <color rgb="FF000000"/>
      </right>
      <top style="thin">
        <color rgb="FFD4EF7E"/>
      </top>
      <bottom style="thin">
        <color rgb="FFD4EF7E"/>
      </bottom>
    </border>
    <border>
      <left style="thin">
        <color rgb="FFEFEFEF"/>
      </left>
      <bottom style="thin">
        <color rgb="FFEFEFEF"/>
      </bottom>
    </border>
    <border>
      <bottom style="thin">
        <color rgb="FFEFEFEF"/>
      </bottom>
    </border>
    <border>
      <right style="thin">
        <color rgb="FFEFEFEF"/>
      </right>
      <bottom style="thin">
        <color rgb="FFEFEFEF"/>
      </bottom>
    </border>
    <border>
      <right style="thin">
        <color rgb="FFEFEFEF"/>
      </right>
      <bottom style="thin">
        <color rgb="FF000000"/>
      </bottom>
    </border>
    <border>
      <left style="thin">
        <color rgb="FFEFEFEF"/>
      </left>
      <right style="thin">
        <color rgb="FFF3F3F3"/>
      </right>
      <bottom style="thin">
        <color rgb="FF000000"/>
      </bottom>
    </border>
    <border>
      <left style="thick">
        <color rgb="FF000000"/>
      </left>
      <right style="thin">
        <color rgb="FF000000"/>
      </right>
      <bottom style="thick">
        <color rgb="FF000000"/>
      </bottom>
    </border>
    <border>
      <right style="thin">
        <color rgb="FFFFFFFF"/>
      </right>
      <bottom style="thick">
        <color rgb="FF000000"/>
      </bottom>
    </border>
    <border>
      <left style="thin">
        <color rgb="FFFFFFFF"/>
      </left>
      <right style="thin">
        <color rgb="FFFFFFFF"/>
      </right>
      <bottom style="thick">
        <color rgb="FF000000"/>
      </bottom>
    </border>
    <border>
      <left style="thin">
        <color rgb="FF000000"/>
      </left>
      <right style="thick">
        <color rgb="FF000000"/>
      </right>
      <bottom style="thick">
        <color rgb="FF000000"/>
      </bottom>
    </border>
    <border>
      <left style="thick">
        <color rgb="FF000000"/>
      </left>
      <right style="thin">
        <color rgb="FF000000"/>
      </right>
      <top style="thin">
        <color rgb="FFD4EF7E"/>
      </top>
      <bottom style="thin">
        <color rgb="FF434343"/>
      </bottom>
    </border>
    <border>
      <left style="thin">
        <color rgb="FF000000"/>
      </left>
      <right style="thick">
        <color rgb="FF000000"/>
      </right>
      <top style="thin">
        <color rgb="FFFFFFFF"/>
      </top>
      <bottom style="thin">
        <color rgb="FF434343"/>
      </bottom>
    </border>
    <border>
      <left style="thin">
        <color rgb="FFEFEFEF"/>
      </left>
      <right style="thick">
        <color rgb="FFFFEE61"/>
      </right>
      <top style="thin">
        <color rgb="FFEFEFEF"/>
      </top>
      <bottom style="thin">
        <color rgb="FFEFEFEF"/>
      </bottom>
    </border>
    <border>
      <left style="thick">
        <color rgb="FF000000"/>
      </left>
      <right style="thin">
        <color rgb="FF000000"/>
      </right>
      <bottom style="thin">
        <color rgb="FFEFCA7E"/>
      </bottom>
    </border>
    <border>
      <left style="thick">
        <color rgb="FF000000"/>
      </left>
      <right style="thin">
        <color rgb="FF000000"/>
      </right>
      <top style="thin">
        <color rgb="FFEFCA7E"/>
      </top>
    </border>
    <border>
      <left style="thick">
        <color rgb="FF000000"/>
      </left>
      <right style="thin">
        <color rgb="FF000000"/>
      </right>
      <top style="thin">
        <color rgb="FF434343"/>
      </top>
      <bottom style="thin">
        <color rgb="FFEFAF7E"/>
      </bottom>
    </border>
    <border>
      <left style="thick">
        <color rgb="FF000000"/>
      </left>
      <right style="thin">
        <color rgb="FF000000"/>
      </right>
      <top style="thin">
        <color rgb="FFEFAF7E"/>
      </top>
      <bottom style="thin">
        <color rgb="FF434343"/>
      </bottom>
    </border>
    <border>
      <left style="thick">
        <color rgb="FF000000"/>
      </left>
      <right style="thin">
        <color rgb="FF000000"/>
      </right>
      <bottom style="thin">
        <color rgb="FFEF7E7E"/>
      </bottom>
    </border>
    <border>
      <left style="thick">
        <color rgb="FF000000"/>
      </left>
      <right style="thin">
        <color rgb="FF000000"/>
      </right>
      <top style="thin">
        <color rgb="FFEF7E7E"/>
      </top>
      <bottom style="thick">
        <color rgb="FF000000"/>
      </bottom>
    </border>
    <border>
      <right style="thin">
        <color rgb="FFEFEFEF"/>
      </right>
      <top style="thin">
        <color rgb="FFFFFFFF"/>
      </top>
      <bottom style="thick">
        <color rgb="FF000000"/>
      </bottom>
    </border>
    <border>
      <left style="thin">
        <color rgb="FFEFEFEF"/>
      </left>
      <right style="thin">
        <color rgb="FFF3F3F3"/>
      </right>
      <top style="thin">
        <color rgb="FFFFFFFF"/>
      </top>
      <bottom style="thick">
        <color rgb="FF000000"/>
      </bottom>
    </border>
    <border>
      <left style="thick">
        <color rgb="FFFFEE61"/>
      </left>
      <right style="thin">
        <color rgb="FFEFEFEF"/>
      </right>
      <top style="thin">
        <color rgb="FFEFEFEF"/>
      </top>
    </border>
    <border>
      <left style="thin">
        <color rgb="FFEFEFEF"/>
      </left>
      <right style="thick">
        <color rgb="FFFFEE61"/>
      </right>
    </border>
    <border>
      <left style="thin">
        <color rgb="FF3E3A3A"/>
      </left>
      <top style="thick">
        <color rgb="FFFFEE61"/>
      </top>
      <bottom style="thin">
        <color rgb="FF3E3A3A"/>
      </bottom>
    </border>
    <border>
      <left style="thick">
        <color rgb="FFFFEE61"/>
      </left>
      <right style="thin">
        <color rgb="FFEFEFEF"/>
      </right>
      <top style="thin">
        <color rgb="FFEFEFEF"/>
      </top>
      <bottom style="thick">
        <color rgb="FFFFEE61"/>
      </bottom>
    </border>
    <border>
      <left style="thin">
        <color rgb="FFEFEFEF"/>
      </left>
      <right style="thin">
        <color rgb="FFEFEFEF"/>
      </right>
      <bottom style="thick">
        <color rgb="FFFFEE61"/>
      </bottom>
    </border>
    <border>
      <left style="thin">
        <color rgb="FFEFEFEF"/>
      </left>
      <right style="thin">
        <color rgb="FFEFEFEF"/>
      </right>
      <top style="thin">
        <color rgb="FFEFEFEF"/>
      </top>
      <bottom style="thick">
        <color rgb="FFFFEE61"/>
      </bottom>
    </border>
    <border>
      <left style="thin">
        <color rgb="FFEFEFEF"/>
      </left>
      <right style="thick">
        <color rgb="FFFFEE61"/>
      </right>
      <top style="thin">
        <color rgb="FFEFEFEF"/>
      </top>
      <bottom style="thick">
        <color rgb="FFFFEE61"/>
      </bottom>
    </border>
    <border>
      <left style="thick">
        <color rgb="FFAB4D63"/>
      </left>
      <right style="thin">
        <color rgb="FFEFEFEF"/>
      </right>
      <top style="thick">
        <color rgb="FFAB4D63"/>
      </top>
      <bottom style="thin">
        <color rgb="FFEFEFEF"/>
      </bottom>
    </border>
    <border>
      <left style="thin">
        <color rgb="FFEFEFEF"/>
      </left>
      <right style="thin">
        <color rgb="FFEFEFEF"/>
      </right>
      <top style="thick">
        <color rgb="FFAB4D63"/>
      </top>
      <bottom style="thin">
        <color rgb="FFEFEFEF"/>
      </bottom>
    </border>
    <border>
      <left style="thin">
        <color rgb="FFEFEFEF"/>
      </left>
      <right style="thick">
        <color rgb="FFAB4D63"/>
      </right>
      <top style="thick">
        <color rgb="FFAB4D63"/>
      </top>
      <bottom style="thin">
        <color rgb="FFEFEFEF"/>
      </bottom>
    </border>
    <border>
      <left style="thick">
        <color rgb="FFAB4D63"/>
      </left>
      <right style="thin">
        <color rgb="FFEFEFEF"/>
      </right>
      <top style="thin">
        <color rgb="FFEFEFEF"/>
      </top>
      <bottom style="thin">
        <color rgb="FFEFEFEF"/>
      </bottom>
    </border>
    <border>
      <left style="thin">
        <color rgb="FFEFEFEF"/>
      </left>
      <top style="thin">
        <color rgb="FFEFEFEF"/>
      </top>
    </border>
    <border>
      <top style="thin">
        <color rgb="FFEFEFEF"/>
      </top>
    </border>
    <border>
      <right style="thin">
        <color rgb="FFEFEFEF"/>
      </right>
      <top style="thin">
        <color rgb="FFEFEFEF"/>
      </top>
    </border>
    <border>
      <left style="thin">
        <color rgb="FFEFEFEF"/>
      </left>
      <right style="thick">
        <color rgb="FFAB4D63"/>
      </right>
      <top style="thin">
        <color rgb="FFEFEFEF"/>
      </top>
      <bottom style="thin">
        <color rgb="FFEFEFEF"/>
      </bottom>
    </border>
    <border>
      <left style="thick">
        <color rgb="FFAB4D63"/>
      </left>
      <right style="thin">
        <color rgb="FFEFEFEF"/>
      </right>
      <top style="thin">
        <color rgb="FFEFEFEF"/>
      </top>
    </border>
    <border>
      <left style="thin">
        <color rgb="FFEFEFEF"/>
      </left>
      <right style="thick">
        <color rgb="FFAB4D63"/>
      </right>
      <top style="thin">
        <color rgb="FFEFEFEF"/>
      </top>
    </border>
    <border>
      <left style="thick">
        <color rgb="FFAB4D6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top style="thin">
        <color rgb="FF434343"/>
      </top>
      <bottom style="thin">
        <color rgb="FF434343"/>
      </bottom>
    </border>
    <border>
      <left style="thin">
        <color rgb="FF434343"/>
      </left>
      <right style="thick">
        <color rgb="FFAB4D63"/>
      </right>
      <top style="thin">
        <color rgb="FF434343"/>
      </top>
    </border>
    <border>
      <left style="thick">
        <color rgb="FFAB4D63"/>
      </left>
      <top style="thin">
        <color rgb="FF434343"/>
      </top>
      <bottom style="thin">
        <color rgb="FF434343"/>
      </bottom>
    </border>
    <border>
      <left style="medium">
        <color rgb="FF434343"/>
      </left>
      <right style="medium">
        <color rgb="FF434343"/>
      </right>
      <bottom style="medium">
        <color rgb="FF434343"/>
      </bottom>
    </border>
    <border>
      <bottom style="medium">
        <color rgb="FF434343"/>
      </bottom>
    </border>
    <border>
      <left style="thin">
        <color rgb="FFCBF6BB"/>
      </left>
      <top style="thin">
        <color rgb="FF434343"/>
      </top>
      <bottom style="medium">
        <color rgb="FF434343"/>
      </bottom>
    </border>
    <border>
      <right style="thin">
        <color rgb="FF434343"/>
      </right>
      <top style="thin">
        <color rgb="FF434343"/>
      </top>
      <bottom style="medium">
        <color rgb="FF434343"/>
      </bottom>
    </border>
    <border>
      <left style="thin">
        <color rgb="FF434343"/>
      </left>
      <top style="thin">
        <color rgb="FF434343"/>
      </top>
      <bottom style="thin">
        <color rgb="FF434343"/>
      </bottom>
    </border>
    <border>
      <right style="thin">
        <color rgb="FFACB4FF"/>
      </right>
      <bottom style="medium">
        <color rgb="FF434343"/>
      </bottom>
    </border>
    <border>
      <top style="thin">
        <color rgb="FF434343"/>
      </top>
      <bottom style="medium">
        <color rgb="FF434343"/>
      </bottom>
    </border>
    <border>
      <left style="thin">
        <color rgb="FFFFB3B3"/>
      </left>
      <top style="thin">
        <color rgb="FF434343"/>
      </top>
      <bottom style="medium">
        <color rgb="FF434343"/>
      </bottom>
    </border>
    <border>
      <left style="thin">
        <color rgb="FFFAF1B7"/>
      </left>
      <top style="thin">
        <color rgb="FF434343"/>
      </top>
      <bottom style="medium">
        <color rgb="FF434343"/>
      </bottom>
    </border>
    <border>
      <top style="medium">
        <color rgb="FF434343"/>
      </top>
      <bottom style="medium">
        <color rgb="FF434343"/>
      </bottom>
    </border>
    <border>
      <right style="thin">
        <color rgb="FFACE6D5"/>
      </right>
      <top style="medium">
        <color rgb="FF434343"/>
      </top>
      <bottom style="medium">
        <color rgb="FF434343"/>
      </bottom>
    </border>
    <border>
      <right style="thin">
        <color rgb="FFEEB49C"/>
      </right>
      <top style="medium">
        <color rgb="FF434343"/>
      </top>
      <bottom style="medium">
        <color rgb="FF434343"/>
      </bottom>
    </border>
    <border>
      <right style="thick">
        <color rgb="FFAB4D63"/>
      </right>
      <top style="thin">
        <color rgb="FF434343"/>
      </top>
      <bottom style="medium">
        <color rgb="FF434343"/>
      </bottom>
    </border>
    <border>
      <right style="medium">
        <color rgb="FF434343"/>
      </right>
      <top style="medium">
        <color rgb="FF434343"/>
      </top>
      <bottom style="medium">
        <color rgb="FF434343"/>
      </bottom>
    </border>
    <border>
      <left style="thin">
        <color rgb="FFCBF6BB"/>
      </left>
      <top style="medium">
        <color rgb="FF434343"/>
      </top>
      <bottom style="medium">
        <color rgb="FF434343"/>
      </bottom>
    </border>
    <border>
      <left style="thin">
        <color rgb="FF434343"/>
      </left>
      <right style="thin">
        <color rgb="FF434343"/>
      </right>
      <top style="medium">
        <color rgb="FF434343"/>
      </top>
      <bottom style="thin">
        <color rgb="FF434343"/>
      </bottom>
    </border>
    <border>
      <right style="thin">
        <color rgb="FFACB4FF"/>
      </right>
      <top style="medium">
        <color rgb="FF434343"/>
      </top>
      <bottom style="medium">
        <color rgb="FF434343"/>
      </bottom>
    </border>
    <border>
      <left style="thin">
        <color rgb="FFFFB3B3"/>
      </left>
      <top style="medium">
        <color rgb="FF434343"/>
      </top>
      <bottom style="medium">
        <color rgb="FF434343"/>
      </bottom>
    </border>
    <border>
      <left style="thin">
        <color rgb="FFFAF1B7"/>
      </left>
      <bottom style="medium">
        <color rgb="FF434343"/>
      </bottom>
    </border>
    <border>
      <right style="thin">
        <color rgb="FF434343"/>
      </right>
      <bottom style="medium">
        <color rgb="FF434343"/>
      </bottom>
    </border>
    <border>
      <left style="thin">
        <color rgb="FF434343"/>
      </left>
      <right style="medium">
        <color rgb="FF434343"/>
      </right>
      <bottom style="medium">
        <color rgb="FF434343"/>
      </bottom>
    </border>
    <border>
      <right style="thin">
        <color rgb="FFACE6D5"/>
      </right>
      <bottom style="medium">
        <color rgb="FF434343"/>
      </bottom>
    </border>
    <border>
      <right style="thin">
        <color rgb="FFEEB49C"/>
      </right>
      <bottom style="medium">
        <color rgb="FF434343"/>
      </bottom>
    </border>
    <border>
      <right style="thick">
        <color rgb="FFAB4D63"/>
      </right>
      <bottom style="medium">
        <color rgb="FF434343"/>
      </bottom>
    </border>
    <border>
      <left style="thin">
        <color rgb="FF434343"/>
      </left>
      <right style="thin">
        <color rgb="FF434343"/>
      </right>
      <bottom style="thin">
        <color rgb="FF434343"/>
      </bottom>
    </border>
    <border>
      <left style="thick">
        <color rgb="FFAB4D63"/>
      </left>
      <right style="thin">
        <color rgb="FF434343"/>
      </right>
      <bottom style="thick">
        <color rgb="FFAB4D63"/>
      </bottom>
    </border>
    <border>
      <left style="thin">
        <color rgb="FF434343"/>
      </left>
      <right style="thin">
        <color rgb="FF434343"/>
      </right>
      <bottom style="thick">
        <color rgb="FFAB4D63"/>
      </bottom>
    </border>
    <border>
      <left style="thin">
        <color rgb="FF434343"/>
      </left>
      <right style="thick">
        <color rgb="FFAB4D63"/>
      </right>
      <bottom style="thick">
        <color rgb="FFAB4D63"/>
      </bottom>
    </border>
    <border>
      <left style="thick">
        <color rgb="FFAF36FF"/>
      </left>
      <right style="thin">
        <color rgb="FFEFEFEF"/>
      </right>
      <top style="thick">
        <color rgb="FFAF36FF"/>
      </top>
      <bottom style="thin">
        <color rgb="FFEFEFEF"/>
      </bottom>
    </border>
    <border>
      <left style="thin">
        <color rgb="FFEFEFEF"/>
      </left>
      <right style="thin">
        <color rgb="FFEFEFEF"/>
      </right>
      <top style="thick">
        <color rgb="FFAF36FF"/>
      </top>
    </border>
    <border>
      <left style="thin">
        <color rgb="FFEFEFEF"/>
      </left>
      <right style="thin">
        <color rgb="FFEFEFEF"/>
      </right>
      <top style="thick">
        <color rgb="FFAF36FF"/>
      </top>
      <bottom style="thin">
        <color rgb="FFEFEFEF"/>
      </bottom>
    </border>
    <border>
      <left style="thin">
        <color rgb="FFEFEFEF"/>
      </left>
      <right style="thick">
        <color rgb="FFAF36FF"/>
      </right>
      <top style="thick">
        <color rgb="FFAF36FF"/>
      </top>
      <bottom style="thin">
        <color rgb="FFEFEFEF"/>
      </bottom>
    </border>
    <border>
      <left style="thick">
        <color rgb="FFAF36FF"/>
      </left>
      <top style="thin">
        <color rgb="FFEFEFEF"/>
      </top>
      <bottom style="thin">
        <color rgb="FFEFEFEF"/>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ck">
        <color rgb="FFAF36FF"/>
      </right>
      <top style="thin">
        <color rgb="FFEFEFEF"/>
      </top>
      <bottom style="thin">
        <color rgb="FFEFEFEF"/>
      </bottom>
    </border>
    <border>
      <left style="thick">
        <color rgb="FFAF36FF"/>
      </left>
      <right style="thin">
        <color rgb="FFEFEFEF"/>
      </right>
      <top style="thin">
        <color rgb="FFEFEFEF"/>
      </top>
      <bottom style="thin">
        <color rgb="FFEFEFEF"/>
      </bottom>
    </border>
    <border>
      <left style="thin">
        <color rgb="FFEFEFEF"/>
      </left>
      <right style="thick">
        <color rgb="FFAF36FF"/>
      </right>
      <top style="thin">
        <color rgb="FFEFEFEF"/>
      </top>
      <bottom style="thin">
        <color rgb="FFEFEFEF"/>
      </bottom>
    </border>
    <border>
      <left style="thick">
        <color rgb="FF000000"/>
      </left>
      <right style="thin">
        <color rgb="FFF4CCCC"/>
      </right>
      <top style="thick">
        <color rgb="FF000000"/>
      </top>
      <bottom style="thin">
        <color rgb="FF000000"/>
      </bottom>
    </border>
    <border>
      <left style="thin">
        <color rgb="FFF4CCCC"/>
      </left>
      <right style="thick">
        <color rgb="FF000000"/>
      </right>
      <top style="thick">
        <color rgb="FF000000"/>
      </top>
      <bottom style="thin">
        <color rgb="FF000000"/>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EA9999"/>
      </right>
      <top style="thin">
        <color rgb="FF000000"/>
      </top>
      <bottom style="thin">
        <color rgb="FF000000"/>
      </bottom>
    </border>
    <border>
      <left style="thin">
        <color rgb="FFEA9999"/>
      </left>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F4CCCC"/>
      </right>
      <top style="thin">
        <color rgb="FF000000"/>
      </top>
      <bottom style="thin">
        <color rgb="FF000000"/>
      </bottom>
    </border>
    <border>
      <left style="thin">
        <color rgb="FFF4CCCC"/>
      </left>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FCE5CD"/>
      </right>
      <top style="thin">
        <color rgb="FFFFFFFF"/>
      </top>
      <bottom style="thin">
        <color rgb="FF000000"/>
      </bottom>
    </border>
    <border>
      <left style="thin">
        <color rgb="FFFCE5CD"/>
      </left>
      <right style="thick">
        <color rgb="FF000000"/>
      </right>
      <top style="thin">
        <color rgb="FFFFFFFF"/>
      </top>
      <bottom style="thin">
        <color rgb="FF000000"/>
      </bottom>
    </border>
    <border>
      <left style="thick">
        <color rgb="FF000000"/>
      </left>
      <bottom style="thin">
        <color rgb="FF000000"/>
      </bottom>
    </border>
    <border>
      <right style="thick">
        <color rgb="FF000000"/>
      </right>
      <bottom style="thin">
        <color rgb="FF000000"/>
      </bottom>
    </border>
    <border>
      <left style="thick">
        <color rgb="FF000000"/>
      </left>
      <right style="thin">
        <color rgb="FFF9CB9C"/>
      </right>
      <top style="thin">
        <color rgb="FF000000"/>
      </top>
      <bottom style="thin">
        <color rgb="FF000000"/>
      </bottom>
    </border>
    <border>
      <left style="thin">
        <color rgb="FFF9CB9C"/>
      </left>
      <right style="thick">
        <color rgb="FF000000"/>
      </right>
      <top style="thin">
        <color rgb="FF000000"/>
      </top>
      <bottom style="thin">
        <color rgb="FF000000"/>
      </bottom>
    </border>
    <border>
      <left style="thick">
        <color rgb="FF000000"/>
      </left>
      <right style="thin">
        <color rgb="FFFCE5CD"/>
      </right>
      <top style="thin">
        <color rgb="FF000000"/>
      </top>
      <bottom style="thin">
        <color rgb="FF000000"/>
      </bottom>
    </border>
    <border>
      <left style="thin">
        <color rgb="FFFCE5CD"/>
      </left>
      <right style="thick">
        <color rgb="FF000000"/>
      </right>
      <top style="thin">
        <color rgb="FF000000"/>
      </top>
      <bottom style="thin">
        <color rgb="FF000000"/>
      </bottom>
    </border>
    <border>
      <left style="thick">
        <color rgb="FF000000"/>
      </left>
      <top style="thin">
        <color rgb="FFFFFFFF"/>
      </top>
      <bottom style="thin">
        <color rgb="FF000000"/>
      </bottom>
    </border>
    <border>
      <right style="thick">
        <color rgb="FF000000"/>
      </right>
      <top style="thin">
        <color rgb="FFFFFFFF"/>
      </top>
      <bottom style="thin">
        <color rgb="FF000000"/>
      </bottom>
    </border>
    <border>
      <left style="thick">
        <color rgb="FF000000"/>
      </left>
      <top style="thin">
        <color rgb="FF000000"/>
      </top>
    </border>
    <border>
      <right style="thick">
        <color rgb="FF000000"/>
      </right>
      <top style="thin">
        <color rgb="FF000000"/>
      </top>
    </border>
    <border>
      <left style="thick">
        <color rgb="FF000000"/>
      </left>
      <right style="thin">
        <color rgb="FFFFF2CC"/>
      </right>
      <top style="thin">
        <color rgb="FF000000"/>
      </top>
      <bottom style="thin">
        <color rgb="FF000000"/>
      </bottom>
    </border>
    <border>
      <left style="thin">
        <color rgb="FFFFF2CC"/>
      </left>
      <right style="thick">
        <color rgb="FF000000"/>
      </right>
      <top style="thin">
        <color rgb="FF000000"/>
      </top>
      <bottom style="thin">
        <color rgb="FF000000"/>
      </bottom>
    </border>
    <border>
      <left style="thick">
        <color rgb="FF000000"/>
      </left>
      <right style="thin">
        <color rgb="FFFFE599"/>
      </right>
      <top style="thin">
        <color rgb="FF000000"/>
      </top>
      <bottom style="thin">
        <color rgb="FF000000"/>
      </bottom>
    </border>
    <border>
      <left style="thin">
        <color rgb="FFFFE599"/>
      </left>
      <right style="thick">
        <color rgb="FF000000"/>
      </right>
      <top style="thin">
        <color rgb="FF000000"/>
      </top>
      <bottom style="thin">
        <color rgb="FF000000"/>
      </bottom>
    </border>
    <border>
      <left style="thick">
        <color rgb="FF000000"/>
      </left>
      <right style="thin">
        <color rgb="FFFFF2CC"/>
      </right>
      <top style="thin">
        <color rgb="FF000000"/>
      </top>
      <bottom style="thin">
        <color rgb="FFFFF2CC"/>
      </bottom>
    </border>
    <border>
      <left style="thin">
        <color rgb="FFFFF2CC"/>
      </left>
      <right style="thick">
        <color rgb="FF000000"/>
      </right>
      <top style="thin">
        <color rgb="FF000000"/>
      </top>
      <bottom style="thin">
        <color rgb="FFFFF2CC"/>
      </bottom>
    </border>
    <border>
      <left style="thick">
        <color rgb="FF000000"/>
      </left>
      <right style="thin">
        <color rgb="FFFFF2CC"/>
      </right>
      <top style="thin">
        <color rgb="FFFFF2CC"/>
      </top>
      <bottom style="thin">
        <color rgb="FFFFF2CC"/>
      </bottom>
    </border>
    <border>
      <left style="thin">
        <color rgb="FFFFF2CC"/>
      </left>
      <right style="thick">
        <color rgb="FF000000"/>
      </right>
      <top style="thin">
        <color rgb="FFFFF2CC"/>
      </top>
      <bottom style="thin">
        <color rgb="FFFFF2CC"/>
      </bottom>
    </border>
    <border>
      <left style="thick">
        <color rgb="FF000000"/>
      </left>
    </border>
    <border>
      <right style="thick">
        <color rgb="FF000000"/>
      </right>
    </border>
    <border>
      <left style="thick">
        <color rgb="FF000000"/>
      </left>
      <right style="thin">
        <color rgb="FFFFF2CC"/>
      </right>
      <top style="thin">
        <color rgb="FFFFF2CC"/>
      </top>
      <bottom style="thin">
        <color rgb="FF000000"/>
      </bottom>
    </border>
    <border>
      <left style="thin">
        <color rgb="FFFFF2CC"/>
      </left>
      <right style="thick">
        <color rgb="FF000000"/>
      </right>
      <top style="thin">
        <color rgb="FFFFF2CC"/>
      </top>
      <bottom style="thin">
        <color rgb="FF000000"/>
      </bottom>
    </border>
    <border>
      <left style="thick">
        <color rgb="FF000000"/>
      </left>
      <right style="thin">
        <color rgb="FFD9EAD3"/>
      </right>
      <bottom style="thin">
        <color rgb="FFD9EAD3"/>
      </bottom>
    </border>
    <border>
      <left style="thin">
        <color rgb="FFD9EAD3"/>
      </left>
      <right style="thick">
        <color rgb="FF000000"/>
      </right>
      <bottom style="thin">
        <color rgb="FFD9EAD3"/>
      </bottom>
    </border>
    <border>
      <left style="thick">
        <color rgb="FF000000"/>
      </left>
      <right style="thin">
        <color rgb="FFD9EAD3"/>
      </right>
      <top style="thin">
        <color rgb="FFD9EAD3"/>
      </top>
      <bottom style="thin">
        <color rgb="FFD9EAD3"/>
      </bottom>
    </border>
    <border>
      <left style="thin">
        <color rgb="FFD9EAD3"/>
      </left>
      <right style="thick">
        <color rgb="FF000000"/>
      </right>
      <top style="thin">
        <color rgb="FFD9EAD3"/>
      </top>
      <bottom style="thin">
        <color rgb="FFD9EAD3"/>
      </bottom>
    </border>
    <border>
      <left style="thick">
        <color rgb="FF000000"/>
      </left>
      <right style="thin">
        <color rgb="FFD9EAD3"/>
      </right>
      <top style="thin">
        <color rgb="FFD9EAD3"/>
      </top>
      <bottom style="thin">
        <color rgb="FF000000"/>
      </bottom>
    </border>
    <border>
      <left style="thin">
        <color rgb="FFD9EAD3"/>
      </left>
      <right style="thick">
        <color rgb="FF000000"/>
      </right>
      <top style="thin">
        <color rgb="FFD9EAD3"/>
      </top>
      <bottom style="thin">
        <color rgb="FF000000"/>
      </bottom>
    </border>
    <border>
      <left style="thick">
        <color rgb="FF000000"/>
      </left>
      <right style="thin">
        <color rgb="FFB6D7A8"/>
      </right>
      <top style="thin">
        <color rgb="FF000000"/>
      </top>
      <bottom style="thin">
        <color rgb="FF000000"/>
      </bottom>
    </border>
    <border>
      <left style="thin">
        <color rgb="FFB6D7A8"/>
      </left>
      <right style="thick">
        <color rgb="FF000000"/>
      </right>
      <top style="thin">
        <color rgb="FF000000"/>
      </top>
      <bottom style="thin">
        <color rgb="FF000000"/>
      </bottom>
    </border>
    <border>
      <left style="thick">
        <color rgb="FF000000"/>
      </left>
      <right style="thin">
        <color rgb="FFD9EAD3"/>
      </right>
      <top style="thin">
        <color rgb="FF000000"/>
      </top>
      <bottom style="thin">
        <color rgb="FF000000"/>
      </bottom>
    </border>
    <border>
      <left style="thin">
        <color rgb="FFD9EAD3"/>
      </left>
      <right style="thick">
        <color rgb="FF000000"/>
      </right>
      <top style="thin">
        <color rgb="FF000000"/>
      </top>
      <bottom style="thin">
        <color rgb="FF000000"/>
      </bottom>
    </border>
    <border>
      <left style="thick">
        <color rgb="FF000000"/>
      </left>
      <right style="thin">
        <color rgb="FFD0E0E3"/>
      </right>
      <bottom style="thin">
        <color rgb="FF000000"/>
      </bottom>
    </border>
    <border>
      <left style="thin">
        <color rgb="FFD0E0E3"/>
      </left>
      <right style="thick">
        <color rgb="FF000000"/>
      </right>
      <bottom style="thin">
        <color rgb="FF000000"/>
      </bottom>
    </border>
    <border>
      <left style="thick">
        <color rgb="FF000000"/>
      </left>
      <right style="thin">
        <color rgb="FFA2C4C9"/>
      </right>
      <top style="thin">
        <color rgb="FF000000"/>
      </top>
      <bottom style="thin">
        <color rgb="FF000000"/>
      </bottom>
    </border>
    <border>
      <left style="thin">
        <color rgb="FFA2C4C9"/>
      </left>
      <right style="thick">
        <color rgb="FF000000"/>
      </right>
      <top style="thin">
        <color rgb="FF000000"/>
      </top>
      <bottom style="thin">
        <color rgb="FF000000"/>
      </bottom>
    </border>
    <border>
      <left style="thick">
        <color rgb="FF000000"/>
      </left>
      <right style="thin">
        <color rgb="FFD0E0E3"/>
      </right>
      <top style="thin">
        <color rgb="FF000000"/>
      </top>
      <bottom style="thin">
        <color rgb="FF000000"/>
      </bottom>
    </border>
    <border>
      <left style="thin">
        <color rgb="FFD0E0E3"/>
      </left>
      <right style="thick">
        <color rgb="FF000000"/>
      </right>
      <top style="thin">
        <color rgb="FF000000"/>
      </top>
      <bottom style="thin">
        <color rgb="FF000000"/>
      </bottom>
    </border>
    <border>
      <left style="thick">
        <color rgb="FF000000"/>
      </left>
      <right style="thin">
        <color rgb="FFA2C4C9"/>
      </right>
      <top style="thin">
        <color rgb="FF000000"/>
      </top>
      <bottom style="thin">
        <color rgb="FFA2C4C9"/>
      </bottom>
    </border>
    <border>
      <left style="thin">
        <color rgb="FFA2C4C9"/>
      </left>
      <right style="thick">
        <color rgb="FF000000"/>
      </right>
      <top style="thin">
        <color rgb="FF000000"/>
      </top>
      <bottom style="thin">
        <color rgb="FFA2C4C9"/>
      </bottom>
    </border>
    <border>
      <left style="thick">
        <color rgb="FF000000"/>
      </left>
      <right style="thin">
        <color rgb="FFA2C4C9"/>
      </right>
      <top style="thin">
        <color rgb="FFA2C4C9"/>
      </top>
      <bottom style="thin">
        <color rgb="FF000000"/>
      </bottom>
    </border>
    <border>
      <left style="thin">
        <color rgb="FFA2C4C9"/>
      </left>
      <right style="thick">
        <color rgb="FF000000"/>
      </right>
      <top style="thin">
        <color rgb="FFA2C4C9"/>
      </top>
      <bottom style="thin">
        <color rgb="FF000000"/>
      </bottom>
    </border>
    <border>
      <left style="thick">
        <color rgb="FF000000"/>
      </left>
      <right style="thin">
        <color rgb="FFC9DAF8"/>
      </right>
      <top style="thin">
        <color rgb="FF000000"/>
      </top>
      <bottom style="thin">
        <color rgb="FF000000"/>
      </bottom>
    </border>
    <border>
      <left style="thin">
        <color rgb="FFC9DAF8"/>
      </left>
      <right style="thick">
        <color rgb="FF000000"/>
      </right>
      <top style="thin">
        <color rgb="FF000000"/>
      </top>
      <bottom style="thin">
        <color rgb="FF000000"/>
      </bottom>
    </border>
    <border>
      <left style="thick">
        <color rgb="FF000000"/>
      </left>
      <right style="thin">
        <color rgb="FFA4C2F4"/>
      </right>
      <top style="thin">
        <color rgb="FF000000"/>
      </top>
      <bottom style="thin">
        <color rgb="FF000000"/>
      </bottom>
    </border>
    <border>
      <left style="thin">
        <color rgb="FFA4C2F4"/>
      </left>
      <right style="thick">
        <color rgb="FF000000"/>
      </right>
      <top style="thin">
        <color rgb="FF000000"/>
      </top>
      <bottom style="thin">
        <color rgb="FF000000"/>
      </bottom>
    </border>
    <border>
      <left style="thick">
        <color rgb="FF000000"/>
      </left>
      <right style="thin">
        <color rgb="FFCFE2F3"/>
      </right>
      <top style="thin">
        <color rgb="FF000000"/>
      </top>
      <bottom style="thin">
        <color rgb="FF000000"/>
      </bottom>
    </border>
    <border>
      <left style="thin">
        <color rgb="FFCFE2F3"/>
      </left>
      <right style="thick">
        <color rgb="FF000000"/>
      </right>
      <top style="thin">
        <color rgb="FF000000"/>
      </top>
      <bottom style="thin">
        <color rgb="FF000000"/>
      </bottom>
    </border>
    <border>
      <left style="thick">
        <color rgb="FF000000"/>
      </left>
      <right style="thin">
        <color rgb="FF9FC5E8"/>
      </right>
      <top style="thin">
        <color rgb="FF000000"/>
      </top>
      <bottom style="thin">
        <color rgb="FF000000"/>
      </bottom>
    </border>
    <border>
      <left style="thin">
        <color rgb="FF9FC5E8"/>
      </left>
      <right style="thick">
        <color rgb="FF000000"/>
      </right>
      <top style="thin">
        <color rgb="FF000000"/>
      </top>
      <bottom style="thin">
        <color rgb="FF000000"/>
      </bottom>
    </border>
    <border>
      <left style="thick">
        <color rgb="FF000000"/>
      </left>
      <right style="thin">
        <color rgb="FFD9D2E9"/>
      </right>
      <top style="thin">
        <color rgb="FF000000"/>
      </top>
      <bottom style="thin">
        <color rgb="FF000000"/>
      </bottom>
    </border>
    <border>
      <left style="thin">
        <color rgb="FFD9D2E9"/>
      </left>
      <right style="thick">
        <color rgb="FF000000"/>
      </right>
      <top style="thin">
        <color rgb="FF000000"/>
      </top>
      <bottom style="thin">
        <color rgb="FF000000"/>
      </bottom>
    </border>
    <border>
      <left style="thick">
        <color rgb="FF000000"/>
      </left>
      <right style="thin">
        <color rgb="FFB4A7D6"/>
      </right>
      <top style="thin">
        <color rgb="FF000000"/>
      </top>
      <bottom style="thin">
        <color rgb="FF000000"/>
      </bottom>
    </border>
    <border>
      <left style="thin">
        <color rgb="FFB4A7D6"/>
      </left>
      <right style="thick">
        <color rgb="FF000000"/>
      </right>
      <top style="thin">
        <color rgb="FF000000"/>
      </top>
      <bottom style="thin">
        <color rgb="FF000000"/>
      </bottom>
    </border>
    <border>
      <left style="thick">
        <color rgb="FF000000"/>
      </left>
      <right style="thin">
        <color rgb="FFEAD1DC"/>
      </right>
      <top style="thin">
        <color rgb="FF000000"/>
      </top>
      <bottom style="thin">
        <color rgb="FF000000"/>
      </bottom>
    </border>
    <border>
      <left style="thin">
        <color rgb="FFEAD1DC"/>
      </left>
      <right style="thick">
        <color rgb="FF000000"/>
      </right>
      <top style="thin">
        <color rgb="FF000000"/>
      </top>
      <bottom style="thin">
        <color rgb="FF000000"/>
      </bottom>
    </border>
    <border>
      <left style="thick">
        <color rgb="FF000000"/>
      </left>
      <right style="thin">
        <color rgb="FFD5A6BD"/>
      </right>
      <top style="thin">
        <color rgb="FF000000"/>
      </top>
      <bottom style="thin">
        <color rgb="FF000000"/>
      </bottom>
    </border>
    <border>
      <left style="thin">
        <color rgb="FFD5A6BD"/>
      </left>
      <right style="thick">
        <color rgb="FF000000"/>
      </right>
      <top style="thin">
        <color rgb="FF000000"/>
      </top>
      <bottom style="thin">
        <color rgb="FF000000"/>
      </bottom>
    </border>
    <border>
      <left style="thick">
        <color rgb="FF000000"/>
      </left>
      <right style="thin">
        <color rgb="FFEAD1DC"/>
      </right>
      <top style="thin">
        <color rgb="FF000000"/>
      </top>
      <bottom style="thick">
        <color rgb="FF000000"/>
      </bottom>
    </border>
    <border>
      <left style="thin">
        <color rgb="FFEAD1DC"/>
      </left>
      <right style="thick">
        <color rgb="FF000000"/>
      </right>
      <top style="thin">
        <color rgb="FF000000"/>
      </top>
      <bottom style="thick">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ck">
        <color rgb="FFAF36FF"/>
      </left>
      <right style="thin">
        <color rgb="FFEFEFEF"/>
      </right>
      <top style="thin">
        <color rgb="FFEFEFEF"/>
      </top>
      <bottom style="thick">
        <color rgb="FFAF36FF"/>
      </bottom>
    </border>
    <border>
      <left style="thin">
        <color rgb="FFEFEFEF"/>
      </left>
      <bottom style="thick">
        <color rgb="FFAF36FF"/>
      </bottom>
    </border>
    <border>
      <right style="thin">
        <color rgb="FFEFEFEF"/>
      </right>
      <bottom style="thick">
        <color rgb="FFAF36FF"/>
      </bottom>
    </border>
    <border>
      <left style="thin">
        <color rgb="FFEFEFEF"/>
      </left>
      <right style="thin">
        <color rgb="FFEFEFEF"/>
      </right>
      <top style="thin">
        <color rgb="FFEFEFEF"/>
      </top>
      <bottom style="thick">
        <color rgb="FFAF36FF"/>
      </bottom>
    </border>
    <border>
      <left style="thin">
        <color rgb="FFEFEFEF"/>
      </left>
      <right style="thick">
        <color rgb="FFAF36FF"/>
      </right>
      <top style="thin">
        <color rgb="FFEFEFEF"/>
      </top>
      <bottom style="thick">
        <color rgb="FFAF36FF"/>
      </bottom>
    </border>
    <border>
      <left style="thin">
        <color rgb="FF3E3A3A"/>
      </left>
      <top style="thin">
        <color rgb="FF3E3A3A"/>
      </top>
    </border>
    <border>
      <top style="thin">
        <color rgb="FF3E3A3A"/>
      </top>
    </border>
    <border>
      <right style="thin">
        <color rgb="FF3E3A3A"/>
      </right>
      <top style="thin">
        <color rgb="FF3E3A3A"/>
      </top>
    </border>
    <border>
      <left style="thin">
        <color rgb="FF3E3A3A"/>
      </left>
    </border>
    <border>
      <left style="thick">
        <color rgb="FFBF1F73"/>
      </left>
      <right style="thin">
        <color rgb="FFEFEFEF"/>
      </right>
      <top style="thick">
        <color rgb="FFBF1F73"/>
      </top>
      <bottom style="thin">
        <color rgb="FFEFEFEF"/>
      </bottom>
    </border>
    <border>
      <left style="thin">
        <color rgb="FFEFEFEF"/>
      </left>
      <right style="thin">
        <color rgb="FFEFEFEF"/>
      </right>
      <top style="thick">
        <color rgb="FFBF1F73"/>
      </top>
    </border>
    <border>
      <left style="thin">
        <color rgb="FFEFEFEF"/>
      </left>
      <right style="thick">
        <color rgb="FFBF1F73"/>
      </right>
      <top style="thick">
        <color rgb="FFBF1F73"/>
      </top>
      <bottom style="thin">
        <color rgb="FFEFEFEF"/>
      </bottom>
    </border>
    <border>
      <right style="thin">
        <color rgb="FF3E3A3A"/>
      </right>
    </border>
    <border>
      <left style="thick">
        <color rgb="FFBF1F73"/>
      </left>
      <top style="thin">
        <color rgb="FFEFEFEF"/>
      </top>
      <bottom style="thin">
        <color rgb="FFEFEFEF"/>
      </bottom>
    </border>
    <border>
      <top style="thick">
        <color rgb="FF000000"/>
      </top>
      <bottom style="thick">
        <color rgb="FF000000"/>
      </bottom>
    </border>
    <border>
      <right style="thick">
        <color rgb="FFBF1F73"/>
      </right>
      <top style="thin">
        <color rgb="FFEFEFEF"/>
      </top>
      <bottom style="thin">
        <color rgb="FFEFEFEF"/>
      </bottom>
    </border>
    <border>
      <left style="thick">
        <color rgb="FFBF1F73"/>
      </left>
      <right style="thin">
        <color rgb="FFEFEFEF"/>
      </right>
      <top style="thin">
        <color rgb="FFEFEFEF"/>
      </top>
      <bottom style="thin">
        <color rgb="FFEFEFEF"/>
      </bottom>
    </border>
    <border>
      <left style="thin">
        <color rgb="FFEFEFEF"/>
      </left>
      <right style="thick">
        <color rgb="FFBF1F73"/>
      </right>
      <top style="thin">
        <color rgb="FFEFEFEF"/>
      </top>
      <bottom style="thin">
        <color rgb="FFEFEFEF"/>
      </bottom>
    </border>
    <border>
      <left style="thick">
        <color rgb="FFBF1F73"/>
      </left>
      <top style="thin">
        <color rgb="FFEFEFEF"/>
      </top>
    </border>
    <border>
      <left style="thin">
        <color rgb="FFEFEFEF"/>
      </left>
      <right style="thick">
        <color rgb="FFBF1F73"/>
      </right>
      <top style="thin">
        <color rgb="FFEFEFEF"/>
      </top>
    </border>
    <border>
      <left style="thin">
        <color rgb="FFEFEFEF"/>
      </left>
    </border>
    <border>
      <right style="thick">
        <color rgb="FFBF1F73"/>
      </right>
      <top style="thin">
        <color rgb="FFEFEFEF"/>
      </top>
    </border>
    <border>
      <left style="thick">
        <color rgb="FF000000"/>
      </left>
      <top style="thick">
        <color rgb="FF000000"/>
      </top>
      <bottom style="thin">
        <color rgb="FFEFEFEF"/>
      </bottom>
    </border>
    <border>
      <right style="thin">
        <color rgb="FFEFEFEF"/>
      </right>
      <top style="thick">
        <color rgb="FF000000"/>
      </top>
      <bottom style="thin">
        <color rgb="FFEFEFEF"/>
      </bottom>
    </border>
    <border>
      <top style="thin">
        <color rgb="FFFFFFFF"/>
      </top>
      <bottom style="thin">
        <color rgb="FFFFFFFF"/>
      </bottom>
    </border>
    <border>
      <left style="thin">
        <color rgb="FFFFFFFF"/>
      </left>
      <top style="thin">
        <color rgb="FFFFFFFF"/>
      </top>
      <bottom style="thin">
        <color rgb="FFFFFFFF"/>
      </bottom>
    </border>
    <border>
      <left style="thick">
        <color rgb="FF000000"/>
      </left>
      <top style="thin">
        <color rgb="FFEFEFEF"/>
      </top>
      <bottom style="medium">
        <color rgb="FF000000"/>
      </bottom>
    </border>
    <border>
      <top style="thin">
        <color rgb="FFEFEFEF"/>
      </top>
      <bottom style="medium">
        <color rgb="FF000000"/>
      </bottom>
    </border>
    <border>
      <right style="thin">
        <color rgb="FFEFEFEF"/>
      </right>
      <top style="thin">
        <color rgb="FFEFEFEF"/>
      </top>
      <bottom style="medium">
        <color rgb="FF000000"/>
      </bottom>
    </border>
    <border>
      <left style="thin">
        <color rgb="FFEFEFEF"/>
      </left>
      <right style="thick">
        <color rgb="FF000000"/>
      </right>
      <top style="thin">
        <color rgb="FFEFEFEF"/>
      </top>
      <bottom style="medium">
        <color rgb="FF000000"/>
      </bottom>
    </border>
    <border>
      <left style="thick">
        <color rgb="FF000000"/>
      </left>
      <right style="thin">
        <color rgb="FFFFFFFF"/>
      </right>
    </border>
    <border>
      <left style="thin">
        <color rgb="FFFFFFFF"/>
      </left>
    </border>
    <border>
      <right style="thin">
        <color rgb="FFCCCCCC"/>
      </right>
    </border>
    <border>
      <left style="thick">
        <color rgb="FF000000"/>
      </left>
      <right style="thin">
        <color rgb="FFEFEFEF"/>
      </right>
      <top style="thin">
        <color rgb="FF000000"/>
      </top>
      <bottom style="thin">
        <color rgb="FFEFEFEF"/>
      </bottom>
    </border>
    <border>
      <left style="thin">
        <color rgb="FFEFEFEF"/>
      </left>
      <top style="thin">
        <color rgb="FF000000"/>
      </top>
      <bottom style="thin">
        <color rgb="FFEFEFEF"/>
      </bottom>
    </border>
    <border>
      <right style="thin">
        <color rgb="FFCCCCCC"/>
      </right>
      <top style="thin">
        <color rgb="FF000000"/>
      </top>
      <bottom style="thin">
        <color rgb="FFEFEFEF"/>
      </bottom>
    </border>
    <border>
      <left style="thin">
        <color rgb="FF000000"/>
      </left>
      <right style="thick">
        <color rgb="FF000000"/>
      </right>
      <top style="thin">
        <color rgb="FF000000"/>
      </top>
      <bottom style="thin">
        <color rgb="FFB3F0B5"/>
      </bottom>
    </border>
    <border>
      <left style="thick">
        <color rgb="FF000000"/>
      </left>
      <right style="thin">
        <color rgb="FFFFFFFF"/>
      </right>
      <top style="thin">
        <color rgb="FFEFEFEF"/>
      </top>
      <bottom style="thin">
        <color rgb="FF000000"/>
      </bottom>
    </border>
    <border>
      <left style="thin">
        <color rgb="FFFFFFFF"/>
      </left>
      <top style="thin">
        <color rgb="FFEFEFEF"/>
      </top>
      <bottom style="thin">
        <color rgb="FF000000"/>
      </bottom>
    </border>
    <border>
      <right style="thin">
        <color rgb="FFCCCCCC"/>
      </right>
      <top style="thin">
        <color rgb="FFEFEFEF"/>
      </top>
      <bottom style="thin">
        <color rgb="FF000000"/>
      </bottom>
    </border>
    <border>
      <left style="thin">
        <color rgb="FF000000"/>
      </left>
      <right style="thick">
        <color rgb="FF000000"/>
      </right>
      <top style="thin">
        <color rgb="FFB3F0B5"/>
      </top>
    </border>
    <border>
      <left style="thick">
        <color rgb="FF000000"/>
      </left>
      <right style="thin">
        <color rgb="FFEFEFEF"/>
      </right>
      <bottom style="thin">
        <color rgb="FFEFEFEF"/>
      </bottom>
    </border>
    <border>
      <right style="thin">
        <color rgb="FFCCCCCC"/>
      </right>
      <bottom style="thin">
        <color rgb="FFEFEFEF"/>
      </bottom>
    </border>
    <border>
      <left style="thin">
        <color rgb="FF000000"/>
      </left>
      <right style="thick">
        <color rgb="FF000000"/>
      </right>
      <top style="thin">
        <color rgb="FF000000"/>
      </top>
      <bottom style="thin">
        <color rgb="FFCCF0B3"/>
      </bottom>
    </border>
    <border>
      <left style="thick">
        <color rgb="FF000000"/>
      </left>
      <right style="thin">
        <color rgb="FFFFFFFF"/>
      </right>
      <top style="thin">
        <color rgb="FFEFEFEF"/>
      </top>
    </border>
    <border>
      <left style="thin">
        <color rgb="FFFFFFFF"/>
      </left>
      <top style="thin">
        <color rgb="FFEFEFEF"/>
      </top>
    </border>
    <border>
      <right style="thin">
        <color rgb="FFCCCCCC"/>
      </right>
      <top style="thin">
        <color rgb="FFEFEFEF"/>
      </top>
    </border>
    <border>
      <left style="thin">
        <color rgb="FF000000"/>
      </left>
      <right style="thick">
        <color rgb="FF000000"/>
      </right>
      <top style="thin">
        <color rgb="FFCCF0B3"/>
      </top>
      <bottom style="thin">
        <color rgb="FF000000"/>
      </bottom>
    </border>
    <border>
      <left style="thin">
        <color rgb="FF000000"/>
      </left>
      <right style="thick">
        <color rgb="FF000000"/>
      </right>
      <bottom style="thin">
        <color rgb="FFDCF0B3"/>
      </bottom>
    </border>
    <border>
      <left style="thin">
        <color rgb="FF000000"/>
      </left>
      <right style="thick">
        <color rgb="FF000000"/>
      </right>
      <top style="thin">
        <color rgb="FFDCF0B3"/>
      </top>
    </border>
    <border>
      <left style="thin">
        <color rgb="FF000000"/>
      </left>
      <right style="thick">
        <color rgb="FF000000"/>
      </right>
      <top style="thin">
        <color rgb="FF000000"/>
      </top>
      <bottom style="thin">
        <color rgb="FFF0E4B3"/>
      </bottom>
    </border>
    <border>
      <left style="thin">
        <color rgb="FF000000"/>
      </left>
      <right style="thick">
        <color rgb="FF000000"/>
      </right>
      <top style="thin">
        <color rgb="FFF0E4B3"/>
      </top>
      <bottom style="thin">
        <color rgb="FF000000"/>
      </bottom>
    </border>
    <border>
      <left style="thick">
        <color rgb="FF000000"/>
      </left>
      <right style="thin">
        <color rgb="FFEFEFEF"/>
      </right>
      <top style="thin">
        <color rgb="FF000000"/>
      </top>
      <bottom style="thin">
        <color rgb="FF000000"/>
      </bottom>
    </border>
    <border>
      <left style="thin">
        <color rgb="FFEFEFEF"/>
      </left>
      <top style="thin">
        <color rgb="FF000000"/>
      </top>
      <bottom style="thin">
        <color rgb="FF000000"/>
      </bottom>
    </border>
    <border>
      <right style="thin">
        <color rgb="FFCCCCCC"/>
      </right>
      <top style="thin">
        <color rgb="FF000000"/>
      </top>
      <bottom style="thin">
        <color rgb="FF000000"/>
      </bottom>
    </border>
    <border>
      <left style="thick">
        <color rgb="FF000000"/>
      </left>
      <right style="thin">
        <color rgb="FFFFFFFF"/>
      </right>
      <bottom style="thin">
        <color rgb="FF000000"/>
      </bottom>
    </border>
    <border>
      <left style="thin">
        <color rgb="FFFFFFFF"/>
      </left>
      <bottom style="thin">
        <color rgb="FF000000"/>
      </bottom>
    </border>
    <border>
      <right style="thin">
        <color rgb="FFCCCCCC"/>
      </right>
      <bottom style="thin">
        <color rgb="FF000000"/>
      </bottom>
    </border>
    <border>
      <left style="thick">
        <color rgb="FF000000"/>
      </left>
      <right style="thin">
        <color rgb="FFEFEFEF"/>
      </right>
      <bottom style="thick">
        <color rgb="FF000000"/>
      </bottom>
    </border>
    <border>
      <left style="thin">
        <color rgb="FFEFEFEF"/>
      </left>
      <bottom style="thick">
        <color rgb="FF000000"/>
      </bottom>
    </border>
    <border>
      <right style="thin">
        <color rgb="FFCCCCCC"/>
      </right>
      <bottom style="thick">
        <color rgb="FF000000"/>
      </bottom>
    </border>
    <border>
      <right style="thin">
        <color rgb="FFFFFFFF"/>
      </right>
      <top style="thin">
        <color rgb="FFFFFFFF"/>
      </top>
    </border>
    <border>
      <left style="thin">
        <color rgb="FFFFFFFF"/>
      </left>
      <right style="thin">
        <color rgb="FFFFFFFF"/>
      </right>
      <top style="thin">
        <color rgb="FFFFFFFF"/>
      </top>
    </border>
    <border>
      <left style="thick">
        <color rgb="FF000000"/>
      </left>
      <right style="thin">
        <color rgb="FFFFFFFF"/>
      </right>
      <top style="thin">
        <color rgb="FF000000"/>
      </top>
      <bottom style="thin">
        <color rgb="FFEFEFEF"/>
      </bottom>
    </border>
    <border>
      <left style="thin">
        <color rgb="FFFFFFFF"/>
      </left>
      <top style="thin">
        <color rgb="FF000000"/>
      </top>
      <bottom style="thin">
        <color rgb="FFEFEFEF"/>
      </bottom>
    </border>
    <border>
      <left style="thick">
        <color rgb="FF000000"/>
      </left>
      <right style="thin">
        <color rgb="FFEFEFEF"/>
      </right>
      <top style="thin">
        <color rgb="FFEFEFEF"/>
      </top>
      <bottom style="thin">
        <color rgb="FF000000"/>
      </bottom>
    </border>
    <border>
      <top style="thin">
        <color rgb="FFEFEFEF"/>
      </top>
      <bottom style="thin">
        <color rgb="FF000000"/>
      </bottom>
    </border>
    <border>
      <left style="thick">
        <color rgb="FF000000"/>
      </left>
      <right style="thin">
        <color rgb="FFFFFFFF"/>
      </right>
      <bottom style="thin">
        <color rgb="FFEFEFEF"/>
      </bottom>
    </border>
    <border>
      <left style="thin">
        <color rgb="FFFFFFFF"/>
      </left>
      <bottom style="thin">
        <color rgb="FFEFEFEF"/>
      </bottom>
    </border>
    <border>
      <left style="thick">
        <color rgb="FF000000"/>
      </left>
      <right style="thin">
        <color rgb="FFEFEFEF"/>
      </right>
      <top style="thin">
        <color rgb="FFEFEFEF"/>
      </top>
    </border>
    <border>
      <left style="thick">
        <color rgb="FF000000"/>
      </left>
      <right style="thin">
        <color rgb="FFFFFFFF"/>
      </right>
      <top style="thin">
        <color rgb="FF000000"/>
      </top>
      <bottom style="thin">
        <color rgb="FF000000"/>
      </bottom>
    </border>
    <border>
      <left style="thin">
        <color rgb="FFFFFFFF"/>
      </left>
      <top style="thin">
        <color rgb="FF000000"/>
      </top>
      <bottom style="thin">
        <color rgb="FF000000"/>
      </bottom>
    </border>
    <border>
      <left style="thick">
        <color rgb="FF000000"/>
      </left>
      <right style="thin">
        <color rgb="FFEFEFEF"/>
      </right>
      <bottom style="thin">
        <color rgb="FF000000"/>
      </bottom>
    </border>
    <border>
      <bottom style="thin">
        <color rgb="FF000000"/>
      </bottom>
    </border>
    <border>
      <left style="thick">
        <color rgb="FF000000"/>
      </left>
      <right style="thin">
        <color rgb="FFFFFFFF"/>
      </right>
      <bottom style="thick">
        <color rgb="FF000000"/>
      </bottom>
    </border>
    <border>
      <left style="thin">
        <color rgb="FFFFFFFF"/>
      </left>
      <bottom style="thick">
        <color rgb="FF000000"/>
      </bottom>
    </border>
    <border>
      <right style="thin">
        <color rgb="FF000000"/>
      </right>
      <top style="thin">
        <color rgb="FF000000"/>
      </top>
      <bottom style="thin">
        <color rgb="FFEFEFEF"/>
      </bottom>
    </border>
    <border>
      <right style="thin">
        <color rgb="FF000000"/>
      </right>
      <top style="thin">
        <color rgb="FFEFEFEF"/>
      </top>
      <bottom style="thin">
        <color rgb="FF000000"/>
      </bottom>
    </border>
    <border>
      <right style="thin">
        <color rgb="FF000000"/>
      </right>
      <bottom style="thin">
        <color rgb="FFEFEFEF"/>
      </bottom>
    </border>
    <border>
      <right style="thin">
        <color rgb="FF000000"/>
      </right>
      <top style="thin">
        <color rgb="FFEFEFEF"/>
      </top>
    </border>
    <border>
      <right style="thick">
        <color rgb="FF000000"/>
      </right>
      <top style="thin">
        <color rgb="FF000000"/>
      </top>
      <bottom style="thin">
        <color rgb="FFDCF0B3"/>
      </bottom>
    </border>
    <border>
      <left style="thin">
        <color rgb="FF000000"/>
      </left>
      <right style="thick">
        <color rgb="FF000000"/>
      </right>
      <top style="thin">
        <color rgb="FFDCF0B3"/>
      </top>
      <bottom style="thin">
        <color rgb="FF000000"/>
      </bottom>
    </border>
    <border>
      <right style="thick">
        <color rgb="FF000000"/>
      </right>
      <top style="thin">
        <color rgb="FF000000"/>
      </top>
      <bottom style="thin">
        <color rgb="FFF0E4B3"/>
      </bottom>
    </border>
    <border>
      <right style="thin">
        <color rgb="FF000000"/>
      </right>
      <top style="thin">
        <color rgb="FF000000"/>
      </top>
      <bottom style="thin">
        <color rgb="FF000000"/>
      </bottom>
    </border>
    <border>
      <top style="thin">
        <color rgb="FF000000"/>
      </top>
      <bottom style="thin">
        <color rgb="FF000000"/>
      </bottom>
    </border>
    <border>
      <left style="thick">
        <color rgb="FF000000"/>
      </left>
      <right style="thin">
        <color rgb="FFFFFFFF"/>
      </right>
      <top style="thin">
        <color rgb="FF000000"/>
      </top>
      <bottom style="thick">
        <color rgb="FF000000"/>
      </bottom>
    </border>
    <border>
      <left style="thin">
        <color rgb="FFFFFFFF"/>
      </left>
      <top style="thin">
        <color rgb="FF000000"/>
      </top>
      <bottom style="thick">
        <color rgb="FF000000"/>
      </bottom>
    </border>
    <border>
      <right style="thin">
        <color rgb="FF000000"/>
      </right>
      <top style="thin">
        <color rgb="FF000000"/>
      </top>
      <bottom style="thick">
        <color rgb="FF000000"/>
      </bottom>
    </border>
    <border>
      <right style="thick">
        <color rgb="FF000000"/>
      </right>
      <bottom style="thick">
        <color rgb="FF000000"/>
      </bottom>
    </border>
    <border>
      <right style="thin">
        <color rgb="FF000000"/>
      </right>
      <bottom style="thin">
        <color rgb="FF000000"/>
      </bottom>
    </border>
    <border>
      <right style="thick">
        <color rgb="FF000000"/>
      </right>
      <bottom style="thin">
        <color rgb="FFDCF0B3"/>
      </bottom>
    </border>
    <border>
      <right style="thick">
        <color rgb="FF000000"/>
      </right>
      <top style="thin">
        <color rgb="FFDCF0B3"/>
      </top>
    </border>
    <border>
      <right style="thick">
        <color rgb="FF000000"/>
      </right>
      <top style="thin">
        <color rgb="FFF0E4B3"/>
      </top>
      <bottom style="thin">
        <color rgb="FF000000"/>
      </bottom>
    </border>
    <border>
      <left style="thick">
        <color rgb="FF000000"/>
      </left>
      <right style="thin">
        <color rgb="FFEFEFEF"/>
      </right>
      <top style="thin">
        <color rgb="FF000000"/>
      </top>
      <bottom style="thick">
        <color rgb="FF000000"/>
      </bottom>
    </border>
    <border>
      <top style="thin">
        <color rgb="FF000000"/>
      </top>
      <bottom style="thick">
        <color rgb="FF000000"/>
      </bottom>
    </border>
    <border>
      <left style="thick">
        <color rgb="FF000000"/>
      </left>
      <right style="thin">
        <color rgb="FFD9D9D9"/>
      </right>
      <top style="thin">
        <color rgb="FF000000"/>
      </top>
    </border>
    <border>
      <top style="thin">
        <color rgb="FF000000"/>
      </top>
      <bottom style="thin">
        <color rgb="FFCCCCCC"/>
      </bottom>
    </border>
    <border>
      <right style="thin">
        <color rgb="FFCCCCCC"/>
      </right>
      <top style="thin">
        <color rgb="FF000000"/>
      </top>
      <bottom style="thin">
        <color rgb="FFCCCCCC"/>
      </bottom>
    </border>
    <border>
      <left style="thin">
        <color rgb="FFFFFFFF"/>
      </left>
      <top style="thin">
        <color rgb="FFCCCCCC"/>
      </top>
      <bottom style="thin">
        <color rgb="FF000000"/>
      </bottom>
    </border>
    <border>
      <right style="thin">
        <color rgb="FFCCCCCC"/>
      </right>
      <top style="thin">
        <color rgb="FFCCCCCC"/>
      </top>
      <bottom style="thin">
        <color rgb="FF000000"/>
      </bottom>
    </border>
    <border>
      <left style="thick">
        <color rgb="FF000000"/>
      </left>
      <right style="thin">
        <color rgb="FFD9D9D9"/>
      </right>
    </border>
    <border>
      <bottom style="thin">
        <color rgb="FFCCCCCC"/>
      </bottom>
    </border>
    <border>
      <right style="thin">
        <color rgb="FFCCCCCC"/>
      </right>
      <bottom style="thin">
        <color rgb="FFCCCCCC"/>
      </bottom>
    </border>
    <border>
      <left style="thick">
        <color rgb="FF000000"/>
      </left>
      <right style="thin">
        <color rgb="FFEFEFEF"/>
      </right>
    </border>
    <border>
      <left style="thin">
        <color rgb="FFEFEFEF"/>
      </left>
      <bottom style="thin">
        <color rgb="FFCCCCCC"/>
      </bottom>
    </border>
    <border>
      <left style="thick">
        <color rgb="FFEFEFEF"/>
      </left>
      <top style="thick">
        <color rgb="FFEFEFEF"/>
      </top>
      <bottom style="thick">
        <color rgb="FFEFEFEF"/>
      </bottom>
    </border>
    <border>
      <top style="thick">
        <color rgb="FFEFEFEF"/>
      </top>
      <bottom style="thick">
        <color rgb="FFEFEFEF"/>
      </bottom>
    </border>
    <border>
      <right style="thick">
        <color rgb="FFEFEFEF"/>
      </right>
      <top style="thick">
        <color rgb="FFEFEFEF"/>
      </top>
      <bottom style="thick">
        <color rgb="FFEFEFEF"/>
      </bottom>
    </border>
    <border>
      <left style="thick">
        <color rgb="FFEFEFEF"/>
      </left>
      <right style="thick">
        <color rgb="FFEFEFEF"/>
      </right>
      <top style="thick">
        <color rgb="FFEFEFEF"/>
      </top>
      <bottom style="thick">
        <color rgb="FFEFEFEF"/>
      </bottom>
    </border>
    <border>
      <left style="thin">
        <color rgb="FF000000"/>
      </left>
      <right style="thick">
        <color rgb="FF000000"/>
      </right>
      <top style="thin">
        <color rgb="FFB3F0B5"/>
      </top>
      <bottom style="thin">
        <color rgb="FF000000"/>
      </bottom>
    </border>
    <border>
      <left style="thin">
        <color rgb="FF000000"/>
      </left>
      <right style="thick">
        <color rgb="FF000000"/>
      </right>
      <top style="thin">
        <color rgb="FF000000"/>
      </top>
      <bottom style="thin">
        <color rgb="FFDCF0B3"/>
      </bottom>
    </border>
    <border>
      <left style="thick">
        <color rgb="FF000000"/>
      </left>
      <right style="thin">
        <color rgb="FFEFEFEF"/>
      </right>
      <top style="thin">
        <color rgb="FF000000"/>
      </top>
    </border>
    <border>
      <left style="thin">
        <color rgb="FFEFEFEF"/>
      </left>
      <top style="thin">
        <color rgb="FF000000"/>
      </top>
    </border>
    <border>
      <right style="thin">
        <color rgb="FFCCCCCC"/>
      </right>
      <top style="thin">
        <color rgb="FF000000"/>
      </top>
    </border>
    <border>
      <left style="thick">
        <color rgb="FFEFEFEF"/>
      </left>
      <top style="thick">
        <color rgb="FFEFEFEF"/>
      </top>
    </border>
    <border>
      <right style="thick">
        <color rgb="FFEFEFEF"/>
      </right>
      <top style="thick">
        <color rgb="FFEFEFEF"/>
      </top>
    </border>
    <border>
      <left style="thin">
        <color rgb="FFEFEFEF"/>
      </left>
      <top style="thin">
        <color rgb="FFEFEFEF"/>
      </top>
      <bottom style="thin">
        <color rgb="FF000000"/>
      </bottom>
    </border>
    <border>
      <left style="thin">
        <color rgb="FFEFEFEF"/>
      </left>
      <bottom style="thin">
        <color rgb="FF000000"/>
      </bottom>
    </border>
    <border>
      <left style="thin">
        <color rgb="FF000000"/>
      </left>
      <right style="thick">
        <color rgb="FF000000"/>
      </right>
      <bottom style="thin">
        <color rgb="FFCCF0B3"/>
      </bottom>
    </border>
    <border>
      <left style="thick">
        <color rgb="FF000000"/>
      </left>
      <right style="thin">
        <color rgb="FFEFEFEF"/>
      </right>
      <top style="thin">
        <color rgb="FFEFEFEF"/>
      </top>
      <bottom style="thin">
        <color rgb="FFEFEFEF"/>
      </bottom>
    </border>
    <border>
      <right style="thin">
        <color rgb="FFCCCCCC"/>
      </right>
      <top style="thin">
        <color rgb="FFEFEFEF"/>
      </top>
      <bottom style="thin">
        <color rgb="FFEFEFEF"/>
      </bottom>
    </border>
    <border>
      <left style="thin">
        <color rgb="FF000000"/>
      </left>
      <right style="thick">
        <color rgb="FF000000"/>
      </right>
      <top style="thin">
        <color rgb="FFCCF0B3"/>
      </top>
      <bottom style="thin">
        <color rgb="FFCCF0B3"/>
      </bottom>
    </border>
    <border>
      <left style="thin">
        <color rgb="FF000000"/>
      </left>
      <right style="thick">
        <color rgb="FF000000"/>
      </right>
      <top style="thin">
        <color rgb="FFCCF0B3"/>
      </top>
    </border>
    <border>
      <left style="thin">
        <color rgb="FF000000"/>
      </left>
      <right style="thick">
        <color rgb="FF000000"/>
      </right>
      <top style="thin">
        <color rgb="FFF0E4B3"/>
      </top>
    </border>
    <border>
      <left style="thick">
        <color rgb="FFEFEFEF"/>
      </left>
      <right style="thick">
        <color rgb="FFEFEFEF"/>
      </right>
      <top style="thick">
        <color rgb="FFEFEFEF"/>
      </top>
      <bottom style="thin">
        <color rgb="FFEFEFEF"/>
      </bottom>
    </border>
    <border>
      <left style="thick">
        <color rgb="FFEFEFEF"/>
      </left>
      <top style="thick">
        <color rgb="FFEFEFEF"/>
      </top>
      <bottom style="thin">
        <color rgb="FFEFEFEF"/>
      </bottom>
    </border>
    <border>
      <right style="thick">
        <color rgb="FFEFEFEF"/>
      </right>
      <top style="thick">
        <color rgb="FFEFEFEF"/>
      </top>
      <bottom style="thin">
        <color rgb="FFEFEFEF"/>
      </bottom>
    </border>
    <border>
      <left style="thick">
        <color rgb="FFEFEFEF"/>
      </left>
      <right style="thick">
        <color rgb="FFEFEFEF"/>
      </right>
      <top style="thick">
        <color rgb="FFEFEFEF"/>
      </top>
    </border>
    <border>
      <right style="thin">
        <color rgb="FF000000"/>
      </right>
    </border>
    <border>
      <right style="thick">
        <color rgb="FF000000"/>
      </right>
      <top style="thin">
        <color rgb="FFDCF0B3"/>
      </top>
      <bottom style="thin">
        <color rgb="FF000000"/>
      </bottom>
    </border>
    <border>
      <top style="thin">
        <color rgb="FFFFFFFF"/>
      </top>
      <bottom style="thin">
        <color rgb="FFEFEFEF"/>
      </bottom>
    </border>
    <border>
      <left style="thin">
        <color rgb="FFEFEFEF"/>
      </left>
      <top style="thin">
        <color rgb="FF000000"/>
      </top>
      <bottom style="thick">
        <color rgb="FF000000"/>
      </bottom>
    </border>
    <border>
      <right style="thin">
        <color rgb="FFCCCCCC"/>
      </right>
      <top style="thin">
        <color rgb="FF000000"/>
      </top>
      <bottom style="thick">
        <color rgb="FF000000"/>
      </bottom>
    </border>
    <border>
      <right style="thick">
        <color rgb="FFEFEFEF"/>
      </right>
      <top style="thin">
        <color rgb="FFEFEFEF"/>
      </top>
      <bottom style="thin">
        <color rgb="FFEFEFEF"/>
      </bottom>
    </border>
    <border>
      <top style="thick">
        <color rgb="FFEFEFEF"/>
      </top>
      <bottom style="thin">
        <color rgb="FFEFEFEF"/>
      </bottom>
    </border>
    <border>
      <right style="thin">
        <color rgb="FFEFEFEF"/>
      </right>
      <top style="thin">
        <color rgb="FFFFFFFF"/>
      </top>
      <bottom style="thin">
        <color rgb="FFEFEFEF"/>
      </bottom>
    </border>
    <border>
      <right style="thick">
        <color rgb="FF000000"/>
      </right>
      <top style="thin">
        <color rgb="FFFFFFFF"/>
      </top>
    </border>
    <border>
      <right style="thin">
        <color rgb="FFEFEFEF"/>
      </right>
      <bottom style="thick">
        <color rgb="FF000000"/>
      </bottom>
    </border>
    <border>
      <bottom style="thick">
        <color rgb="FF000000"/>
      </bottom>
    </border>
    <border>
      <top style="thick">
        <color rgb="FFEFEFEF"/>
      </top>
    </border>
    <border>
      <left style="thick">
        <color rgb="FF000000"/>
      </left>
      <right style="thin">
        <color rgb="FFFFFFFF"/>
      </right>
      <top style="thin">
        <color rgb="FFEFEFEF"/>
      </top>
      <bottom style="thin">
        <color rgb="FFEFEFEF"/>
      </bottom>
    </border>
    <border>
      <left style="thin">
        <color rgb="FFFFFFFF"/>
      </left>
      <top style="thin">
        <color rgb="FFEFEFEF"/>
      </top>
      <bottom style="thin">
        <color rgb="FFEFEFEF"/>
      </bottom>
    </border>
    <border>
      <left style="thin">
        <color rgb="FF000000"/>
      </left>
      <right style="thick">
        <color rgb="FF000000"/>
      </right>
      <top style="thin">
        <color rgb="FFB3F0B5"/>
      </top>
      <bottom style="thin">
        <color rgb="FFB3F0B5"/>
      </bottom>
    </border>
    <border>
      <left style="thin">
        <color rgb="FF000000"/>
      </left>
      <right style="thick">
        <color rgb="FF000000"/>
      </right>
      <bottom style="thin">
        <color rgb="FFB3F0B5"/>
      </bottom>
    </border>
    <border>
      <left style="thick">
        <color rgb="FFBF1F73"/>
      </left>
      <right style="thin">
        <color rgb="FFEFEFEF"/>
      </right>
      <top style="thin">
        <color rgb="FFEFEFEF"/>
      </top>
      <bottom style="thick">
        <color rgb="FFBF1F73"/>
      </bottom>
    </border>
    <border>
      <left style="thin">
        <color rgb="FFEFEFEF"/>
      </left>
      <right style="thin">
        <color rgb="FFEFEFEF"/>
      </right>
      <bottom style="thick">
        <color rgb="FFBF1F73"/>
      </bottom>
    </border>
    <border>
      <left style="thin">
        <color rgb="FFEFEFEF"/>
      </left>
      <right style="thin">
        <color rgb="FFEFEFEF"/>
      </right>
      <top style="thin">
        <color rgb="FFFFFFFF"/>
      </top>
      <bottom style="thick">
        <color rgb="FFBF1F73"/>
      </bottom>
    </border>
    <border>
      <left style="thin">
        <color rgb="FFEFEFEF"/>
      </left>
      <right style="thick">
        <color rgb="FFBF1F73"/>
      </right>
      <bottom style="thick">
        <color rgb="FFBF1F73"/>
      </bottom>
    </border>
    <border>
      <left style="thin">
        <color rgb="FF3E3A3A"/>
      </left>
      <bottom style="thin">
        <color rgb="FF3E3A3A"/>
      </bottom>
    </border>
    <border>
      <bottom style="thin">
        <color rgb="FF3E3A3A"/>
      </bottom>
    </border>
    <border>
      <right style="thin">
        <color rgb="FF3E3A3A"/>
      </right>
      <bottom style="thin">
        <color rgb="FF3E3A3A"/>
      </bottom>
    </border>
    <border>
      <left style="thick">
        <color rgb="FFED930C"/>
      </left>
      <right style="thin">
        <color rgb="FFEFEFEF"/>
      </right>
      <top style="thick">
        <color rgb="FFED930C"/>
      </top>
      <bottom style="thin">
        <color rgb="FFEFEFEF"/>
      </bottom>
    </border>
    <border>
      <left style="thin">
        <color rgb="FFEFEFEF"/>
      </left>
      <right style="thin">
        <color rgb="FFEFEFEF"/>
      </right>
      <top style="thick">
        <color rgb="FFED930C"/>
      </top>
      <bottom style="thin">
        <color rgb="FFEFEFEF"/>
      </bottom>
    </border>
    <border>
      <left style="thin">
        <color rgb="FFEFEFEF"/>
      </left>
      <right style="thick">
        <color rgb="FFED930C"/>
      </right>
      <top style="thick">
        <color rgb="FFED930C"/>
      </top>
      <bottom style="thin">
        <color rgb="FFEFEFEF"/>
      </bottom>
    </border>
    <border>
      <left style="thick">
        <color rgb="FFED930C"/>
      </left>
      <right style="thin">
        <color rgb="FFEFEFEF"/>
      </right>
      <top style="thin">
        <color rgb="FFEFEFEF"/>
      </top>
      <bottom style="thin">
        <color rgb="FFEFEFEF"/>
      </bottom>
    </border>
    <border>
      <left style="thin">
        <color rgb="FFEFEFEF"/>
      </left>
      <right style="thick">
        <color rgb="FFED930C"/>
      </right>
      <top style="thin">
        <color rgb="FFEFEFEF"/>
      </top>
      <bottom style="thin">
        <color rgb="FFEFEFEF"/>
      </bottom>
    </border>
    <border>
      <left style="thick">
        <color rgb="FFED930C"/>
      </left>
      <right style="thin">
        <color rgb="FFEFEFEF"/>
      </right>
      <top style="thin">
        <color rgb="FFEFEFEF"/>
      </top>
    </border>
    <border>
      <left style="thin">
        <color rgb="FFEFEFEF"/>
      </left>
      <right style="thick">
        <color rgb="FFED930C"/>
      </right>
      <top style="thin">
        <color rgb="FFEFEFEF"/>
      </top>
    </border>
    <border>
      <left style="thick">
        <color rgb="FFED930C"/>
      </left>
      <right style="thin">
        <color rgb="FF434343"/>
      </right>
      <top style="thin">
        <color rgb="FF434343"/>
      </top>
      <bottom style="thin">
        <color rgb="FF434343"/>
      </bottom>
    </border>
    <border>
      <left style="thin">
        <color rgb="FF434343"/>
      </left>
      <right style="thick">
        <color rgb="FFED930C"/>
      </right>
      <top style="thin">
        <color rgb="FF434343"/>
      </top>
    </border>
    <border>
      <left style="thick">
        <color rgb="FFED930C"/>
      </left>
      <top style="thin">
        <color rgb="FF434343"/>
      </top>
      <bottom style="thin">
        <color rgb="FF434343"/>
      </bottom>
    </border>
    <border>
      <right style="thick">
        <color rgb="FFED930C"/>
      </right>
      <top style="thin">
        <color rgb="FF434343"/>
      </top>
      <bottom style="medium">
        <color rgb="FF434343"/>
      </bottom>
    </border>
    <border>
      <right style="thick">
        <color rgb="FFED930C"/>
      </right>
      <bottom style="medium">
        <color rgb="FF434343"/>
      </bottom>
    </border>
    <border>
      <left style="thick">
        <color rgb="FFED930C"/>
      </left>
      <right style="thin">
        <color rgb="FF434343"/>
      </right>
    </border>
    <border>
      <left style="thin">
        <color rgb="FF434343"/>
      </left>
      <right style="thin">
        <color rgb="FF434343"/>
      </right>
    </border>
    <border>
      <right style="thick">
        <color rgb="FFED930C"/>
      </right>
    </border>
    <border>
      <left style="thin">
        <color rgb="FF434343"/>
      </left>
      <right style="thick">
        <color rgb="FFED930C"/>
      </right>
      <bottom style="thin">
        <color rgb="FF434343"/>
      </bottom>
    </border>
    <border>
      <left style="thin">
        <color rgb="FF434343"/>
      </left>
      <right style="thick">
        <color rgb="FFED930C"/>
      </right>
      <top style="thin">
        <color rgb="FF434343"/>
      </top>
      <bottom style="thin">
        <color rgb="FF434343"/>
      </bottom>
    </border>
    <border>
      <left style="thick">
        <color rgb="FFED930C"/>
      </left>
      <right style="thin">
        <color rgb="FFEFEFEF"/>
      </right>
      <top style="medium">
        <color rgb="FF434343"/>
      </top>
      <bottom style="thin">
        <color rgb="FFEFEFEF"/>
      </bottom>
    </border>
    <border>
      <left style="thin">
        <color rgb="FFEFEFEF"/>
      </left>
      <right style="thin">
        <color rgb="FFEFEFEF"/>
      </right>
      <top style="medium">
        <color rgb="FF434343"/>
      </top>
      <bottom style="thin">
        <color rgb="FFEFEFEF"/>
      </bottom>
    </border>
    <border>
      <left style="thin">
        <color rgb="FFEFEFEF"/>
      </left>
      <right style="thick">
        <color rgb="FFED930C"/>
      </right>
      <top style="medium">
        <color rgb="FF434343"/>
      </top>
      <bottom style="thin">
        <color rgb="FFEFEFEF"/>
      </bottom>
    </border>
    <border>
      <left style="medium">
        <color rgb="FF434343"/>
      </left>
      <top style="medium">
        <color rgb="FF434343"/>
      </top>
      <bottom style="medium">
        <color rgb="FF434343"/>
      </bottom>
    </border>
    <border>
      <right style="thin">
        <color rgb="FFCBF6BB"/>
      </right>
      <top style="medium">
        <color rgb="FF434343"/>
      </top>
      <bottom style="medium">
        <color rgb="FF434343"/>
      </bottom>
    </border>
    <border>
      <right style="thin">
        <color rgb="FF434343"/>
      </right>
      <top style="thin">
        <color rgb="FF434343"/>
      </top>
      <bottom style="thin">
        <color rgb="FF434343"/>
      </bottom>
    </border>
    <border>
      <left style="medium">
        <color rgb="FF434343"/>
      </left>
      <right style="thin">
        <color rgb="FFDEEEF6"/>
      </right>
      <top style="medium">
        <color rgb="FF434343"/>
      </top>
      <bottom style="medium">
        <color rgb="FF434343"/>
      </bottom>
    </border>
    <border>
      <left style="thick">
        <color rgb="FFED930C"/>
      </left>
      <right style="thin">
        <color rgb="FF434343"/>
      </right>
      <bottom style="thick">
        <color rgb="FFED930C"/>
      </bottom>
    </border>
    <border>
      <left style="thin">
        <color rgb="FF434343"/>
      </left>
      <right style="thin">
        <color rgb="FF434343"/>
      </right>
      <bottom style="thick">
        <color rgb="FFED930C"/>
      </bottom>
    </border>
    <border>
      <left style="thin">
        <color rgb="FF434343"/>
      </left>
      <right style="thick">
        <color rgb="FFED930C"/>
      </right>
      <bottom style="thick">
        <color rgb="FFED930C"/>
      </bottom>
    </border>
    <border>
      <left style="thick">
        <color rgb="FFFF00BC"/>
      </left>
      <right style="thin">
        <color rgb="FFEFEFEF"/>
      </right>
      <top style="thick">
        <color rgb="FFFF00BC"/>
      </top>
      <bottom style="thin">
        <color rgb="FFEFEFEF"/>
      </bottom>
    </border>
    <border>
      <left style="thin">
        <color rgb="FFEFEFEF"/>
      </left>
      <right style="thin">
        <color rgb="FFEFEFEF"/>
      </right>
      <top style="thick">
        <color rgb="FFFF00BC"/>
      </top>
      <bottom style="thin">
        <color rgb="FFEFEFEF"/>
      </bottom>
    </border>
    <border>
      <left style="thin">
        <color rgb="FFEFEFEF"/>
      </left>
      <right style="thick">
        <color rgb="FFFF00BC"/>
      </right>
      <top style="thick">
        <color rgb="FFFF00BC"/>
      </top>
      <bottom style="thin">
        <color rgb="FFEFEFEF"/>
      </bottom>
    </border>
    <border>
      <left style="thick">
        <color rgb="FFFF00BC"/>
      </left>
      <top style="thin">
        <color rgb="FFEFEFEF"/>
      </top>
      <bottom style="thin">
        <color rgb="FFEFEFEF"/>
      </bottom>
    </border>
    <border>
      <left style="thick">
        <color rgb="FF000000"/>
      </left>
      <top style="thick">
        <color rgb="FF000000"/>
      </top>
      <bottom style="thin">
        <color rgb="FFFFF6ED"/>
      </bottom>
    </border>
    <border>
      <top style="thick">
        <color rgb="FF000000"/>
      </top>
      <bottom style="thin">
        <color rgb="FFFFF6ED"/>
      </bottom>
    </border>
    <border>
      <right style="thick">
        <color rgb="FF000000"/>
      </right>
      <top style="thick">
        <color rgb="FF000000"/>
      </top>
      <bottom style="thin">
        <color rgb="FFFFF6ED"/>
      </bottom>
    </border>
    <border>
      <left style="thick">
        <color rgb="FF000000"/>
      </left>
      <top style="thick">
        <color rgb="FF000000"/>
      </top>
      <bottom style="thin">
        <color rgb="FFFDFFED"/>
      </bottom>
    </border>
    <border>
      <top style="thick">
        <color rgb="FF000000"/>
      </top>
      <bottom style="thin">
        <color rgb="FFFDFFED"/>
      </bottom>
    </border>
    <border>
      <right style="thick">
        <color rgb="FF000000"/>
      </right>
      <top style="thick">
        <color rgb="FF000000"/>
      </top>
      <bottom style="thin">
        <color rgb="FFFDFFED"/>
      </bottom>
    </border>
    <border>
      <right style="thick">
        <color rgb="FFFF00BC"/>
      </right>
      <top style="thin">
        <color rgb="FFEFEFEF"/>
      </top>
      <bottom style="thin">
        <color rgb="FFEFEFEF"/>
      </bottom>
    </border>
    <border>
      <left style="thick">
        <color rgb="FF000000"/>
      </left>
      <top style="thin">
        <color rgb="FFFFF6ED"/>
      </top>
      <bottom style="thin">
        <color rgb="FF000000"/>
      </bottom>
    </border>
    <border>
      <right style="thin">
        <color rgb="FFFFF6ED"/>
      </right>
      <top style="thin">
        <color rgb="FFFFF6ED"/>
      </top>
      <bottom style="thin">
        <color rgb="FF000000"/>
      </bottom>
    </border>
    <border>
      <left style="thin">
        <color rgb="FFFFF6ED"/>
      </left>
      <right style="thin">
        <color rgb="FFFFF6ED"/>
      </right>
      <top style="thin">
        <color rgb="FFFFF6ED"/>
      </top>
      <bottom style="thin">
        <color rgb="FF000000"/>
      </bottom>
    </border>
    <border>
      <left style="thin">
        <color rgb="FFFFF6ED"/>
      </left>
      <top style="thin">
        <color rgb="FFFFF6ED"/>
      </top>
      <bottom style="thin">
        <color rgb="FF000000"/>
      </bottom>
    </border>
    <border>
      <right style="thick">
        <color rgb="FF000000"/>
      </right>
      <top style="thin">
        <color rgb="FFFFF6ED"/>
      </top>
      <bottom style="thin">
        <color rgb="FF000000"/>
      </bottom>
    </border>
    <border>
      <left style="thick">
        <color rgb="FF000000"/>
      </left>
      <top style="thin">
        <color rgb="FFFDFFED"/>
      </top>
      <bottom style="thin">
        <color rgb="FF000000"/>
      </bottom>
    </border>
    <border>
      <right style="thin">
        <color rgb="FFFDFFED"/>
      </right>
      <top style="thin">
        <color rgb="FFFDFFED"/>
      </top>
      <bottom style="thin">
        <color rgb="FF000000"/>
      </bottom>
    </border>
    <border>
      <left style="thin">
        <color rgb="FFFDFFED"/>
      </left>
      <right style="thin">
        <color rgb="FFFDFFED"/>
      </right>
      <top style="thin">
        <color rgb="FFFDFFED"/>
      </top>
      <bottom style="thin">
        <color rgb="FF000000"/>
      </bottom>
    </border>
    <border>
      <left style="thin">
        <color rgb="FFFDFFED"/>
      </left>
      <top style="thin">
        <color rgb="FFFDFFED"/>
      </top>
      <bottom style="thin">
        <color rgb="FF000000"/>
      </bottom>
    </border>
    <border>
      <right style="thick">
        <color rgb="FF000000"/>
      </right>
      <top style="thin">
        <color rgb="FFFDFFED"/>
      </top>
      <bottom style="thin">
        <color rgb="FF000000"/>
      </bottom>
    </border>
    <border>
      <left style="thick">
        <color rgb="FFFF00BC"/>
      </left>
      <right style="thin">
        <color rgb="FFEFEFEF"/>
      </right>
      <top style="thin">
        <color rgb="FFEFEFEF"/>
      </top>
      <bottom style="thin">
        <color rgb="FFEFEFEF"/>
      </bottom>
    </border>
    <border>
      <left style="thick">
        <color rgb="FF000000"/>
      </left>
      <right style="thin">
        <color rgb="FFFFF6ED"/>
      </right>
    </border>
    <border>
      <left style="thin">
        <color rgb="FFFFF6ED"/>
      </left>
      <right style="thin">
        <color rgb="FFFFF6ED"/>
      </right>
    </border>
    <border>
      <left style="thin">
        <color rgb="FFFFF6ED"/>
      </left>
      <right style="thin">
        <color rgb="FFFFF6ED"/>
      </right>
      <top style="thin">
        <color rgb="FFFFF6ED"/>
      </top>
    </border>
    <border>
      <left style="thin">
        <color rgb="FFFFF6ED"/>
      </left>
      <right style="thick">
        <color rgb="FF000000"/>
      </right>
    </border>
    <border>
      <left style="thick">
        <color rgb="FF000000"/>
      </left>
      <right style="thin">
        <color rgb="FFFDFFED"/>
      </right>
    </border>
    <border>
      <left style="thin">
        <color rgb="FFFDFFED"/>
      </left>
      <right style="thin">
        <color rgb="FFFDFFED"/>
      </right>
    </border>
    <border>
      <left style="thin">
        <color rgb="FFFDFFED"/>
      </left>
      <right style="thin">
        <color rgb="FFFDFFED"/>
      </right>
      <top style="thin">
        <color rgb="FFFDFFED"/>
      </top>
    </border>
    <border>
      <left style="thin">
        <color rgb="FFFDFFED"/>
      </left>
      <right style="thick">
        <color rgb="FF000000"/>
      </right>
    </border>
    <border>
      <left style="thin">
        <color rgb="FFEFEFEF"/>
      </left>
      <right style="thick">
        <color rgb="FFFF00BC"/>
      </right>
      <top style="thin">
        <color rgb="FFEFEFEF"/>
      </top>
      <bottom style="thin">
        <color rgb="FFEFEFEF"/>
      </bottom>
    </border>
    <border>
      <left style="thick">
        <color rgb="FF000000"/>
      </left>
      <right style="thin">
        <color rgb="FFFFF6ED"/>
      </right>
      <bottom style="thick">
        <color rgb="FF000000"/>
      </bottom>
    </border>
    <border>
      <left style="thin">
        <color rgb="FFFFF6ED"/>
      </left>
      <right style="thin">
        <color rgb="FFFFF6ED"/>
      </right>
      <bottom style="thick">
        <color rgb="FF000000"/>
      </bottom>
    </border>
    <border>
      <left style="thin">
        <color rgb="FFFFF6ED"/>
      </left>
      <right style="thick">
        <color rgb="FF000000"/>
      </right>
      <bottom style="thick">
        <color rgb="FF000000"/>
      </bottom>
    </border>
    <border>
      <left style="thick">
        <color rgb="FF000000"/>
      </left>
      <right style="thin">
        <color rgb="FFFDFFED"/>
      </right>
      <bottom style="thick">
        <color rgb="FF000000"/>
      </bottom>
    </border>
    <border>
      <left style="thin">
        <color rgb="FFFDFFED"/>
      </left>
      <right style="thin">
        <color rgb="FFFDFFED"/>
      </right>
      <bottom style="thick">
        <color rgb="FF000000"/>
      </bottom>
    </border>
    <border>
      <left style="thin">
        <color rgb="FFFDFFED"/>
      </left>
      <right style="thick">
        <color rgb="FF000000"/>
      </right>
      <bottom style="thick">
        <color rgb="FF000000"/>
      </bottom>
    </border>
    <border>
      <left style="thick">
        <color rgb="FF000000"/>
      </left>
      <top style="thick">
        <color rgb="FF000000"/>
      </top>
      <bottom style="thin">
        <color rgb="FFF2FFED"/>
      </bottom>
    </border>
    <border>
      <top style="thick">
        <color rgb="FF000000"/>
      </top>
      <bottom style="thin">
        <color rgb="FFF2FFED"/>
      </bottom>
    </border>
    <border>
      <right style="thick">
        <color rgb="FF000000"/>
      </right>
      <top style="thick">
        <color rgb="FF000000"/>
      </top>
      <bottom style="thin">
        <color rgb="FFF2FFED"/>
      </bottom>
    </border>
    <border>
      <left style="thick">
        <color rgb="FF000000"/>
      </left>
      <top style="thick">
        <color rgb="FF000000"/>
      </top>
      <bottom style="thin">
        <color rgb="FFEDFFFA"/>
      </bottom>
    </border>
    <border>
      <top style="thick">
        <color rgb="FF000000"/>
      </top>
      <bottom style="thin">
        <color rgb="FFEDFFFA"/>
      </bottom>
    </border>
    <border>
      <right style="thick">
        <color rgb="FF000000"/>
      </right>
      <top style="thick">
        <color rgb="FF000000"/>
      </top>
      <bottom style="thin">
        <color rgb="FFEDFFFA"/>
      </bottom>
    </border>
    <border>
      <left style="thick">
        <color rgb="FF000000"/>
      </left>
      <top style="thin">
        <color rgb="FFF2FFED"/>
      </top>
      <bottom style="thin">
        <color rgb="FF000000"/>
      </bottom>
    </border>
    <border>
      <right style="thin">
        <color rgb="FFF2FFED"/>
      </right>
      <top style="thin">
        <color rgb="FFF2FFED"/>
      </top>
      <bottom style="thin">
        <color rgb="FF000000"/>
      </bottom>
    </border>
    <border>
      <left style="thin">
        <color rgb="FFF2FFED"/>
      </left>
      <right style="thin">
        <color rgb="FFF2FFED"/>
      </right>
      <top style="thin">
        <color rgb="FFF2FFED"/>
      </top>
      <bottom style="thin">
        <color rgb="FF000000"/>
      </bottom>
    </border>
    <border>
      <left style="thin">
        <color rgb="FFF2FFED"/>
      </left>
      <top style="thin">
        <color rgb="FFF2FFED"/>
      </top>
      <bottom style="thin">
        <color rgb="FF000000"/>
      </bottom>
    </border>
    <border>
      <right style="thick">
        <color rgb="FF000000"/>
      </right>
      <top style="thin">
        <color rgb="FFF2FFED"/>
      </top>
      <bottom style="thin">
        <color rgb="FF000000"/>
      </bottom>
    </border>
    <border>
      <left style="thick">
        <color rgb="FF000000"/>
      </left>
      <top style="thin">
        <color rgb="FFEDFFFA"/>
      </top>
      <bottom style="thin">
        <color rgb="FF000000"/>
      </bottom>
    </border>
    <border>
      <right style="thin">
        <color rgb="FFEDFFFA"/>
      </right>
      <top style="thin">
        <color rgb="FFEDFFFA"/>
      </top>
      <bottom style="thin">
        <color rgb="FF000000"/>
      </bottom>
    </border>
    <border>
      <left style="thin">
        <color rgb="FFEDFFFA"/>
      </left>
      <right style="thin">
        <color rgb="FFEDFFFA"/>
      </right>
      <top style="thin">
        <color rgb="FFEDFFFA"/>
      </top>
      <bottom style="thin">
        <color rgb="FF000000"/>
      </bottom>
    </border>
    <border>
      <left style="thin">
        <color rgb="FFEDFFFA"/>
      </left>
      <top style="thin">
        <color rgb="FFEDFFFA"/>
      </top>
      <bottom style="thin">
        <color rgb="FF000000"/>
      </bottom>
    </border>
    <border>
      <right style="thick">
        <color rgb="FF000000"/>
      </right>
      <top style="thin">
        <color rgb="FFEDFFFA"/>
      </top>
      <bottom style="thin">
        <color rgb="FF000000"/>
      </bottom>
    </border>
    <border>
      <left style="thick">
        <color rgb="FF000000"/>
      </left>
      <right style="thin">
        <color rgb="FFF2FFED"/>
      </right>
    </border>
    <border>
      <left style="thin">
        <color rgb="FFF2FFED"/>
      </left>
      <right style="thin">
        <color rgb="FFF2FFED"/>
      </right>
    </border>
    <border>
      <left style="thin">
        <color rgb="FFF2FFED"/>
      </left>
      <right style="thin">
        <color rgb="FFF2FFED"/>
      </right>
      <top style="thin">
        <color rgb="FFF2FFED"/>
      </top>
    </border>
    <border>
      <left style="thin">
        <color rgb="FFF2FFED"/>
      </left>
      <right style="thick">
        <color rgb="FF000000"/>
      </right>
    </border>
    <border>
      <left style="thick">
        <color rgb="FF000000"/>
      </left>
      <right style="thin">
        <color rgb="FFEDFFFA"/>
      </right>
    </border>
    <border>
      <left style="thin">
        <color rgb="FFEDFFFA"/>
      </left>
      <right style="thin">
        <color rgb="FFEDFFFA"/>
      </right>
    </border>
    <border>
      <left style="thin">
        <color rgb="FFEDFFFA"/>
      </left>
      <right style="thin">
        <color rgb="FFEDFFFA"/>
      </right>
      <top style="thin">
        <color rgb="FFEDFFFA"/>
      </top>
    </border>
    <border>
      <left style="thin">
        <color rgb="FFEDFFFA"/>
      </left>
      <right style="thick">
        <color rgb="FF000000"/>
      </right>
    </border>
    <border>
      <left style="thick">
        <color rgb="FF000000"/>
      </left>
      <right style="thin">
        <color rgb="FFF2FFED"/>
      </right>
      <bottom style="thick">
        <color rgb="FF000000"/>
      </bottom>
    </border>
    <border>
      <left style="thin">
        <color rgb="FFF2FFED"/>
      </left>
      <right style="thin">
        <color rgb="FFF2FFED"/>
      </right>
      <bottom style="thick">
        <color rgb="FF000000"/>
      </bottom>
    </border>
    <border>
      <left style="thin">
        <color rgb="FFF2FFED"/>
      </left>
      <right style="thick">
        <color rgb="FF000000"/>
      </right>
      <bottom style="thick">
        <color rgb="FF000000"/>
      </bottom>
    </border>
    <border>
      <left style="thick">
        <color rgb="FF000000"/>
      </left>
      <right style="thin">
        <color rgb="FFEDFFFA"/>
      </right>
      <bottom style="thick">
        <color rgb="FF000000"/>
      </bottom>
    </border>
    <border>
      <left style="thin">
        <color rgb="FFEDFFFA"/>
      </left>
      <right style="thin">
        <color rgb="FFEDFFFA"/>
      </right>
      <bottom style="thick">
        <color rgb="FF000000"/>
      </bottom>
    </border>
    <border>
      <left style="thin">
        <color rgb="FFEDFFFA"/>
      </left>
      <right style="thick">
        <color rgb="FF000000"/>
      </right>
      <bottom style="thick">
        <color rgb="FF000000"/>
      </bottom>
    </border>
    <border>
      <left style="thick">
        <color rgb="FF000000"/>
      </left>
      <top style="thick">
        <color rgb="FF000000"/>
      </top>
      <bottom style="thin">
        <color rgb="FFEDF5FF"/>
      </bottom>
    </border>
    <border>
      <top style="thick">
        <color rgb="FF000000"/>
      </top>
      <bottom style="thin">
        <color rgb="FFEDF5FF"/>
      </bottom>
    </border>
    <border>
      <right style="thick">
        <color rgb="FF000000"/>
      </right>
      <top style="thick">
        <color rgb="FF000000"/>
      </top>
      <bottom style="thin">
        <color rgb="FFEDF5FF"/>
      </bottom>
    </border>
    <border>
      <left style="thick">
        <color rgb="FF000000"/>
      </left>
      <top style="thick">
        <color rgb="FF000000"/>
      </top>
      <bottom style="thin">
        <color rgb="FFF0EDFF"/>
      </bottom>
    </border>
    <border>
      <top style="thick">
        <color rgb="FF000000"/>
      </top>
      <bottom style="thin">
        <color rgb="FFF0EDFF"/>
      </bottom>
    </border>
    <border>
      <right style="thick">
        <color rgb="FF000000"/>
      </right>
      <top style="thick">
        <color rgb="FF000000"/>
      </top>
      <bottom style="thin">
        <color rgb="FFF0EDFF"/>
      </bottom>
    </border>
    <border>
      <left style="thick">
        <color rgb="FF000000"/>
      </left>
      <top style="thin">
        <color rgb="FFEDF5FF"/>
      </top>
      <bottom style="thin">
        <color rgb="FF000000"/>
      </bottom>
    </border>
    <border>
      <right style="thin">
        <color rgb="FFEDF5FF"/>
      </right>
      <top style="thin">
        <color rgb="FFEDF5FF"/>
      </top>
      <bottom style="thin">
        <color rgb="FF000000"/>
      </bottom>
    </border>
    <border>
      <left style="thin">
        <color rgb="FFEDF5FF"/>
      </left>
      <right style="thin">
        <color rgb="FFEDF5FF"/>
      </right>
      <top style="thin">
        <color rgb="FFEDF5FF"/>
      </top>
      <bottom style="thin">
        <color rgb="FF000000"/>
      </bottom>
    </border>
    <border>
      <left style="thin">
        <color rgb="FFEDF5FF"/>
      </left>
      <top style="thin">
        <color rgb="FFEDF5FF"/>
      </top>
      <bottom style="thin">
        <color rgb="FF000000"/>
      </bottom>
    </border>
    <border>
      <right style="thick">
        <color rgb="FF000000"/>
      </right>
      <top style="thin">
        <color rgb="FFEDF5FF"/>
      </top>
      <bottom style="thin">
        <color rgb="FF000000"/>
      </bottom>
    </border>
    <border>
      <left style="thick">
        <color rgb="FF000000"/>
      </left>
      <top style="thin">
        <color rgb="FFF0EDFF"/>
      </top>
      <bottom style="thin">
        <color rgb="FF000000"/>
      </bottom>
    </border>
    <border>
      <right style="thin">
        <color rgb="FFF0EDFF"/>
      </right>
      <top style="thin">
        <color rgb="FFF0EDFF"/>
      </top>
      <bottom style="thin">
        <color rgb="FF000000"/>
      </bottom>
    </border>
    <border>
      <left style="thin">
        <color rgb="FFF0EDFF"/>
      </left>
      <right style="thin">
        <color rgb="FFF0EDFF"/>
      </right>
      <top style="thin">
        <color rgb="FFF0EDFF"/>
      </top>
      <bottom style="thin">
        <color rgb="FF000000"/>
      </bottom>
    </border>
    <border>
      <left style="thin">
        <color rgb="FFF0EDFF"/>
      </left>
      <top style="thin">
        <color rgb="FFF0EDFF"/>
      </top>
      <bottom style="thin">
        <color rgb="FF000000"/>
      </bottom>
    </border>
    <border>
      <right style="thick">
        <color rgb="FF000000"/>
      </right>
      <top style="thin">
        <color rgb="FFF0EDFF"/>
      </top>
      <bottom style="thin">
        <color rgb="FF000000"/>
      </bottom>
    </border>
    <border>
      <left style="thick">
        <color rgb="FF000000"/>
      </left>
      <right style="thin">
        <color rgb="FFEDF5FF"/>
      </right>
    </border>
    <border>
      <left style="thin">
        <color rgb="FFEDF5FF"/>
      </left>
      <right style="thin">
        <color rgb="FFEDF5FF"/>
      </right>
    </border>
    <border>
      <left style="thin">
        <color rgb="FFEDF5FF"/>
      </left>
      <right style="thick">
        <color rgb="FF000000"/>
      </right>
    </border>
    <border>
      <left style="thick">
        <color rgb="FF000000"/>
      </left>
      <right style="thin">
        <color rgb="FFF0EDFF"/>
      </right>
    </border>
    <border>
      <left style="thin">
        <color rgb="FFF0EDFF"/>
      </left>
      <right style="thin">
        <color rgb="FFF0EDFF"/>
      </right>
    </border>
    <border>
      <left style="thin">
        <color rgb="FFF0EDFF"/>
      </left>
      <right style="thick">
        <color rgb="FF000000"/>
      </right>
    </border>
    <border>
      <left style="thick">
        <color rgb="FF000000"/>
      </left>
      <right style="thin">
        <color rgb="FFEDF5FF"/>
      </right>
      <bottom style="thick">
        <color rgb="FF000000"/>
      </bottom>
    </border>
    <border>
      <left style="thin">
        <color rgb="FFEDF5FF"/>
      </left>
      <right style="thin">
        <color rgb="FFEDF5FF"/>
      </right>
      <bottom style="thick">
        <color rgb="FF000000"/>
      </bottom>
    </border>
    <border>
      <left style="thin">
        <color rgb="FFEDF5FF"/>
      </left>
      <right style="thick">
        <color rgb="FF000000"/>
      </right>
      <bottom style="thick">
        <color rgb="FF000000"/>
      </bottom>
    </border>
    <border>
      <left style="thick">
        <color rgb="FF000000"/>
      </left>
      <right style="thin">
        <color rgb="FFF0EDFF"/>
      </right>
      <bottom style="thick">
        <color rgb="FF000000"/>
      </bottom>
    </border>
    <border>
      <left style="thin">
        <color rgb="FFF0EDFF"/>
      </left>
      <right style="thin">
        <color rgb="FFF0EDFF"/>
      </right>
      <bottom style="thick">
        <color rgb="FF000000"/>
      </bottom>
    </border>
    <border>
      <left style="thin">
        <color rgb="FFF0EDFF"/>
      </left>
      <right style="thick">
        <color rgb="FF000000"/>
      </right>
      <bottom style="thick">
        <color rgb="FF000000"/>
      </bottom>
    </border>
    <border>
      <left style="thick">
        <color rgb="FF000000"/>
      </left>
      <top style="thick">
        <color rgb="FF000000"/>
      </top>
      <bottom style="thin">
        <color rgb="FFFFEDFD"/>
      </bottom>
    </border>
    <border>
      <top style="thick">
        <color rgb="FF000000"/>
      </top>
      <bottom style="thin">
        <color rgb="FFFFEDFD"/>
      </bottom>
    </border>
    <border>
      <right style="thick">
        <color rgb="FF000000"/>
      </right>
      <top style="thick">
        <color rgb="FF000000"/>
      </top>
      <bottom style="thin">
        <color rgb="FFFFEDFD"/>
      </bottom>
    </border>
    <border>
      <left style="thick">
        <color rgb="FF000000"/>
      </left>
      <top style="thin">
        <color rgb="FFFFEDFD"/>
      </top>
      <bottom style="thin">
        <color rgb="FF000000"/>
      </bottom>
    </border>
    <border>
      <right style="thin">
        <color rgb="FFFFEDFD"/>
      </right>
      <top style="thin">
        <color rgb="FFFFEDFD"/>
      </top>
      <bottom style="thin">
        <color rgb="FF000000"/>
      </bottom>
    </border>
    <border>
      <left style="thin">
        <color rgb="FFFFEDFD"/>
      </left>
      <right style="thin">
        <color rgb="FFFFEDFD"/>
      </right>
      <top style="thin">
        <color rgb="FFFFEDFD"/>
      </top>
      <bottom style="thin">
        <color rgb="FF000000"/>
      </bottom>
    </border>
    <border>
      <left style="thin">
        <color rgb="FFFFEDFD"/>
      </left>
      <top style="thin">
        <color rgb="FFFFEDFD"/>
      </top>
      <bottom style="thin">
        <color rgb="FF000000"/>
      </bottom>
    </border>
    <border>
      <right style="thick">
        <color rgb="FF000000"/>
      </right>
      <top style="thin">
        <color rgb="FFFFEDFD"/>
      </top>
      <bottom style="thin">
        <color rgb="FF000000"/>
      </bottom>
    </border>
    <border>
      <left style="thick">
        <color rgb="FF000000"/>
      </left>
      <top style="thin">
        <color rgb="FFFFEDF3"/>
      </top>
      <bottom style="thin">
        <color rgb="FF000000"/>
      </bottom>
    </border>
    <border>
      <right style="thin">
        <color rgb="FFFFEDF3"/>
      </right>
      <top style="thin">
        <color rgb="FFFFEDF3"/>
      </top>
      <bottom style="thin">
        <color rgb="FF000000"/>
      </bottom>
    </border>
    <border>
      <left style="thin">
        <color rgb="FFFFEDF3"/>
      </left>
      <right style="thin">
        <color rgb="FFFFEDF3"/>
      </right>
      <top style="thin">
        <color rgb="FFFFEDF3"/>
      </top>
      <bottom style="thin">
        <color rgb="FF000000"/>
      </bottom>
    </border>
    <border>
      <left style="thin">
        <color rgb="FFFFEDF3"/>
      </left>
      <top style="thin">
        <color rgb="FFFFEDF3"/>
      </top>
      <bottom style="thin">
        <color rgb="FF000000"/>
      </bottom>
    </border>
    <border>
      <right style="thick">
        <color rgb="FF000000"/>
      </right>
      <top style="thin">
        <color rgb="FFFFEDF3"/>
      </top>
      <bottom style="thin">
        <color rgb="FF000000"/>
      </bottom>
    </border>
    <border>
      <left style="thick">
        <color rgb="FF000000"/>
      </left>
      <right style="thin">
        <color rgb="FFFFEDFD"/>
      </right>
    </border>
    <border>
      <left style="thin">
        <color rgb="FFFFEDFD"/>
      </left>
      <right style="thin">
        <color rgb="FFFFEDFD"/>
      </right>
    </border>
    <border>
      <left style="thin">
        <color rgb="FFFFEDFD"/>
      </left>
      <right style="thick">
        <color rgb="FF000000"/>
      </right>
    </border>
    <border>
      <left style="thick">
        <color rgb="FF000000"/>
      </left>
      <right style="thin">
        <color rgb="FFFFEDF3"/>
      </right>
    </border>
    <border>
      <left style="thin">
        <color rgb="FFFFEDF3"/>
      </left>
      <right style="thin">
        <color rgb="FFFFEDF3"/>
      </right>
    </border>
    <border>
      <left style="thin">
        <color rgb="FFFFEDF3"/>
      </left>
      <right style="thick">
        <color rgb="FF000000"/>
      </right>
    </border>
    <border>
      <left style="thick">
        <color rgb="FF000000"/>
      </left>
      <right style="thin">
        <color rgb="FFFFEDFD"/>
      </right>
      <bottom style="thick">
        <color rgb="FF000000"/>
      </bottom>
    </border>
    <border>
      <left style="thin">
        <color rgb="FFFFEDFD"/>
      </left>
      <right style="thin">
        <color rgb="FFFFEDFD"/>
      </right>
      <bottom style="thick">
        <color rgb="FF000000"/>
      </bottom>
    </border>
    <border>
      <left style="thin">
        <color rgb="FFFFEDFD"/>
      </left>
      <right style="thick">
        <color rgb="FF000000"/>
      </right>
      <bottom style="thick">
        <color rgb="FF000000"/>
      </bottom>
    </border>
    <border>
      <left style="thick">
        <color rgb="FF000000"/>
      </left>
      <right style="thin">
        <color rgb="FFFFEDF3"/>
      </right>
      <bottom style="thick">
        <color rgb="FF000000"/>
      </bottom>
    </border>
    <border>
      <left style="thin">
        <color rgb="FFFFEDF3"/>
      </left>
      <right style="thin">
        <color rgb="FFFFEDF3"/>
      </right>
      <bottom style="thick">
        <color rgb="FF000000"/>
      </bottom>
    </border>
    <border>
      <left style="thin">
        <color rgb="FFFFEDF3"/>
      </left>
      <right style="thick">
        <color rgb="FF000000"/>
      </right>
      <bottom style="thick">
        <color rgb="FF000000"/>
      </bottom>
    </border>
    <border>
      <left style="thick">
        <color rgb="FF000000"/>
      </left>
      <top style="thick">
        <color rgb="FF000000"/>
      </top>
      <bottom style="thin">
        <color rgb="FFFFE4E4"/>
      </bottom>
    </border>
    <border>
      <top style="thick">
        <color rgb="FF000000"/>
      </top>
      <bottom style="thin">
        <color rgb="FFFFE4E4"/>
      </bottom>
    </border>
    <border>
      <right style="thick">
        <color rgb="FF000000"/>
      </right>
      <top style="thick">
        <color rgb="FF000000"/>
      </top>
      <bottom style="thin">
        <color rgb="FFFFE4E4"/>
      </bottom>
    </border>
    <border>
      <left style="thick">
        <color rgb="FF000000"/>
      </left>
      <top style="thin">
        <color rgb="FFFFE4E4"/>
      </top>
      <bottom style="thin">
        <color rgb="FF000000"/>
      </bottom>
    </border>
    <border>
      <right style="thin">
        <color rgb="FFFFE4E4"/>
      </right>
      <top style="thin">
        <color rgb="FFFFE4E4"/>
      </top>
      <bottom style="thin">
        <color rgb="FF000000"/>
      </bottom>
    </border>
    <border>
      <left style="thin">
        <color rgb="FFFFE4E4"/>
      </left>
      <right style="thin">
        <color rgb="FFFFE4E4"/>
      </right>
      <top style="thin">
        <color rgb="FFFFE4E4"/>
      </top>
      <bottom style="thin">
        <color rgb="FF000000"/>
      </bottom>
    </border>
    <border>
      <left style="thin">
        <color rgb="FFFFE4E4"/>
      </left>
      <top style="thin">
        <color rgb="FFFFE4E4"/>
      </top>
      <bottom style="thin">
        <color rgb="FF000000"/>
      </bottom>
    </border>
    <border>
      <right style="thick">
        <color rgb="FF000000"/>
      </right>
      <top style="thin">
        <color rgb="FFFFE4E4"/>
      </top>
      <bottom style="thin">
        <color rgb="FF000000"/>
      </bottom>
    </border>
    <border>
      <left style="thick">
        <color rgb="FF000000"/>
      </left>
      <right style="thin">
        <color rgb="FFFFE4E4"/>
      </right>
    </border>
    <border>
      <left style="thin">
        <color rgb="FFFFE4E4"/>
      </left>
      <right style="thin">
        <color rgb="FFFFE4E4"/>
      </right>
    </border>
    <border>
      <left style="thin">
        <color rgb="FFFFE4E4"/>
      </left>
      <right style="thick">
        <color rgb="FF000000"/>
      </right>
    </border>
    <border>
      <left style="thick">
        <color rgb="FF000000"/>
      </left>
      <right style="thin">
        <color rgb="FFFFE4E4"/>
      </right>
      <bottom style="thick">
        <color rgb="FF000000"/>
      </bottom>
    </border>
    <border>
      <left style="thin">
        <color rgb="FFFFE4E4"/>
      </left>
      <right style="thin">
        <color rgb="FFFFE4E4"/>
      </right>
      <bottom style="thick">
        <color rgb="FF000000"/>
      </bottom>
    </border>
    <border>
      <left style="thin">
        <color rgb="FFFFE4E4"/>
      </left>
      <right style="thick">
        <color rgb="FF000000"/>
      </right>
      <bottom style="thick">
        <color rgb="FF000000"/>
      </bottom>
    </border>
    <border>
      <left style="thick">
        <color rgb="FFFF00BC"/>
      </left>
      <right style="thin">
        <color rgb="FFEFEFEF"/>
      </right>
      <top style="thin">
        <color rgb="FFEFEFEF"/>
      </top>
      <bottom style="thick">
        <color rgb="FFFF00BC"/>
      </bottom>
    </border>
    <border>
      <left style="thin">
        <color rgb="FFEFEFEF"/>
      </left>
      <top style="thin">
        <color rgb="FFEFEFEF"/>
      </top>
      <bottom style="thick">
        <color rgb="FFFF00BC"/>
      </bottom>
    </border>
    <border>
      <left style="thin">
        <color rgb="FFEFEFEF"/>
      </left>
      <right style="thick">
        <color rgb="FFFF00BC"/>
      </right>
      <top style="thin">
        <color rgb="FFEFEFEF"/>
      </top>
      <bottom style="thick">
        <color rgb="FFFF00BC"/>
      </bottom>
    </border>
    <border>
      <right style="thin">
        <color rgb="FFFF4545"/>
      </right>
      <bottom style="medium">
        <color rgb="FFFF4545"/>
      </bottom>
    </border>
    <border>
      <left style="thin">
        <color rgb="FFFF4545"/>
      </left>
      <right style="thin">
        <color rgb="FFFF4545"/>
      </right>
      <bottom style="medium">
        <color rgb="FFFF4545"/>
      </bottom>
    </border>
    <border>
      <top style="medium">
        <color rgb="FFFF4545"/>
      </top>
    </border>
    <border>
      <left style="thin">
        <color rgb="FFFF4545"/>
      </left>
      <right style="thin">
        <color rgb="FFFF4545"/>
      </right>
      <top style="thin">
        <color rgb="FF3E3A3A"/>
      </top>
      <bottom style="medium">
        <color rgb="FFFF4545"/>
      </bottom>
    </border>
    <border>
      <left style="thin">
        <color rgb="FFFF4545"/>
      </left>
      <bottom style="medium">
        <color rgb="FFFF4545"/>
      </bottom>
    </border>
    <border>
      <left style="thin">
        <color rgb="FF3E3A3A"/>
      </left>
      <right style="thin">
        <color rgb="FF3E3A3A"/>
      </right>
    </border>
    <border>
      <left style="thick">
        <color rgb="FFFF3100"/>
      </left>
      <right style="thin">
        <color rgb="FFEFEFEF"/>
      </right>
      <top style="thick">
        <color rgb="FFFF3100"/>
      </top>
      <bottom style="thin">
        <color rgb="FFEFEFEF"/>
      </bottom>
    </border>
    <border>
      <left style="thin">
        <color rgb="FFEFEFEF"/>
      </left>
      <right style="thin">
        <color rgb="FFEFEFEF"/>
      </right>
      <top style="thick">
        <color rgb="FFFF3100"/>
      </top>
    </border>
    <border>
      <left style="thin">
        <color rgb="FFEFEFEF"/>
      </left>
      <right style="thick">
        <color rgb="FFFF3100"/>
      </right>
      <top style="thick">
        <color rgb="FFFF3100"/>
      </top>
      <bottom style="thin">
        <color rgb="FFEFEFEF"/>
      </bottom>
    </border>
    <border>
      <left style="thick">
        <color rgb="FFFF3100"/>
      </left>
      <top style="thin">
        <color rgb="FFEFEFEF"/>
      </top>
      <bottom style="thin">
        <color rgb="FFEFEFEF"/>
      </bottom>
    </border>
    <border>
      <left style="thick">
        <color rgb="FF000000"/>
      </left>
      <top style="thick">
        <color rgb="FF000000"/>
      </top>
      <bottom style="thin">
        <color rgb="FFEDF6FF"/>
      </bottom>
    </border>
    <border>
      <top style="thick">
        <color rgb="FF000000"/>
      </top>
      <bottom style="thin">
        <color rgb="FFEDF6FF"/>
      </bottom>
    </border>
    <border>
      <right style="thick">
        <color rgb="FF000000"/>
      </right>
      <top style="thick">
        <color rgb="FF000000"/>
      </top>
      <bottom style="thin">
        <color rgb="FFEDF6FF"/>
      </bottom>
    </border>
    <border>
      <right style="thick">
        <color rgb="FFFF3100"/>
      </right>
      <top style="thin">
        <color rgb="FFEFEFEF"/>
      </top>
      <bottom style="thin">
        <color rgb="FFEFEFEF"/>
      </bottom>
    </border>
    <border>
      <left style="thick">
        <color rgb="FF000000"/>
      </left>
      <top style="thin">
        <color rgb="FFEDF6FF"/>
      </top>
      <bottom style="thin">
        <color rgb="FF000000"/>
      </bottom>
    </border>
    <border>
      <right style="thin">
        <color rgb="FFEDF6FF"/>
      </right>
      <top style="thin">
        <color rgb="FFEDF6FF"/>
      </top>
      <bottom style="thin">
        <color rgb="FF000000"/>
      </bottom>
    </border>
    <border>
      <left style="thin">
        <color rgb="FFEDF6FF"/>
      </left>
      <top style="thin">
        <color rgb="FFEDF6FF"/>
      </top>
      <bottom style="thin">
        <color rgb="FF000000"/>
      </bottom>
    </border>
    <border>
      <top style="thin">
        <color rgb="FFEDF6FF"/>
      </top>
      <bottom style="thin">
        <color rgb="FF000000"/>
      </bottom>
    </border>
    <border>
      <right style="thick">
        <color rgb="FF000000"/>
      </right>
      <top style="thin">
        <color rgb="FFEDF6FF"/>
      </top>
      <bottom style="thin">
        <color rgb="FF000000"/>
      </bottom>
    </border>
    <border>
      <left style="thick">
        <color rgb="FF000000"/>
      </left>
      <right style="thin">
        <color rgb="FFDAEEFF"/>
      </right>
      <bottom style="thick">
        <color rgb="FF000000"/>
      </bottom>
    </border>
    <border>
      <left style="thin">
        <color rgb="FFDAEEFF"/>
      </left>
      <right style="thin">
        <color rgb="FFDAEEFF"/>
      </right>
      <bottom style="thick">
        <color rgb="FF000000"/>
      </bottom>
    </border>
    <border>
      <left style="thin">
        <color rgb="FFDAEEFF"/>
      </left>
      <bottom style="thick">
        <color rgb="FF000000"/>
      </bottom>
    </border>
    <border>
      <right style="thin">
        <color rgb="FFDAEEFF"/>
      </right>
      <bottom style="thick">
        <color rgb="FF000000"/>
      </bottom>
    </border>
    <border>
      <left style="thick">
        <color rgb="FFFF3100"/>
      </left>
      <right style="thin">
        <color rgb="FFEFEFEF"/>
      </right>
      <top style="thin">
        <color rgb="FFEFEFEF"/>
      </top>
      <bottom style="thin">
        <color rgb="FFEFEFEF"/>
      </bottom>
    </border>
    <border>
      <left style="thin">
        <color rgb="FFEFEFEF"/>
      </left>
      <right style="thick">
        <color rgb="FFFF3100"/>
      </right>
      <top style="thin">
        <color rgb="FFEFEFEF"/>
      </top>
      <bottom style="thin">
        <color rgb="FFEFEFEF"/>
      </bottom>
    </border>
    <border>
      <left style="thick">
        <color rgb="FF000000"/>
      </left>
      <top style="thick">
        <color rgb="FF000000"/>
      </top>
      <bottom style="thin">
        <color rgb="FFFFF7F0"/>
      </bottom>
    </border>
    <border>
      <top style="thick">
        <color rgb="FF000000"/>
      </top>
      <bottom style="thin">
        <color rgb="FFFFF7F0"/>
      </bottom>
    </border>
    <border>
      <right style="thick">
        <color rgb="FF000000"/>
      </right>
      <top style="thick">
        <color rgb="FF000000"/>
      </top>
      <bottom style="thin">
        <color rgb="FFFFF7F0"/>
      </bottom>
    </border>
    <border>
      <left style="thick">
        <color rgb="FF000000"/>
      </left>
      <top style="thin">
        <color rgb="FFFFF7F0"/>
      </top>
      <bottom style="thin">
        <color rgb="FF000000"/>
      </bottom>
    </border>
    <border>
      <right style="thin">
        <color rgb="FFFFF7F0"/>
      </right>
      <top style="thin">
        <color rgb="FFFFF7F0"/>
      </top>
      <bottom style="thin">
        <color rgb="FF000000"/>
      </bottom>
    </border>
    <border>
      <left style="thin">
        <color rgb="FFFFF7F0"/>
      </left>
      <top style="thin">
        <color rgb="FFFFF7F0"/>
      </top>
      <bottom style="thin">
        <color rgb="FF000000"/>
      </bottom>
    </border>
    <border>
      <top style="thin">
        <color rgb="FFFFF7F0"/>
      </top>
      <bottom style="thin">
        <color rgb="FF000000"/>
      </bottom>
    </border>
    <border>
      <right style="thick">
        <color rgb="FF000000"/>
      </right>
      <top style="thin">
        <color rgb="FFFFF7F0"/>
      </top>
      <bottom style="thin">
        <color rgb="FF000000"/>
      </bottom>
    </border>
    <border>
      <left style="thick">
        <color rgb="FF000000"/>
      </left>
      <right style="thin">
        <color rgb="FFF7EDE4"/>
      </right>
      <bottom style="thick">
        <color rgb="FF000000"/>
      </bottom>
    </border>
    <border>
      <left style="thin">
        <color rgb="FFF7EDE4"/>
      </left>
      <right style="thin">
        <color rgb="FFF7EDE4"/>
      </right>
      <bottom style="thick">
        <color rgb="FF000000"/>
      </bottom>
    </border>
    <border>
      <left style="thin">
        <color rgb="FFF7EDE4"/>
      </left>
      <bottom style="thick">
        <color rgb="FF000000"/>
      </bottom>
    </border>
    <border>
      <right style="thin">
        <color rgb="FFF7EDE4"/>
      </right>
      <bottom style="thick">
        <color rgb="FF000000"/>
      </bottom>
    </border>
    <border>
      <left style="thick">
        <color rgb="FF000000"/>
      </left>
      <top style="thin">
        <color rgb="FFEFEFEF"/>
      </top>
      <bottom style="thin">
        <color rgb="FF000000"/>
      </bottom>
    </border>
    <border>
      <right style="thin">
        <color rgb="FFEFEFEF"/>
      </right>
      <top style="thin">
        <color rgb="FFEFEFEF"/>
      </top>
      <bottom style="thin">
        <color rgb="FF000000"/>
      </bottom>
    </border>
    <border>
      <right style="thick">
        <color rgb="FF000000"/>
      </right>
      <top style="thin">
        <color rgb="FFEFEFEF"/>
      </top>
      <bottom style="thin">
        <color rgb="FF000000"/>
      </bottom>
    </border>
    <border>
      <left style="thick">
        <color rgb="FF000000"/>
      </left>
      <right style="thin">
        <color rgb="FFD9D9D9"/>
      </right>
      <bottom style="thin">
        <color rgb="FFD9D9D9"/>
      </bottom>
    </border>
    <border>
      <left style="thin">
        <color rgb="FFD9D9D9"/>
      </left>
      <right style="thin">
        <color rgb="FFD9D9D9"/>
      </right>
      <bottom style="thin">
        <color rgb="FFD9D9D9"/>
      </bottom>
    </border>
    <border>
      <left style="thin">
        <color rgb="FFD9D9D9"/>
      </left>
      <top style="thin">
        <color rgb="FFF7EDE4"/>
      </top>
    </border>
    <border>
      <top style="thin">
        <color rgb="FFF7EDE4"/>
      </top>
    </border>
    <border>
      <right style="thin">
        <color rgb="FFD9D9D9"/>
      </right>
      <top style="thin">
        <color rgb="FFF7EDE4"/>
      </top>
    </border>
    <border>
      <right style="thick">
        <color rgb="FF000000"/>
      </right>
      <top style="thin">
        <color rgb="FFF7EDE4"/>
      </top>
    </border>
    <border>
      <left style="thick">
        <color rgb="FF000000"/>
      </left>
      <right style="thin">
        <color rgb="FFD9D9D9"/>
      </right>
      <top style="thin">
        <color rgb="FFD9D9D9"/>
      </top>
      <bottom style="thick">
        <color rgb="FF000000"/>
      </bottom>
    </border>
    <border>
      <left style="thin">
        <color rgb="FFD9D9D9"/>
      </left>
      <right style="thin">
        <color rgb="FFD9D9D9"/>
      </right>
      <top style="thin">
        <color rgb="FFD9D9D9"/>
      </top>
      <bottom style="thick">
        <color rgb="FF000000"/>
      </bottom>
    </border>
    <border>
      <left style="thin">
        <color rgb="FFD9D9D9"/>
      </left>
      <bottom style="thick">
        <color rgb="FF000000"/>
      </bottom>
    </border>
    <border>
      <right style="thin">
        <color rgb="FFD9D9D9"/>
      </right>
      <bottom style="thick">
        <color rgb="FF000000"/>
      </bottom>
    </border>
    <border>
      <left style="thick">
        <color rgb="FF000000"/>
      </left>
      <top style="thick">
        <color rgb="FF000000"/>
      </top>
      <bottom style="thin">
        <color rgb="FFF0FFF3"/>
      </bottom>
    </border>
    <border>
      <top style="thick">
        <color rgb="FF000000"/>
      </top>
      <bottom style="thin">
        <color rgb="FFF0FFF3"/>
      </bottom>
    </border>
    <border>
      <right style="thick">
        <color rgb="FF000000"/>
      </right>
      <top style="thick">
        <color rgb="FF000000"/>
      </top>
      <bottom style="thin">
        <color rgb="FFF0FFF3"/>
      </bottom>
    </border>
    <border>
      <left style="thick">
        <color rgb="FF000000"/>
      </left>
      <top style="thin">
        <color rgb="FFF0FFF3"/>
      </top>
      <bottom style="thin">
        <color rgb="FF000000"/>
      </bottom>
    </border>
    <border>
      <right style="thin">
        <color rgb="FFF0FFF3"/>
      </right>
      <top style="thin">
        <color rgb="FFF0FFF3"/>
      </top>
      <bottom style="thin">
        <color rgb="FF000000"/>
      </bottom>
    </border>
    <border>
      <left style="thin">
        <color rgb="FFF0FFF3"/>
      </left>
      <top style="thin">
        <color rgb="FFF0FFF3"/>
      </top>
      <bottom style="thin">
        <color rgb="FF000000"/>
      </bottom>
    </border>
    <border>
      <top style="thin">
        <color rgb="FFF0FFF3"/>
      </top>
      <bottom style="thin">
        <color rgb="FF000000"/>
      </bottom>
    </border>
    <border>
      <right style="thick">
        <color rgb="FF000000"/>
      </right>
      <top style="thin">
        <color rgb="FFF0FFF3"/>
      </top>
      <bottom style="thin">
        <color rgb="FF000000"/>
      </bottom>
    </border>
    <border>
      <left style="thick">
        <color rgb="FF000000"/>
      </left>
      <right style="thin">
        <color rgb="FFDBF6E0"/>
      </right>
      <bottom style="thick">
        <color rgb="FF000000"/>
      </bottom>
    </border>
    <border>
      <left style="thin">
        <color rgb="FFDBF6E0"/>
      </left>
      <right style="thin">
        <color rgb="FFDBF6E0"/>
      </right>
      <bottom style="thick">
        <color rgb="FF000000"/>
      </bottom>
    </border>
    <border>
      <left style="thin">
        <color rgb="FFDBF6E0"/>
      </left>
      <bottom style="thick">
        <color rgb="FF000000"/>
      </bottom>
    </border>
    <border>
      <right style="thin">
        <color rgb="FFDBF6E0"/>
      </right>
      <bottom style="thick">
        <color rgb="FF000000"/>
      </bottom>
    </border>
    <border>
      <left style="thick">
        <color rgb="FF000000"/>
      </left>
      <top style="thick">
        <color rgb="FF000000"/>
      </top>
      <bottom style="thin">
        <color rgb="FFFFF0F0"/>
      </bottom>
    </border>
    <border>
      <top style="thick">
        <color rgb="FF000000"/>
      </top>
      <bottom style="thin">
        <color rgb="FFFFF0F0"/>
      </bottom>
    </border>
    <border>
      <right style="thick">
        <color rgb="FF000000"/>
      </right>
      <top style="thick">
        <color rgb="FF000000"/>
      </top>
      <bottom style="thin">
        <color rgb="FFFFF0F0"/>
      </bottom>
    </border>
    <border>
      <left style="thick">
        <color rgb="FF000000"/>
      </left>
      <top style="thin">
        <color rgb="FFFFF0F0"/>
      </top>
      <bottom style="thin">
        <color rgb="FF000000"/>
      </bottom>
    </border>
    <border>
      <right style="thin">
        <color rgb="FFFFF0F0"/>
      </right>
      <top style="thin">
        <color rgb="FFFFF0F0"/>
      </top>
      <bottom style="thin">
        <color rgb="FF000000"/>
      </bottom>
    </border>
    <border>
      <left style="thin">
        <color rgb="FFFFF0F0"/>
      </left>
      <top style="thin">
        <color rgb="FFFFF0F0"/>
      </top>
      <bottom style="thin">
        <color rgb="FF000000"/>
      </bottom>
    </border>
    <border>
      <top style="thin">
        <color rgb="FFFFF0F0"/>
      </top>
      <bottom style="thin">
        <color rgb="FF000000"/>
      </bottom>
    </border>
    <border>
      <right style="thick">
        <color rgb="FF000000"/>
      </right>
      <top style="thin">
        <color rgb="FFFFF0F0"/>
      </top>
      <bottom style="thin">
        <color rgb="FF000000"/>
      </bottom>
    </border>
    <border>
      <left style="thick">
        <color rgb="FF000000"/>
      </left>
      <right style="thin">
        <color rgb="FFF6E1DB"/>
      </right>
      <bottom style="thick">
        <color rgb="FF000000"/>
      </bottom>
    </border>
    <border>
      <left style="thin">
        <color rgb="FFF6E1DB"/>
      </left>
      <right style="thin">
        <color rgb="FFF6E1DB"/>
      </right>
      <bottom style="thick">
        <color rgb="FF000000"/>
      </bottom>
    </border>
    <border>
      <left style="thin">
        <color rgb="FFF6E1DB"/>
      </left>
      <bottom style="thick">
        <color rgb="FF000000"/>
      </bottom>
    </border>
    <border>
      <right style="thin">
        <color rgb="FFF6E1DB"/>
      </right>
      <bottom style="thick">
        <color rgb="FF000000"/>
      </bottom>
    </border>
    <border>
      <left style="thick">
        <color rgb="FF000000"/>
      </left>
      <top style="thick">
        <color rgb="FF000000"/>
      </top>
      <bottom style="thin">
        <color rgb="FFECE3FF"/>
      </bottom>
    </border>
    <border>
      <top style="thick">
        <color rgb="FF000000"/>
      </top>
      <bottom style="thin">
        <color rgb="FFECE3FF"/>
      </bottom>
    </border>
    <border>
      <right style="thick">
        <color rgb="FF000000"/>
      </right>
      <top style="thick">
        <color rgb="FF000000"/>
      </top>
      <bottom style="thin">
        <color rgb="FFECE3FF"/>
      </bottom>
    </border>
    <border>
      <left style="thick">
        <color rgb="FF000000"/>
      </left>
      <top style="thin">
        <color rgb="FFECE3FF"/>
      </top>
      <bottom style="thin">
        <color rgb="FF000000"/>
      </bottom>
    </border>
    <border>
      <right style="thin">
        <color rgb="FFECE3FF"/>
      </right>
      <top style="thin">
        <color rgb="FFECE3FF"/>
      </top>
      <bottom style="thin">
        <color rgb="FF000000"/>
      </bottom>
    </border>
    <border>
      <left style="thin">
        <color rgb="FFECE3FF"/>
      </left>
      <top style="thin">
        <color rgb="FFECE3FF"/>
      </top>
      <bottom style="thin">
        <color rgb="FF000000"/>
      </bottom>
    </border>
    <border>
      <top style="thin">
        <color rgb="FFECE3FF"/>
      </top>
      <bottom style="thin">
        <color rgb="FF000000"/>
      </bottom>
    </border>
    <border>
      <right style="thick">
        <color rgb="FF000000"/>
      </right>
      <top style="thin">
        <color rgb="FFECE3FF"/>
      </top>
      <bottom style="thin">
        <color rgb="FF000000"/>
      </bottom>
    </border>
    <border>
      <left style="thick">
        <color rgb="FF000000"/>
      </left>
      <right style="thin">
        <color rgb="FFDDD3F2"/>
      </right>
      <bottom style="thick">
        <color rgb="FF000000"/>
      </bottom>
    </border>
    <border>
      <left style="thin">
        <color rgb="FFDDD3F2"/>
      </left>
      <right style="thin">
        <color rgb="FFDDD3F2"/>
      </right>
      <bottom style="thick">
        <color rgb="FF000000"/>
      </bottom>
    </border>
    <border>
      <left style="thin">
        <color rgb="FFDDD3F2"/>
      </left>
      <bottom style="thick">
        <color rgb="FF000000"/>
      </bottom>
    </border>
    <border>
      <right style="thin">
        <color rgb="FFDDD3F2"/>
      </right>
      <bottom style="thick">
        <color rgb="FF000000"/>
      </bottom>
    </border>
    <border>
      <left style="thick">
        <color rgb="FF000000"/>
      </left>
      <top style="thick">
        <color rgb="FF000000"/>
      </top>
      <bottom style="thin">
        <color rgb="FFF7F0FF"/>
      </bottom>
    </border>
    <border>
      <top style="thick">
        <color rgb="FF000000"/>
      </top>
      <bottom style="thin">
        <color rgb="FFF7F0FF"/>
      </bottom>
    </border>
    <border>
      <right style="thick">
        <color rgb="FF000000"/>
      </right>
      <top style="thick">
        <color rgb="FF000000"/>
      </top>
      <bottom style="thin">
        <color rgb="FFF7F0FF"/>
      </bottom>
    </border>
    <border>
      <left style="thick">
        <color rgb="FF000000"/>
      </left>
      <top style="thin">
        <color rgb="FFF7F0FF"/>
      </top>
      <bottom style="thin">
        <color rgb="FF000000"/>
      </bottom>
    </border>
    <border>
      <right style="thin">
        <color rgb="FFF7F0FF"/>
      </right>
      <top style="thin">
        <color rgb="FFF7F0FF"/>
      </top>
      <bottom style="thin">
        <color rgb="FF000000"/>
      </bottom>
    </border>
    <border>
      <left style="thin">
        <color rgb="FFF7F0FF"/>
      </left>
      <top style="thin">
        <color rgb="FFF7F0FF"/>
      </top>
      <bottom style="thin">
        <color rgb="FF000000"/>
      </bottom>
    </border>
    <border>
      <top style="thin">
        <color rgb="FFF7F0FF"/>
      </top>
      <bottom style="thin">
        <color rgb="FF000000"/>
      </bottom>
    </border>
    <border>
      <right style="thick">
        <color rgb="FF000000"/>
      </right>
      <top style="thin">
        <color rgb="FFF7F0FF"/>
      </top>
      <bottom style="thin">
        <color rgb="FF000000"/>
      </bottom>
    </border>
    <border>
      <left style="thick">
        <color rgb="FF000000"/>
      </left>
      <right style="thin">
        <color rgb="FFFBE0E9"/>
      </right>
      <bottom style="thick">
        <color rgb="FF000000"/>
      </bottom>
    </border>
    <border>
      <left style="thin">
        <color rgb="FFFBE0E9"/>
      </left>
      <right style="thin">
        <color rgb="FFFBE0E9"/>
      </right>
      <bottom style="thick">
        <color rgb="FF000000"/>
      </bottom>
    </border>
    <border>
      <left style="thin">
        <color rgb="FFFBE0E9"/>
      </left>
      <bottom style="thick">
        <color rgb="FF000000"/>
      </bottom>
    </border>
    <border>
      <right style="thin">
        <color rgb="FFFBE0E9"/>
      </right>
      <bottom style="thick">
        <color rgb="FF000000"/>
      </bottom>
    </border>
    <border>
      <top style="thin">
        <color rgb="FFFFF6ED"/>
      </top>
      <bottom style="thin">
        <color rgb="FF000000"/>
      </bottom>
    </border>
    <border>
      <left style="thick">
        <color rgb="FF000000"/>
      </left>
      <right style="thin">
        <color rgb="FFF9F4D9"/>
      </right>
      <bottom style="thick">
        <color rgb="FF000000"/>
      </bottom>
    </border>
    <border>
      <left style="thin">
        <color rgb="FFF9F4D9"/>
      </left>
      <right style="thin">
        <color rgb="FFF9F4D9"/>
      </right>
      <bottom style="thick">
        <color rgb="FF000000"/>
      </bottom>
    </border>
    <border>
      <left style="thin">
        <color rgb="FFF9F4D9"/>
      </left>
      <bottom style="thick">
        <color rgb="FF000000"/>
      </bottom>
    </border>
    <border>
      <right style="thin">
        <color rgb="FFF9F4D9"/>
      </right>
      <bottom style="thick">
        <color rgb="FF000000"/>
      </bottom>
    </border>
    <border>
      <left style="thick">
        <color rgb="FF000000"/>
      </left>
      <top style="thick">
        <color rgb="FF000000"/>
      </top>
      <bottom style="thin">
        <color rgb="FFFAFFF0"/>
      </bottom>
    </border>
    <border>
      <top style="thick">
        <color rgb="FF000000"/>
      </top>
      <bottom style="thin">
        <color rgb="FFFAFFF0"/>
      </bottom>
    </border>
    <border>
      <right style="thick">
        <color rgb="FF000000"/>
      </right>
      <top style="thick">
        <color rgb="FF000000"/>
      </top>
      <bottom style="thin">
        <color rgb="FFFAFFF0"/>
      </bottom>
    </border>
    <border>
      <left style="thick">
        <color rgb="FF000000"/>
      </left>
      <top style="thin">
        <color rgb="FFFAFFF0"/>
      </top>
      <bottom style="thin">
        <color rgb="FF000000"/>
      </bottom>
    </border>
    <border>
      <right style="thin">
        <color rgb="FFFAFFF0"/>
      </right>
      <top style="thin">
        <color rgb="FFFAFFF0"/>
      </top>
      <bottom style="thin">
        <color rgb="FF000000"/>
      </bottom>
    </border>
    <border>
      <left style="thin">
        <color rgb="FFFAFFF0"/>
      </left>
      <top style="thin">
        <color rgb="FFFAFFF0"/>
      </top>
      <bottom style="thin">
        <color rgb="FF000000"/>
      </bottom>
    </border>
    <border>
      <top style="thin">
        <color rgb="FFFAFFF0"/>
      </top>
      <bottom style="thin">
        <color rgb="FF000000"/>
      </bottom>
    </border>
    <border>
      <right style="thick">
        <color rgb="FF000000"/>
      </right>
      <top style="thin">
        <color rgb="FFFAFFF0"/>
      </top>
      <bottom style="thin">
        <color rgb="FF000000"/>
      </bottom>
    </border>
    <border>
      <left style="thick">
        <color rgb="FF000000"/>
      </left>
      <right style="thin">
        <color rgb="FFF1FBDE"/>
      </right>
      <bottom style="thick">
        <color rgb="FF000000"/>
      </bottom>
    </border>
    <border>
      <left style="thin">
        <color rgb="FFF1FBDE"/>
      </left>
      <right style="thin">
        <color rgb="FFF1FBDE"/>
      </right>
      <bottom style="thick">
        <color rgb="FF000000"/>
      </bottom>
    </border>
    <border>
      <left style="thin">
        <color rgb="FFF1FBDE"/>
      </left>
      <bottom style="thick">
        <color rgb="FF000000"/>
      </bottom>
    </border>
    <border>
      <right style="thin">
        <color rgb="FFF1FBDE"/>
      </right>
      <bottom style="thick">
        <color rgb="FF000000"/>
      </bottom>
    </border>
    <border>
      <left style="thick">
        <color rgb="FF000000"/>
      </left>
      <top style="thick">
        <color rgb="FF000000"/>
      </top>
      <bottom style="thin">
        <color rgb="FFF0FAFF"/>
      </bottom>
    </border>
    <border>
      <top style="thick">
        <color rgb="FF000000"/>
      </top>
      <bottom style="thin">
        <color rgb="FFF0FAFF"/>
      </bottom>
    </border>
    <border>
      <right style="thick">
        <color rgb="FF000000"/>
      </right>
      <top style="thick">
        <color rgb="FF000000"/>
      </top>
      <bottom style="thin">
        <color rgb="FFF0FAFF"/>
      </bottom>
    </border>
    <border>
      <left style="thick">
        <color rgb="FF000000"/>
      </left>
      <top style="thin">
        <color rgb="FFF0FAFF"/>
      </top>
      <bottom style="thin">
        <color rgb="FF000000"/>
      </bottom>
    </border>
    <border>
      <right style="thin">
        <color rgb="FFF0FAFF"/>
      </right>
      <top style="thin">
        <color rgb="FFF0FAFF"/>
      </top>
      <bottom style="thin">
        <color rgb="FF000000"/>
      </bottom>
    </border>
    <border>
      <left style="thin">
        <color rgb="FFF0FAFF"/>
      </left>
      <top style="thin">
        <color rgb="FFF0FAFF"/>
      </top>
      <bottom style="thin">
        <color rgb="FF000000"/>
      </bottom>
    </border>
    <border>
      <top style="thin">
        <color rgb="FFF0FAFF"/>
      </top>
      <bottom style="thin">
        <color rgb="FF000000"/>
      </bottom>
    </border>
    <border>
      <right style="thick">
        <color rgb="FF000000"/>
      </right>
      <top style="thin">
        <color rgb="FFF0FAFF"/>
      </top>
      <bottom style="thin">
        <color rgb="FF000000"/>
      </bottom>
    </border>
    <border>
      <left style="thick">
        <color rgb="FF000000"/>
      </left>
      <right style="thin">
        <color rgb="FFDCEEF7"/>
      </right>
      <bottom style="thick">
        <color rgb="FF000000"/>
      </bottom>
    </border>
    <border>
      <left style="thin">
        <color rgb="FFDCEEF7"/>
      </left>
      <right style="thin">
        <color rgb="FFDCEEF7"/>
      </right>
      <bottom style="thick">
        <color rgb="FF000000"/>
      </bottom>
    </border>
    <border>
      <left style="thin">
        <color rgb="FFDCEEF7"/>
      </left>
      <bottom style="thick">
        <color rgb="FF000000"/>
      </bottom>
    </border>
    <border>
      <right style="thin">
        <color rgb="FFDCEEF7"/>
      </right>
      <bottom style="thick">
        <color rgb="FF000000"/>
      </bottom>
    </border>
    <border>
      <left style="thick">
        <color rgb="FF000000"/>
      </left>
      <top style="thick">
        <color rgb="FF000000"/>
      </top>
      <bottom style="thin">
        <color rgb="FFFFF3F3"/>
      </bottom>
    </border>
    <border>
      <top style="thick">
        <color rgb="FF000000"/>
      </top>
      <bottom style="thin">
        <color rgb="FFFFF3F3"/>
      </bottom>
    </border>
    <border>
      <right style="thick">
        <color rgb="FF000000"/>
      </right>
      <top style="thick">
        <color rgb="FF000000"/>
      </top>
      <bottom style="thin">
        <color rgb="FFFFF3F3"/>
      </bottom>
    </border>
    <border>
      <left style="thick">
        <color rgb="FF000000"/>
      </left>
      <top style="thin">
        <color rgb="FFFFF3F3"/>
      </top>
      <bottom style="thin">
        <color rgb="FF000000"/>
      </bottom>
    </border>
    <border>
      <right style="thin">
        <color rgb="FFFFF3F3"/>
      </right>
      <top style="thin">
        <color rgb="FFFFF3F3"/>
      </top>
      <bottom style="thin">
        <color rgb="FF000000"/>
      </bottom>
    </border>
    <border>
      <left style="thin">
        <color rgb="FFFFF3F3"/>
      </left>
      <top style="thin">
        <color rgb="FFFFF3F3"/>
      </top>
      <bottom style="thin">
        <color rgb="FF000000"/>
      </bottom>
    </border>
    <border>
      <top style="thin">
        <color rgb="FFFFF3F3"/>
      </top>
      <bottom style="thin">
        <color rgb="FF000000"/>
      </bottom>
    </border>
    <border>
      <right style="thick">
        <color rgb="FF000000"/>
      </right>
      <top style="thin">
        <color rgb="FFFFF3F3"/>
      </top>
      <bottom style="thin">
        <color rgb="FF000000"/>
      </bottom>
    </border>
    <border>
      <left style="thick">
        <color rgb="FF000000"/>
      </left>
      <right style="thin">
        <color rgb="FFFBE3EB"/>
      </right>
      <bottom style="thick">
        <color rgb="FF000000"/>
      </bottom>
    </border>
    <border>
      <left style="thin">
        <color rgb="FFFBE3EB"/>
      </left>
      <right style="thin">
        <color rgb="FFFBE3EB"/>
      </right>
      <bottom style="thick">
        <color rgb="FF000000"/>
      </bottom>
    </border>
    <border>
      <left style="thin">
        <color rgb="FFFBE3EB"/>
      </left>
      <bottom style="thick">
        <color rgb="FF000000"/>
      </bottom>
    </border>
    <border>
      <right style="thin">
        <color rgb="FFFBE3EB"/>
      </right>
      <bottom style="thick">
        <color rgb="FF000000"/>
      </bottom>
    </border>
    <border>
      <left style="thick">
        <color rgb="FFFF3100"/>
      </left>
      <right style="thin">
        <color rgb="FFEFEFEF"/>
      </right>
      <top style="thin">
        <color rgb="FFEFEFEF"/>
      </top>
      <bottom style="thick">
        <color rgb="FFFF3100"/>
      </bottom>
    </border>
    <border>
      <left style="thin">
        <color rgb="FFEFEFEF"/>
      </left>
      <right style="thin">
        <color rgb="FFEFEFEF"/>
      </right>
      <bottom style="thick">
        <color rgb="FFFF3100"/>
      </bottom>
    </border>
    <border>
      <left style="thin">
        <color rgb="FFEFEFEF"/>
      </left>
      <bottom style="thick">
        <color rgb="FFFF3100"/>
      </bottom>
    </border>
    <border>
      <right style="thin">
        <color rgb="FFEFEFEF"/>
      </right>
      <bottom style="thick">
        <color rgb="FFFF3100"/>
      </bottom>
    </border>
    <border>
      <left style="thin">
        <color rgb="FFEFEFEF"/>
      </left>
      <right style="thin">
        <color rgb="FFEFEFEF"/>
      </right>
      <top style="thin">
        <color rgb="FFFFFFFF"/>
      </top>
      <bottom style="thick">
        <color rgb="FFFF3100"/>
      </bottom>
    </border>
    <border>
      <left style="thin">
        <color rgb="FFEFEFEF"/>
      </left>
      <right style="thick">
        <color rgb="FFFF3100"/>
      </right>
      <top style="thin">
        <color rgb="FFEFEFEF"/>
      </top>
      <bottom style="thick">
        <color rgb="FFFF3100"/>
      </bottom>
    </border>
    <border>
      <left style="thick">
        <color rgb="FF00FF66"/>
      </left>
      <right style="thin">
        <color rgb="FFEFEFEF"/>
      </right>
      <top style="thick">
        <color rgb="FF00FF66"/>
      </top>
      <bottom style="thin">
        <color rgb="FFEFEFEF"/>
      </bottom>
    </border>
    <border>
      <left style="thin">
        <color rgb="FFEFEFEF"/>
      </left>
      <right style="thin">
        <color rgb="FFEFEFEF"/>
      </right>
      <top style="thick">
        <color rgb="FF00FF66"/>
      </top>
    </border>
    <border>
      <left style="thin">
        <color rgb="FFEFEFEF"/>
      </left>
      <right style="thick">
        <color rgb="FF00FF66"/>
      </right>
      <top style="thick">
        <color rgb="FF00FF66"/>
      </top>
      <bottom style="thin">
        <color rgb="FFEFEFEF"/>
      </bottom>
    </border>
    <border>
      <left style="thick">
        <color rgb="FF00FF66"/>
      </left>
      <top style="thin">
        <color rgb="FFEFEFEF"/>
      </top>
      <bottom style="thin">
        <color rgb="FFEFEFEF"/>
      </bottom>
    </border>
    <border>
      <right style="thick">
        <color rgb="FF00FF66"/>
      </right>
      <top style="thin">
        <color rgb="FFEFEFEF"/>
      </top>
      <bottom style="thin">
        <color rgb="FFEFEFEF"/>
      </bottom>
    </border>
    <border>
      <left style="thick">
        <color rgb="FF00FF66"/>
      </left>
      <right style="thin">
        <color rgb="FFEFEFEF"/>
      </right>
      <top style="thin">
        <color rgb="FFEFEFEF"/>
      </top>
      <bottom style="thin">
        <color rgb="FFEFEFEF"/>
      </bottom>
    </border>
    <border>
      <left style="thin">
        <color rgb="FFEFEFEF"/>
      </left>
      <right style="thick">
        <color rgb="FF00FF66"/>
      </right>
      <top style="thin">
        <color rgb="FFEFEFEF"/>
      </top>
      <bottom style="thin">
        <color rgb="FFEFEFEF"/>
      </bottom>
    </border>
    <border>
      <left style="thick">
        <color rgb="FF000000"/>
      </left>
      <right style="thick">
        <color rgb="FF000000"/>
      </right>
      <top style="thick">
        <color rgb="FF000000"/>
      </top>
      <bottom style="thick">
        <color rgb="FF000000"/>
      </bottom>
    </border>
    <border>
      <left style="thick">
        <color rgb="FF000000"/>
      </left>
      <right style="thin">
        <color rgb="FFEA9999"/>
      </right>
      <top style="thick">
        <color rgb="FF000000"/>
      </top>
      <bottom style="thin">
        <color rgb="FF000000"/>
      </bottom>
    </border>
    <border>
      <left style="thin">
        <color rgb="FFEA9999"/>
      </left>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n">
        <color rgb="FFC7F1F1"/>
      </right>
      <top style="thin">
        <color rgb="FF000000"/>
      </top>
      <bottom style="thin">
        <color rgb="FF000000"/>
      </bottom>
    </border>
    <border>
      <left style="thin">
        <color rgb="FFC7F1F1"/>
      </left>
      <right style="thick">
        <color rgb="FF000000"/>
      </right>
      <top style="thin">
        <color rgb="FF000000"/>
      </top>
      <bottom style="thin">
        <color rgb="FF000000"/>
      </bottom>
    </border>
    <border>
      <left style="thick">
        <color rgb="FF000000"/>
      </left>
      <right style="thin">
        <color rgb="FFEFC6DB"/>
      </right>
      <top style="thin">
        <color rgb="FF000000"/>
      </top>
      <bottom style="thin">
        <color rgb="FF000000"/>
      </bottom>
    </border>
    <border>
      <left style="thin">
        <color rgb="FFEFC6DB"/>
      </left>
      <right style="thick">
        <color rgb="FF000000"/>
      </right>
      <top style="thin">
        <color rgb="FF000000"/>
      </top>
      <bottom style="thin">
        <color rgb="FF000000"/>
      </bottom>
    </border>
    <border>
      <left style="thick">
        <color rgb="FF000000"/>
      </left>
      <right style="thin">
        <color rgb="FFD7D7FB"/>
      </right>
      <top style="thin">
        <color rgb="FF000000"/>
      </top>
      <bottom style="thin">
        <color rgb="FF000000"/>
      </bottom>
    </border>
    <border>
      <left style="thin">
        <color rgb="FFD7D7FB"/>
      </left>
      <right style="thick">
        <color rgb="FF000000"/>
      </right>
      <top style="thin">
        <color rgb="FF000000"/>
      </top>
      <bottom style="thin">
        <color rgb="FF000000"/>
      </bottom>
    </border>
    <border>
      <left style="thick">
        <color rgb="FF000000"/>
      </left>
      <right style="thin">
        <color rgb="FFCCCCCC"/>
      </right>
      <top style="thin">
        <color rgb="FF000000"/>
      </top>
      <bottom style="thin">
        <color rgb="FF000000"/>
      </bottom>
    </border>
    <border>
      <left style="thin">
        <color rgb="FFCCCCCC"/>
      </left>
      <right style="thick">
        <color rgb="FF000000"/>
      </right>
      <top style="thin">
        <color rgb="FF000000"/>
      </top>
      <bottom style="thin">
        <color rgb="FF000000"/>
      </bottom>
    </border>
    <border>
      <left style="thick">
        <color rgb="FF000000"/>
      </left>
      <right style="thin">
        <color rgb="FFA7B4ED"/>
      </right>
      <top style="thin">
        <color rgb="FF000000"/>
      </top>
      <bottom style="thin">
        <color rgb="FF000000"/>
      </bottom>
    </border>
    <border>
      <left style="thin">
        <color rgb="FFA7B4ED"/>
      </left>
      <right style="thick">
        <color rgb="FF000000"/>
      </right>
      <top style="thin">
        <color rgb="FF000000"/>
      </top>
      <bottom style="thin">
        <color rgb="FF000000"/>
      </bottom>
    </border>
    <border>
      <left style="thick">
        <color rgb="FF000000"/>
      </left>
      <right style="thin">
        <color rgb="FFEDB7ED"/>
      </right>
      <top style="thin">
        <color rgb="FF000000"/>
      </top>
      <bottom style="thin">
        <color rgb="FF000000"/>
      </bottom>
    </border>
    <border>
      <left style="thin">
        <color rgb="FFEDB7ED"/>
      </left>
      <right style="thick">
        <color rgb="FF000000"/>
      </right>
      <top style="thin">
        <color rgb="FF000000"/>
      </top>
      <bottom style="thin">
        <color rgb="FF000000"/>
      </bottom>
    </border>
    <border>
      <left style="thick">
        <color rgb="FF000000"/>
      </left>
      <right style="thin">
        <color rgb="FFF4B1D0"/>
      </right>
      <top style="thin">
        <color rgb="FF000000"/>
      </top>
      <bottom style="thin">
        <color rgb="FF000000"/>
      </bottom>
    </border>
    <border>
      <left style="thin">
        <color rgb="FFF4B1D0"/>
      </left>
      <right style="thick">
        <color rgb="FF000000"/>
      </right>
      <top style="thin">
        <color rgb="FF000000"/>
      </top>
      <bottom style="thin">
        <color rgb="FF000000"/>
      </bottom>
    </border>
    <border>
      <left style="thick">
        <color rgb="FF000000"/>
      </left>
      <right style="thin">
        <color rgb="FFE5C39A"/>
      </right>
      <top style="thin">
        <color rgb="FF000000"/>
      </top>
      <bottom style="thin">
        <color rgb="FF000000"/>
      </bottom>
    </border>
    <border>
      <left style="thin">
        <color rgb="FFE5C39A"/>
      </left>
      <right style="thick">
        <color rgb="FF000000"/>
      </right>
      <top style="thin">
        <color rgb="FF000000"/>
      </top>
      <bottom style="thin">
        <color rgb="FF000000"/>
      </bottom>
    </border>
    <border>
      <left style="thick">
        <color rgb="FF000000"/>
      </left>
      <right style="thin">
        <color rgb="FFE1DFA4"/>
      </right>
      <top style="thin">
        <color rgb="FF000000"/>
      </top>
      <bottom style="thin">
        <color rgb="FF000000"/>
      </bottom>
    </border>
    <border>
      <left style="thin">
        <color rgb="FFE1DFA4"/>
      </left>
      <right style="thick">
        <color rgb="FF000000"/>
      </right>
      <top style="thin">
        <color rgb="FF000000"/>
      </top>
      <bottom style="thin">
        <color rgb="FF000000"/>
      </bottom>
    </border>
    <border>
      <left style="thick">
        <color rgb="FF000000"/>
      </left>
      <right style="thin">
        <color rgb="FFB8A9E0"/>
      </right>
      <top style="thin">
        <color rgb="FF000000"/>
      </top>
      <bottom style="thin">
        <color rgb="FF000000"/>
      </bottom>
    </border>
    <border>
      <left style="thin">
        <color rgb="FFB8A9E0"/>
      </left>
      <right style="thick">
        <color rgb="FF000000"/>
      </right>
      <top style="thin">
        <color rgb="FF000000"/>
      </top>
      <bottom style="thin">
        <color rgb="FF000000"/>
      </bottom>
    </border>
    <border>
      <left style="thick">
        <color rgb="FF000000"/>
      </left>
      <right style="thin">
        <color rgb="FF999999"/>
      </right>
      <top style="thin">
        <color rgb="FF000000"/>
      </top>
      <bottom style="thin">
        <color rgb="FF000000"/>
      </bottom>
    </border>
    <border>
      <left style="thin">
        <color rgb="FF999999"/>
      </left>
      <right style="thick">
        <color rgb="FF000000"/>
      </right>
      <top style="thin">
        <color rgb="FF000000"/>
      </top>
      <bottom style="thin">
        <color rgb="FF000000"/>
      </bottom>
    </border>
    <border>
      <left style="thick">
        <color rgb="FF000000"/>
      </left>
      <right style="thin">
        <color rgb="FFDCD987"/>
      </right>
      <top style="thin">
        <color rgb="FF000000"/>
      </top>
      <bottom style="thin">
        <color rgb="FF000000"/>
      </bottom>
    </border>
    <border>
      <left style="thin">
        <color rgb="FFDCD987"/>
      </left>
      <right style="thick">
        <color rgb="FF000000"/>
      </right>
      <top style="thin">
        <color rgb="FF000000"/>
      </top>
      <bottom style="thin">
        <color rgb="FF000000"/>
      </bottom>
    </border>
    <border>
      <left style="thick">
        <color rgb="FF000000"/>
      </left>
      <right style="thin">
        <color rgb="FFDEB284"/>
      </right>
      <top style="thin">
        <color rgb="FF000000"/>
      </top>
      <bottom style="thick">
        <color rgb="FF000000"/>
      </bottom>
    </border>
    <border>
      <left style="thin">
        <color rgb="FFDEB284"/>
      </left>
      <right style="thick">
        <color rgb="FF000000"/>
      </right>
      <top style="thin">
        <color rgb="FF000000"/>
      </top>
      <bottom style="thick">
        <color rgb="FF000000"/>
      </bottom>
    </border>
    <border>
      <left style="thick">
        <color rgb="FF000000"/>
      </left>
      <right style="thick">
        <color rgb="FF000000"/>
      </right>
      <top style="thin">
        <color rgb="FF000000"/>
      </top>
      <bottom style="thick">
        <color rgb="FF000000"/>
      </bottom>
    </border>
    <border>
      <left style="thick">
        <color rgb="FF00FF66"/>
      </left>
      <right style="thin">
        <color rgb="FFEFEFEF"/>
      </right>
      <top style="thin">
        <color rgb="FFEFEFEF"/>
      </top>
      <bottom style="thick">
        <color rgb="FF00FF66"/>
      </bottom>
    </border>
    <border>
      <left style="thin">
        <color rgb="FFEFEFEF"/>
      </left>
      <bottom style="thick">
        <color rgb="FF00FF66"/>
      </bottom>
    </border>
    <border>
      <right style="thin">
        <color rgb="FFEFEFEF"/>
      </right>
      <bottom style="thick">
        <color rgb="FF00FF66"/>
      </bottom>
    </border>
    <border>
      <left style="thin">
        <color rgb="FFEFEFEF"/>
      </left>
      <right style="thin">
        <color rgb="FFEFEFEF"/>
      </right>
      <top style="thin">
        <color rgb="FFEFEFEF"/>
      </top>
      <bottom style="thick">
        <color rgb="FF00FF66"/>
      </bottom>
    </border>
    <border>
      <left style="thin">
        <color rgb="FFEFEFEF"/>
      </left>
      <right style="thin">
        <color rgb="FFEFEFEF"/>
      </right>
      <bottom style="thick">
        <color rgb="FF00FF66"/>
      </bottom>
    </border>
    <border>
      <left style="thin">
        <color rgb="FFEFEFEF"/>
      </left>
      <right style="thick">
        <color rgb="FF00FF66"/>
      </right>
      <top style="thin">
        <color rgb="FFEFEFEF"/>
      </top>
      <bottom style="thick">
        <color rgb="FF00FF66"/>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top style="thin">
        <color rgb="FFFFFFFF"/>
      </top>
      <bottom style="thin">
        <color rgb="FFFFFFFF"/>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ck">
        <color rgb="FF000000"/>
      </top>
    </border>
    <border>
      <right style="thick">
        <color rgb="FF000000"/>
      </right>
      <top style="thick">
        <color rgb="FF000000"/>
      </top>
    </border>
    <border>
      <right style="thick">
        <color rgb="FF000000"/>
      </right>
      <top style="thin">
        <color rgb="FFFFFFFF"/>
      </top>
      <bottom style="thin">
        <color rgb="FFFFFFFF"/>
      </bottom>
    </border>
    <border>
      <left style="thick">
        <color rgb="FF000000"/>
      </left>
      <bottom style="thin">
        <color rgb="FFEFEFEF"/>
      </bottom>
    </border>
    <border>
      <right style="thick">
        <color rgb="FF000000"/>
      </right>
      <bottom style="thin">
        <color rgb="FFEFEFEF"/>
      </bottom>
    </border>
    <border>
      <left style="thick">
        <color rgb="FF000000"/>
      </left>
      <bottom style="thick">
        <color rgb="FF000000"/>
      </bottom>
    </border>
    <border>
      <left style="thick">
        <color rgb="FF000000"/>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FFFFF"/>
      </bottom>
    </border>
    <border>
      <bottom style="thin">
        <color rgb="FFFFFFFF"/>
      </bottom>
    </border>
    <border>
      <right style="thin">
        <color rgb="FF000000"/>
      </right>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rder>
    <border>
      <left style="thin">
        <color rgb="FFFFFFFF"/>
      </left>
      <top style="thin">
        <color rgb="FFFFFFFF"/>
      </top>
    </border>
    <border>
      <left style="thin">
        <color rgb="FFFFFFFF"/>
      </left>
      <right style="thin">
        <color rgb="FF000000"/>
      </right>
      <top style="thin">
        <color rgb="FFFFFFFF"/>
      </top>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89">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2" fillId="2" fontId="1" numFmtId="49" xfId="0" applyAlignment="1" applyBorder="1" applyFont="1" applyNumberFormat="1">
      <alignment horizontal="center" readingOrder="0" shrinkToFit="0" vertical="center" wrapText="1"/>
    </xf>
    <xf borderId="3" fillId="0" fontId="2" numFmtId="0" xfId="0" applyBorder="1" applyFont="1"/>
    <xf borderId="4" fillId="2" fontId="3" numFmtId="49" xfId="0" applyAlignment="1" applyBorder="1" applyFont="1" applyNumberFormat="1">
      <alignment horizontal="center" readingOrder="0" shrinkToFit="0" vertical="center" wrapText="1"/>
    </xf>
    <xf borderId="4" fillId="2" fontId="4" numFmtId="49" xfId="0" applyAlignment="1" applyBorder="1" applyFont="1" applyNumberFormat="1">
      <alignment horizontal="center" readingOrder="0" shrinkToFit="0" vertical="center" wrapText="1"/>
    </xf>
    <xf borderId="5" fillId="2" fontId="4" numFmtId="49" xfId="0" applyAlignment="1" applyBorder="1" applyFont="1" applyNumberFormat="1">
      <alignment horizontal="center" readingOrder="0" shrinkToFit="0" vertical="center" wrapText="1"/>
    </xf>
    <xf borderId="1" fillId="2" fontId="5" numFmtId="49" xfId="0" applyAlignment="1" applyBorder="1" applyFont="1" applyNumberFormat="1">
      <alignment horizontal="center" readingOrder="0" shrinkToFit="0" vertical="center" wrapText="1"/>
    </xf>
    <xf borderId="6" fillId="0" fontId="2" numFmtId="0" xfId="0" applyBorder="1" applyFont="1"/>
    <xf borderId="0" fillId="2" fontId="4" numFmtId="49" xfId="0" applyAlignment="1" applyFont="1" applyNumberFormat="1">
      <alignment horizontal="center" readingOrder="0" shrinkToFit="0" vertical="center" wrapText="1"/>
    </xf>
    <xf borderId="0" fillId="2" fontId="3" numFmtId="49" xfId="0" applyAlignment="1" applyFont="1" applyNumberFormat="1">
      <alignment horizontal="center" readingOrder="0" shrinkToFit="0" vertical="center" wrapText="1"/>
    </xf>
    <xf borderId="7" fillId="2" fontId="4" numFmtId="49" xfId="0" applyAlignment="1" applyBorder="1" applyFont="1" applyNumberFormat="1">
      <alignment horizontal="center" readingOrder="0" shrinkToFit="0" vertical="center" wrapText="1"/>
    </xf>
    <xf borderId="8" fillId="0" fontId="2" numFmtId="0" xfId="0" applyBorder="1" applyFont="1"/>
    <xf borderId="9" fillId="0" fontId="2" numFmtId="0" xfId="0" applyBorder="1" applyFont="1"/>
    <xf borderId="10" fillId="0" fontId="2" numFmtId="0" xfId="0" applyBorder="1" applyFont="1"/>
    <xf borderId="10" fillId="2" fontId="4" numFmtId="49" xfId="0" applyAlignment="1" applyBorder="1" applyFont="1" applyNumberFormat="1">
      <alignment horizontal="center" readingOrder="0" shrinkToFit="0" vertical="center" wrapText="1"/>
    </xf>
    <xf borderId="10" fillId="2" fontId="3" numFmtId="49" xfId="0" applyAlignment="1" applyBorder="1" applyFont="1" applyNumberFormat="1">
      <alignment horizontal="center" readingOrder="0" shrinkToFit="0" vertical="center" wrapText="1"/>
    </xf>
    <xf borderId="11" fillId="2" fontId="6" numFmtId="49" xfId="0" applyAlignment="1" applyBorder="1" applyFont="1" applyNumberFormat="1">
      <alignment horizontal="center" readingOrder="0" shrinkToFit="0" vertical="center" wrapText="1"/>
    </xf>
    <xf borderId="12" fillId="3" fontId="7" numFmtId="0" xfId="0" applyAlignment="1" applyBorder="1" applyFill="1" applyFont="1">
      <alignment vertical="center"/>
    </xf>
    <xf borderId="13" fillId="3" fontId="7" numFmtId="0" xfId="0" applyAlignment="1" applyBorder="1" applyFont="1">
      <alignment vertical="center"/>
    </xf>
    <xf borderId="13" fillId="3" fontId="8" numFmtId="0" xfId="0" applyAlignment="1" applyBorder="1" applyFont="1">
      <alignment vertical="center"/>
    </xf>
    <xf borderId="13" fillId="3" fontId="8" numFmtId="0" xfId="0" applyBorder="1" applyFont="1"/>
    <xf borderId="14" fillId="3" fontId="7" numFmtId="0" xfId="0" applyAlignment="1" applyBorder="1" applyFont="1">
      <alignment vertical="center"/>
    </xf>
    <xf borderId="15" fillId="4" fontId="7" numFmtId="0" xfId="0" applyAlignment="1" applyBorder="1" applyFill="1" applyFont="1">
      <alignment vertical="center"/>
    </xf>
    <xf borderId="16" fillId="4" fontId="7" numFmtId="0" xfId="0" applyAlignment="1" applyBorder="1" applyFont="1">
      <alignment vertical="center"/>
    </xf>
    <xf borderId="17" fillId="4" fontId="7" numFmtId="0" xfId="0" applyAlignment="1" applyBorder="1" applyFont="1">
      <alignment vertical="center"/>
    </xf>
    <xf borderId="16" fillId="4" fontId="8" numFmtId="0" xfId="0" applyBorder="1" applyFont="1"/>
    <xf borderId="18" fillId="4" fontId="7" numFmtId="0" xfId="0" applyAlignment="1" applyBorder="1" applyFont="1">
      <alignment vertical="center"/>
    </xf>
    <xf borderId="19" fillId="3" fontId="7" numFmtId="0" xfId="0" applyAlignment="1" applyBorder="1" applyFont="1">
      <alignment vertical="center"/>
    </xf>
    <xf borderId="14" fillId="3" fontId="9" numFmtId="0" xfId="0" applyAlignment="1" applyBorder="1" applyFont="1">
      <alignment horizontal="center" vertical="center"/>
    </xf>
    <xf borderId="20" fillId="4" fontId="9" numFmtId="0" xfId="0" applyAlignment="1" applyBorder="1" applyFont="1">
      <alignment horizontal="center" vertical="center"/>
    </xf>
    <xf borderId="21" fillId="4" fontId="9" numFmtId="0" xfId="0" applyAlignment="1" applyBorder="1" applyFont="1">
      <alignment horizontal="center" vertical="center"/>
    </xf>
    <xf borderId="22" fillId="4" fontId="10" numFmtId="0" xfId="0" applyAlignment="1" applyBorder="1" applyFont="1">
      <alignment horizontal="center" readingOrder="0" vertical="center"/>
    </xf>
    <xf borderId="23" fillId="0" fontId="2" numFmtId="0" xfId="0" applyBorder="1" applyFont="1"/>
    <xf borderId="24" fillId="0" fontId="2" numFmtId="0" xfId="0" applyBorder="1" applyFont="1"/>
    <xf borderId="25" fillId="4" fontId="9" numFmtId="0" xfId="0" applyAlignment="1" applyBorder="1" applyFont="1">
      <alignment horizontal="center" vertical="center"/>
    </xf>
    <xf borderId="22" fillId="4" fontId="11" numFmtId="0" xfId="0" applyAlignment="1" applyBorder="1" applyFont="1">
      <alignment horizontal="center" readingOrder="0" vertical="center"/>
    </xf>
    <xf borderId="22" fillId="4" fontId="12" numFmtId="0" xfId="0" applyAlignment="1" applyBorder="1" applyFont="1">
      <alignment horizontal="center" readingOrder="0" vertical="center"/>
    </xf>
    <xf borderId="26" fillId="5" fontId="13" numFmtId="0" xfId="0" applyAlignment="1" applyBorder="1" applyFill="1" applyFont="1">
      <alignment horizontal="center" readingOrder="0" textRotation="90" vertical="center"/>
    </xf>
    <xf borderId="22" fillId="4" fontId="14" numFmtId="0" xfId="0" applyAlignment="1" applyBorder="1" applyFont="1">
      <alignment horizontal="center" readingOrder="0" vertical="center"/>
    </xf>
    <xf borderId="22" fillId="4" fontId="15" numFmtId="0" xfId="0" applyAlignment="1" applyBorder="1" applyFont="1">
      <alignment horizontal="center" readingOrder="0" vertical="center"/>
    </xf>
    <xf borderId="27" fillId="4" fontId="9" numFmtId="0" xfId="0" applyAlignment="1" applyBorder="1" applyFont="1">
      <alignment horizontal="center" vertical="center"/>
    </xf>
    <xf borderId="19" fillId="3" fontId="9" numFmtId="0" xfId="0" applyAlignment="1" applyBorder="1" applyFont="1">
      <alignment horizontal="center" vertical="center"/>
    </xf>
    <xf borderId="14" fillId="3" fontId="16" numFmtId="0" xfId="0" applyAlignment="1" applyBorder="1" applyFont="1">
      <alignment vertical="center"/>
    </xf>
    <xf borderId="20" fillId="4" fontId="16" numFmtId="0" xfId="0" applyAlignment="1" applyBorder="1" applyFont="1">
      <alignment vertical="center"/>
    </xf>
    <xf borderId="28" fillId="4" fontId="16" numFmtId="0" xfId="0" applyAlignment="1" applyBorder="1" applyFont="1">
      <alignment horizontal="center" readingOrder="0" vertical="center"/>
    </xf>
    <xf borderId="29" fillId="4" fontId="16" numFmtId="0" xfId="0" applyAlignment="1" applyBorder="1" applyFont="1">
      <alignment horizontal="center" readingOrder="0" vertical="center"/>
    </xf>
    <xf borderId="30" fillId="0" fontId="2" numFmtId="0" xfId="0" applyBorder="1" applyFont="1"/>
    <xf borderId="31" fillId="4" fontId="16" numFmtId="0" xfId="0" applyAlignment="1" applyBorder="1" applyFont="1">
      <alignment horizontal="center" readingOrder="0" vertical="center"/>
    </xf>
    <xf borderId="25" fillId="4" fontId="16" numFmtId="0" xfId="0" applyAlignment="1" applyBorder="1" applyFont="1">
      <alignment vertical="center"/>
    </xf>
    <xf borderId="32" fillId="0" fontId="2" numFmtId="0" xfId="0" applyBorder="1" applyFont="1"/>
    <xf borderId="27" fillId="4" fontId="16" numFmtId="0" xfId="0" applyAlignment="1" applyBorder="1" applyFont="1">
      <alignment vertical="center"/>
    </xf>
    <xf borderId="19" fillId="3" fontId="17" numFmtId="0" xfId="0" applyAlignment="1" applyBorder="1" applyFont="1">
      <alignment vertical="center"/>
    </xf>
    <xf borderId="20" fillId="4" fontId="7" numFmtId="0" xfId="0" applyAlignment="1" applyBorder="1" applyFont="1">
      <alignment vertical="center"/>
    </xf>
    <xf borderId="33" fillId="6" fontId="18" numFmtId="9" xfId="0" applyAlignment="1" applyBorder="1" applyFill="1" applyFont="1" applyNumberFormat="1">
      <alignment horizontal="center" readingOrder="0" vertical="center"/>
    </xf>
    <xf borderId="34" fillId="0" fontId="7" numFmtId="0" xfId="0" applyAlignment="1" applyBorder="1" applyFont="1">
      <alignment horizontal="center" vertical="center"/>
    </xf>
    <xf borderId="35" fillId="0" fontId="18" numFmtId="0" xfId="0" applyAlignment="1" applyBorder="1" applyFont="1">
      <alignment horizontal="left" readingOrder="0" vertical="center"/>
    </xf>
    <xf borderId="36" fillId="0" fontId="18" numFmtId="164" xfId="0" applyAlignment="1" applyBorder="1" applyFont="1" applyNumberFormat="1">
      <alignment horizontal="center" readingOrder="0" vertical="center"/>
    </xf>
    <xf borderId="25" fillId="4" fontId="7" numFmtId="0" xfId="0" applyAlignment="1" applyBorder="1" applyFont="1">
      <alignment vertical="center"/>
    </xf>
    <xf borderId="36" fillId="0" fontId="18" numFmtId="0" xfId="0" applyAlignment="1" applyBorder="1" applyFont="1">
      <alignment horizontal="center" readingOrder="0" vertical="center"/>
    </xf>
    <xf borderId="27" fillId="4" fontId="7" numFmtId="0" xfId="0" applyAlignment="1" applyBorder="1" applyFont="1">
      <alignment vertical="center"/>
    </xf>
    <xf borderId="37" fillId="6" fontId="18" numFmtId="9" xfId="0" applyAlignment="1" applyBorder="1" applyFont="1" applyNumberFormat="1">
      <alignment horizontal="center" readingOrder="0" vertical="center"/>
    </xf>
    <xf borderId="38" fillId="4" fontId="7" numFmtId="0" xfId="0" applyAlignment="1" applyBorder="1" applyFont="1">
      <alignment horizontal="center" vertical="center"/>
    </xf>
    <xf borderId="39" fillId="4" fontId="18" numFmtId="0" xfId="0" applyAlignment="1" applyBorder="1" applyFont="1">
      <alignment horizontal="left" readingOrder="0" vertical="center"/>
    </xf>
    <xf borderId="40" fillId="7" fontId="18" numFmtId="164" xfId="0" applyAlignment="1" applyBorder="1" applyFill="1" applyFont="1" applyNumberFormat="1">
      <alignment horizontal="center" readingOrder="0" vertical="center"/>
    </xf>
    <xf borderId="39" fillId="4" fontId="19" numFmtId="0" xfId="0" applyAlignment="1" applyBorder="1" applyFont="1">
      <alignment horizontal="left" readingOrder="0" vertical="center"/>
    </xf>
    <xf borderId="40" fillId="7" fontId="18" numFmtId="0" xfId="0" applyAlignment="1" applyBorder="1" applyFont="1">
      <alignment horizontal="center" readingOrder="0" vertical="center"/>
    </xf>
    <xf borderId="41" fillId="8" fontId="18" numFmtId="9" xfId="0" applyAlignment="1" applyBorder="1" applyFill="1" applyFont="1" applyNumberFormat="1">
      <alignment horizontal="center" readingOrder="0" vertical="center"/>
    </xf>
    <xf borderId="42" fillId="0" fontId="7" numFmtId="0" xfId="0" applyAlignment="1" applyBorder="1" applyFont="1">
      <alignment horizontal="center" vertical="center"/>
    </xf>
    <xf borderId="43" fillId="0" fontId="18" numFmtId="0" xfId="0" applyAlignment="1" applyBorder="1" applyFont="1">
      <alignment horizontal="left" readingOrder="0" vertical="center"/>
    </xf>
    <xf borderId="44" fillId="0" fontId="18" numFmtId="164" xfId="0" applyAlignment="1" applyBorder="1" applyFont="1" applyNumberFormat="1">
      <alignment horizontal="center" readingOrder="0" vertical="center"/>
    </xf>
    <xf borderId="44" fillId="0" fontId="18" numFmtId="0" xfId="0" applyAlignment="1" applyBorder="1" applyFont="1">
      <alignment horizontal="center" readingOrder="0" vertical="center"/>
    </xf>
    <xf borderId="43" fillId="0" fontId="19" numFmtId="0" xfId="0" applyAlignment="1" applyBorder="1" applyFont="1">
      <alignment horizontal="left" readingOrder="0" vertical="center"/>
    </xf>
    <xf borderId="45" fillId="8" fontId="18" numFmtId="9" xfId="0" applyAlignment="1" applyBorder="1" applyFont="1" applyNumberFormat="1">
      <alignment horizontal="center" readingOrder="0" vertical="center"/>
    </xf>
    <xf borderId="46" fillId="4" fontId="7" numFmtId="0" xfId="0" applyAlignment="1" applyBorder="1" applyFont="1">
      <alignment horizontal="center" vertical="center"/>
    </xf>
    <xf borderId="47" fillId="4" fontId="18" numFmtId="0" xfId="0" applyAlignment="1" applyBorder="1" applyFont="1">
      <alignment horizontal="left" readingOrder="0" vertical="center"/>
    </xf>
    <xf borderId="48" fillId="7" fontId="18" numFmtId="164" xfId="0" applyAlignment="1" applyBorder="1" applyFont="1" applyNumberFormat="1">
      <alignment horizontal="center" readingOrder="0" vertical="center"/>
    </xf>
    <xf borderId="48" fillId="7" fontId="18" numFmtId="0" xfId="0" applyAlignment="1" applyBorder="1" applyFont="1">
      <alignment horizontal="center" readingOrder="0" vertical="center"/>
    </xf>
    <xf borderId="47" fillId="4" fontId="19" numFmtId="0" xfId="0" applyAlignment="1" applyBorder="1" applyFont="1">
      <alignment horizontal="left" readingOrder="0" vertical="center"/>
    </xf>
    <xf borderId="49" fillId="0" fontId="7" numFmtId="0" xfId="0" applyAlignment="1" applyBorder="1" applyFont="1">
      <alignment horizontal="center" vertical="center"/>
    </xf>
    <xf borderId="50" fillId="0" fontId="18" numFmtId="0" xfId="0" applyAlignment="1" applyBorder="1" applyFont="1">
      <alignment horizontal="left" readingOrder="0" vertical="center"/>
    </xf>
    <xf borderId="48" fillId="0" fontId="18" numFmtId="164" xfId="0" applyAlignment="1" applyBorder="1" applyFont="1" applyNumberFormat="1">
      <alignment horizontal="center" readingOrder="0" vertical="center"/>
    </xf>
    <xf borderId="48" fillId="0" fontId="18" numFmtId="0" xfId="0" applyAlignment="1" applyBorder="1" applyFont="1">
      <alignment horizontal="center" readingOrder="0" vertical="center"/>
    </xf>
    <xf borderId="51" fillId="8" fontId="18" numFmtId="9" xfId="0" applyAlignment="1" applyBorder="1" applyFont="1" applyNumberFormat="1">
      <alignment horizontal="center" readingOrder="0" vertical="center"/>
    </xf>
    <xf borderId="52" fillId="4" fontId="7" numFmtId="0" xfId="0" applyAlignment="1" applyBorder="1" applyFont="1">
      <alignment horizontal="center" vertical="center"/>
    </xf>
    <xf borderId="53" fillId="4" fontId="18" numFmtId="0" xfId="0" applyAlignment="1" applyBorder="1" applyFont="1">
      <alignment horizontal="left" readingOrder="0" vertical="center"/>
    </xf>
    <xf borderId="54" fillId="7" fontId="18" numFmtId="164" xfId="0" applyAlignment="1" applyBorder="1" applyFont="1" applyNumberFormat="1">
      <alignment horizontal="center" readingOrder="0" vertical="center"/>
    </xf>
    <xf borderId="54" fillId="7" fontId="18" numFmtId="0" xfId="0" applyAlignment="1" applyBorder="1" applyFont="1">
      <alignment horizontal="center" readingOrder="0" vertical="center"/>
    </xf>
    <xf borderId="55" fillId="9" fontId="18" numFmtId="9" xfId="0" applyAlignment="1" applyBorder="1" applyFill="1" applyFont="1" applyNumberFormat="1">
      <alignment horizontal="center" readingOrder="0" vertical="center"/>
    </xf>
    <xf borderId="35" fillId="0" fontId="19" numFmtId="0" xfId="0" applyAlignment="1" applyBorder="1" applyFont="1">
      <alignment horizontal="left" readingOrder="0" vertical="center"/>
    </xf>
    <xf borderId="56" fillId="9" fontId="18" numFmtId="9" xfId="0" applyAlignment="1" applyBorder="1" applyFont="1" applyNumberFormat="1">
      <alignment horizontal="center" readingOrder="0" vertical="center"/>
    </xf>
    <xf borderId="57" fillId="10" fontId="18" numFmtId="9" xfId="0" applyAlignment="1" applyBorder="1" applyFill="1" applyFont="1" applyNumberFormat="1">
      <alignment horizontal="center" readingOrder="0" vertical="center"/>
    </xf>
    <xf borderId="58" fillId="10" fontId="18" numFmtId="9" xfId="0" applyAlignment="1" applyBorder="1" applyFont="1" applyNumberFormat="1">
      <alignment horizontal="center" readingOrder="0" vertical="center"/>
    </xf>
    <xf borderId="59" fillId="11" fontId="18" numFmtId="9" xfId="0" applyAlignment="1" applyBorder="1" applyFill="1" applyFont="1" applyNumberFormat="1">
      <alignment horizontal="center" readingOrder="0" vertical="center"/>
    </xf>
    <xf borderId="60" fillId="11" fontId="18" numFmtId="9" xfId="0" applyAlignment="1" applyBorder="1" applyFont="1" applyNumberFormat="1">
      <alignment horizontal="center" readingOrder="0" vertical="center"/>
    </xf>
    <xf borderId="61" fillId="4" fontId="7" numFmtId="0" xfId="0" applyAlignment="1" applyBorder="1" applyFont="1">
      <alignment horizontal="center" vertical="center"/>
    </xf>
    <xf borderId="62" fillId="4" fontId="18" numFmtId="0" xfId="0" applyAlignment="1" applyBorder="1" applyFont="1">
      <alignment horizontal="left" readingOrder="0" vertical="center"/>
    </xf>
    <xf borderId="63" fillId="7" fontId="18" numFmtId="164" xfId="0" applyAlignment="1" applyBorder="1" applyFont="1" applyNumberFormat="1">
      <alignment horizontal="center" readingOrder="0" vertical="center"/>
    </xf>
    <xf borderId="63" fillId="7" fontId="18" numFmtId="0" xfId="0" applyAlignment="1" applyBorder="1" applyFont="1">
      <alignment horizontal="center" readingOrder="0" vertical="center"/>
    </xf>
    <xf borderId="64" fillId="4" fontId="7" numFmtId="0" xfId="0" applyAlignment="1" applyBorder="1" applyFont="1">
      <alignment vertical="center"/>
    </xf>
    <xf borderId="65" fillId="4" fontId="7" numFmtId="0" xfId="0" applyAlignment="1" applyBorder="1" applyFont="1">
      <alignment vertical="center"/>
    </xf>
    <xf borderId="66" fillId="4" fontId="7" numFmtId="0" xfId="0" applyAlignment="1" applyBorder="1" applyFont="1">
      <alignment vertical="center"/>
    </xf>
    <xf borderId="67" fillId="4" fontId="7" numFmtId="0" xfId="0" applyAlignment="1" applyBorder="1" applyFont="1">
      <alignment vertical="center"/>
    </xf>
    <xf borderId="68" fillId="4" fontId="7" numFmtId="0" xfId="0" applyAlignment="1" applyBorder="1" applyFont="1">
      <alignment vertical="center"/>
    </xf>
    <xf borderId="50" fillId="0" fontId="19" numFmtId="0" xfId="0" applyAlignment="1" applyBorder="1" applyFont="1">
      <alignment horizontal="left" readingOrder="0" vertical="center"/>
    </xf>
    <xf borderId="53" fillId="4" fontId="19" numFmtId="0" xfId="0" applyAlignment="1" applyBorder="1" applyFont="1">
      <alignment horizontal="left" readingOrder="0" vertical="center"/>
    </xf>
    <xf borderId="69" fillId="0" fontId="2" numFmtId="0" xfId="0" applyBorder="1" applyFont="1"/>
    <xf borderId="70" fillId="4" fontId="7" numFmtId="0" xfId="0" applyAlignment="1" applyBorder="1" applyFont="1">
      <alignment vertical="center"/>
    </xf>
    <xf borderId="71" fillId="4" fontId="7" numFmtId="0" xfId="0" applyAlignment="1" applyBorder="1" applyFont="1">
      <alignment vertical="center"/>
    </xf>
    <xf borderId="72" fillId="4" fontId="7" numFmtId="0" xfId="0" applyAlignment="1" applyBorder="1" applyFont="1">
      <alignment vertical="center"/>
    </xf>
    <xf borderId="73" fillId="4" fontId="7" numFmtId="0" xfId="0" applyAlignment="1" applyBorder="1" applyFont="1">
      <alignment vertical="center"/>
    </xf>
    <xf borderId="72" fillId="4" fontId="8" numFmtId="0" xfId="0" applyBorder="1" applyFont="1"/>
    <xf borderId="74" fillId="4" fontId="7" numFmtId="0" xfId="0" applyAlignment="1" applyBorder="1" applyFont="1">
      <alignment vertical="center"/>
    </xf>
    <xf borderId="75" fillId="3" fontId="7" numFmtId="0" xfId="0" applyAlignment="1" applyBorder="1" applyFont="1">
      <alignment vertical="center"/>
    </xf>
    <xf borderId="75" fillId="3" fontId="8" numFmtId="0" xfId="0" applyAlignment="1" applyBorder="1" applyFont="1">
      <alignment vertical="center"/>
    </xf>
    <xf borderId="75" fillId="3" fontId="8" numFmtId="0" xfId="0" applyBorder="1" applyFont="1"/>
    <xf borderId="13" fillId="3" fontId="7" numFmtId="0" xfId="0" applyAlignment="1" applyBorder="1" applyFont="1">
      <alignment horizontal="center" vertical="center"/>
    </xf>
    <xf borderId="76" fillId="4" fontId="7" numFmtId="0" xfId="0" applyAlignment="1" applyBorder="1" applyFont="1">
      <alignment vertical="center"/>
    </xf>
    <xf borderId="77" fillId="4" fontId="7" numFmtId="0" xfId="0" applyAlignment="1" applyBorder="1" applyFont="1">
      <alignment vertical="center"/>
    </xf>
    <xf borderId="78" fillId="4" fontId="7" numFmtId="0" xfId="0" applyAlignment="1" applyBorder="1" applyFont="1">
      <alignment vertical="center"/>
    </xf>
    <xf borderId="77" fillId="4" fontId="7" numFmtId="0" xfId="0" applyAlignment="1" applyBorder="1" applyFont="1">
      <alignment horizontal="center" vertical="center"/>
    </xf>
    <xf borderId="79" fillId="4" fontId="7" numFmtId="0" xfId="0" applyAlignment="1" applyBorder="1" applyFont="1">
      <alignment vertical="center"/>
    </xf>
    <xf borderId="77" fillId="4" fontId="8" numFmtId="0" xfId="0" applyAlignment="1" applyBorder="1" applyFont="1">
      <alignment vertical="center"/>
    </xf>
    <xf borderId="80" fillId="4" fontId="7" numFmtId="0" xfId="0" applyAlignment="1" applyBorder="1" applyFont="1">
      <alignment vertical="center"/>
    </xf>
    <xf borderId="14" fillId="3" fontId="20" numFmtId="0" xfId="0" applyAlignment="1" applyBorder="1" applyFont="1">
      <alignment vertical="center"/>
    </xf>
    <xf borderId="81" fillId="4" fontId="20" numFmtId="0" xfId="0" applyAlignment="1" applyBorder="1" applyFont="1">
      <alignment vertical="center"/>
    </xf>
    <xf borderId="82" fillId="4" fontId="20" numFmtId="0" xfId="0" applyAlignment="1" applyBorder="1" applyFont="1">
      <alignment horizontal="center" vertical="center"/>
    </xf>
    <xf borderId="83" fillId="4" fontId="21" numFmtId="0" xfId="0" applyAlignment="1" applyBorder="1" applyFont="1">
      <alignment horizontal="center" readingOrder="0" vertical="center"/>
    </xf>
    <xf borderId="84" fillId="4" fontId="20" numFmtId="0" xfId="0" applyAlignment="1" applyBorder="1" applyFont="1">
      <alignment vertical="center"/>
    </xf>
    <xf borderId="84" fillId="4" fontId="21" numFmtId="0" xfId="0" applyAlignment="1" applyBorder="1" applyFont="1">
      <alignment horizontal="center" readingOrder="0" vertical="center"/>
    </xf>
    <xf borderId="85" fillId="12" fontId="21" numFmtId="0" xfId="0" applyAlignment="1" applyBorder="1" applyFill="1" applyFont="1">
      <alignment horizontal="center" readingOrder="0" vertical="center"/>
    </xf>
    <xf borderId="86" fillId="4" fontId="21" numFmtId="0" xfId="0" applyAlignment="1" applyBorder="1" applyFont="1">
      <alignment horizontal="center" readingOrder="0" vertical="center"/>
    </xf>
    <xf borderId="19" fillId="3" fontId="21" numFmtId="0" xfId="0" applyAlignment="1" applyBorder="1" applyFont="1">
      <alignment horizontal="center" readingOrder="0" vertical="center"/>
    </xf>
    <xf borderId="14" fillId="3" fontId="22" numFmtId="0" xfId="0" applyAlignment="1" applyBorder="1" applyFont="1">
      <alignment vertical="center"/>
    </xf>
    <xf borderId="81" fillId="4" fontId="22" numFmtId="0" xfId="0" applyAlignment="1" applyBorder="1" applyFont="1">
      <alignment vertical="center"/>
    </xf>
    <xf borderId="87" fillId="4" fontId="23" numFmtId="0" xfId="0" applyAlignment="1" applyBorder="1" applyFont="1">
      <alignment horizontal="left" readingOrder="0" vertical="center"/>
    </xf>
    <xf borderId="88" fillId="0" fontId="2" numFmtId="0" xfId="0" applyBorder="1" applyFont="1"/>
    <xf borderId="84" fillId="4" fontId="22" numFmtId="0" xfId="0" applyAlignment="1" applyBorder="1" applyFont="1">
      <alignment vertical="center"/>
    </xf>
    <xf borderId="28" fillId="4" fontId="22" numFmtId="0" xfId="0" applyAlignment="1" applyBorder="1" applyFont="1">
      <alignment horizontal="center" readingOrder="0" vertical="center"/>
    </xf>
    <xf borderId="29" fillId="4" fontId="22" numFmtId="0" xfId="0" applyAlignment="1" applyBorder="1" applyFont="1">
      <alignment horizontal="center" readingOrder="0" vertical="center"/>
    </xf>
    <xf borderId="31" fillId="4" fontId="22" numFmtId="0" xfId="0" applyAlignment="1" applyBorder="1" applyFont="1">
      <alignment horizontal="center" readingOrder="0" vertical="center"/>
    </xf>
    <xf borderId="84" fillId="4" fontId="22" numFmtId="0" xfId="0" applyAlignment="1" applyBorder="1" applyFont="1">
      <alignment horizontal="center" readingOrder="0" vertical="center"/>
    </xf>
    <xf borderId="85" fillId="12" fontId="22" numFmtId="0" xfId="0" applyAlignment="1" applyBorder="1" applyFont="1">
      <alignment horizontal="center" readingOrder="0" vertical="center"/>
    </xf>
    <xf borderId="86" fillId="4" fontId="22" numFmtId="0" xfId="0" applyAlignment="1" applyBorder="1" applyFont="1">
      <alignment horizontal="center" readingOrder="0" vertical="center"/>
    </xf>
    <xf borderId="19" fillId="3" fontId="22" numFmtId="0" xfId="0" applyAlignment="1" applyBorder="1" applyFont="1">
      <alignment horizontal="center" readingOrder="0" vertical="center"/>
    </xf>
    <xf borderId="89" fillId="4" fontId="7" numFmtId="0" xfId="0" applyAlignment="1" applyBorder="1" applyFont="1">
      <alignment vertical="center"/>
    </xf>
    <xf borderId="90" fillId="4" fontId="7" numFmtId="0" xfId="0" applyAlignment="1" applyBorder="1" applyFont="1">
      <alignment vertical="center"/>
    </xf>
    <xf borderId="91" fillId="4" fontId="7" numFmtId="0" xfId="0" applyAlignment="1" applyBorder="1" applyFont="1">
      <alignment vertical="center"/>
    </xf>
    <xf borderId="92" fillId="6" fontId="18" numFmtId="9" xfId="0" applyAlignment="1" applyBorder="1" applyFont="1" applyNumberFormat="1">
      <alignment horizontal="center" readingOrder="0" vertical="center"/>
    </xf>
    <xf borderId="93" fillId="0" fontId="7" numFmtId="0" xfId="0" applyAlignment="1" applyBorder="1" applyFont="1">
      <alignment horizontal="center" vertical="center"/>
    </xf>
    <xf borderId="94" fillId="0" fontId="18" numFmtId="0" xfId="0" applyAlignment="1" applyBorder="1" applyFont="1">
      <alignment horizontal="left" readingOrder="0" vertical="center"/>
    </xf>
    <xf borderId="95" fillId="0" fontId="18" numFmtId="164" xfId="0" applyAlignment="1" applyBorder="1" applyFont="1" applyNumberFormat="1">
      <alignment horizontal="center" readingOrder="0" vertical="center"/>
    </xf>
    <xf borderId="84" fillId="4" fontId="18" numFmtId="164" xfId="0" applyAlignment="1" applyBorder="1" applyFont="1" applyNumberFormat="1">
      <alignment horizontal="center" readingOrder="0" vertical="center"/>
    </xf>
    <xf borderId="85" fillId="12" fontId="18" numFmtId="164" xfId="0" applyAlignment="1" applyBorder="1" applyFont="1" applyNumberFormat="1">
      <alignment horizontal="center" readingOrder="0" vertical="center"/>
    </xf>
    <xf borderId="86" fillId="4" fontId="18" numFmtId="164" xfId="0" applyAlignment="1" applyBorder="1" applyFont="1" applyNumberFormat="1">
      <alignment horizontal="center" readingOrder="0" vertical="center"/>
    </xf>
    <xf borderId="19" fillId="3" fontId="18" numFmtId="164" xfId="0" applyAlignment="1" applyBorder="1" applyFont="1" applyNumberFormat="1">
      <alignment horizontal="center" readingOrder="0" vertical="center"/>
    </xf>
    <xf borderId="96" fillId="9" fontId="18" numFmtId="9" xfId="0" applyAlignment="1" applyBorder="1" applyFont="1" applyNumberFormat="1">
      <alignment horizontal="center" readingOrder="0" vertical="center"/>
    </xf>
    <xf borderId="97" fillId="4" fontId="7" numFmtId="0" xfId="0" applyAlignment="1" applyBorder="1" applyFont="1">
      <alignment horizontal="center" vertical="center"/>
    </xf>
    <xf borderId="98" fillId="4" fontId="18" numFmtId="0" xfId="0" applyAlignment="1" applyBorder="1" applyFont="1">
      <alignment horizontal="left" readingOrder="0" vertical="center"/>
    </xf>
    <xf borderId="99" fillId="7" fontId="18" numFmtId="164" xfId="0" applyAlignment="1" applyBorder="1" applyFont="1" applyNumberFormat="1">
      <alignment horizontal="center" readingOrder="0" vertical="center"/>
    </xf>
    <xf borderId="100" fillId="4" fontId="7" numFmtId="0" xfId="0" applyAlignment="1" applyBorder="1" applyFont="1">
      <alignment vertical="center"/>
    </xf>
    <xf borderId="66" fillId="4" fontId="7" numFmtId="0" xfId="0" applyAlignment="1" applyBorder="1" applyFont="1">
      <alignment horizontal="center" vertical="center"/>
    </xf>
    <xf borderId="101" fillId="4" fontId="7" numFmtId="0" xfId="0" applyAlignment="1" applyBorder="1" applyFont="1">
      <alignment vertical="center"/>
    </xf>
    <xf borderId="14" fillId="3" fontId="9" numFmtId="0" xfId="0" applyAlignment="1" applyBorder="1" applyFont="1">
      <alignment vertical="center"/>
    </xf>
    <xf borderId="81" fillId="4" fontId="9" numFmtId="0" xfId="0" applyAlignment="1" applyBorder="1" applyFont="1">
      <alignment vertical="center"/>
    </xf>
    <xf borderId="82" fillId="4" fontId="9" numFmtId="0" xfId="0" applyAlignment="1" applyBorder="1" applyFont="1">
      <alignment horizontal="center" vertical="center"/>
    </xf>
    <xf borderId="102" fillId="4" fontId="24" numFmtId="0" xfId="0" applyAlignment="1" applyBorder="1" applyFont="1">
      <alignment horizontal="center" readingOrder="0" vertical="center"/>
    </xf>
    <xf borderId="103" fillId="0" fontId="2" numFmtId="0" xfId="0" applyBorder="1" applyFont="1"/>
    <xf borderId="104" fillId="0" fontId="2" numFmtId="0" xfId="0" applyBorder="1" applyFont="1"/>
    <xf borderId="102" fillId="4" fontId="25" numFmtId="0" xfId="0" applyAlignment="1" applyBorder="1" applyFont="1">
      <alignment horizontal="center" readingOrder="0" vertical="center"/>
    </xf>
    <xf borderId="102" fillId="4" fontId="26" numFmtId="0" xfId="0" applyAlignment="1" applyBorder="1" applyFont="1">
      <alignment horizontal="center" readingOrder="0" vertical="center"/>
    </xf>
    <xf borderId="86" fillId="4" fontId="9" numFmtId="164" xfId="0" applyAlignment="1" applyBorder="1" applyFont="1" applyNumberFormat="1">
      <alignment horizontal="center" readingOrder="0" vertical="center"/>
    </xf>
    <xf borderId="19" fillId="3" fontId="9" numFmtId="164" xfId="0" applyAlignment="1" applyBorder="1" applyFont="1" applyNumberFormat="1">
      <alignment horizontal="center" readingOrder="0" vertical="center"/>
    </xf>
    <xf borderId="105" fillId="4" fontId="22" numFmtId="0" xfId="0" applyAlignment="1" applyBorder="1" applyFont="1">
      <alignment horizontal="center" readingOrder="0" vertical="center"/>
    </xf>
    <xf borderId="106" fillId="4" fontId="22" numFmtId="0" xfId="0" applyAlignment="1" applyBorder="1" applyFont="1">
      <alignment horizontal="center" readingOrder="0" vertical="center"/>
    </xf>
    <xf borderId="86" fillId="4" fontId="22" numFmtId="164" xfId="0" applyAlignment="1" applyBorder="1" applyFont="1" applyNumberFormat="1">
      <alignment horizontal="center" readingOrder="0" vertical="center"/>
    </xf>
    <xf borderId="19" fillId="3" fontId="22" numFmtId="164" xfId="0" applyAlignment="1" applyBorder="1" applyFont="1" applyNumberFormat="1">
      <alignment horizontal="center" readingOrder="0" vertical="center"/>
    </xf>
    <xf borderId="107" fillId="6" fontId="18" numFmtId="9" xfId="0" applyAlignment="1" applyBorder="1" applyFont="1" applyNumberFormat="1">
      <alignment horizontal="center" readingOrder="0" vertical="center"/>
    </xf>
    <xf borderId="108" fillId="0" fontId="18" numFmtId="164" xfId="0" applyAlignment="1" applyBorder="1" applyFont="1" applyNumberFormat="1">
      <alignment horizontal="center" readingOrder="0" vertical="center"/>
    </xf>
    <xf borderId="84" fillId="4" fontId="18" numFmtId="0" xfId="0" applyAlignment="1" applyBorder="1" applyFont="1">
      <alignment horizontal="center" readingOrder="0" vertical="center"/>
    </xf>
    <xf borderId="85" fillId="12" fontId="18" numFmtId="0" xfId="0" applyAlignment="1" applyBorder="1" applyFont="1">
      <alignment horizontal="center" readingOrder="0" vertical="center"/>
    </xf>
    <xf borderId="109" fillId="10" fontId="18" numFmtId="9" xfId="0" applyAlignment="1" applyBorder="1" applyFont="1" applyNumberFormat="1">
      <alignment horizontal="center" readingOrder="0" vertical="center"/>
    </xf>
    <xf borderId="110" fillId="4" fontId="7" numFmtId="0" xfId="0" applyAlignment="1" applyBorder="1" applyFont="1">
      <alignment horizontal="center" vertical="center"/>
    </xf>
    <xf borderId="111" fillId="4" fontId="18" numFmtId="0" xfId="0" applyAlignment="1" applyBorder="1" applyFont="1">
      <alignment readingOrder="0" vertical="center"/>
    </xf>
    <xf borderId="112" fillId="7" fontId="18" numFmtId="164" xfId="0" applyAlignment="1" applyBorder="1" applyFont="1" applyNumberFormat="1">
      <alignment horizontal="center" readingOrder="0" vertical="center"/>
    </xf>
    <xf borderId="113" fillId="10" fontId="18" numFmtId="9" xfId="0" applyAlignment="1" applyBorder="1" applyFont="1" applyNumberFormat="1">
      <alignment horizontal="center" readingOrder="0" vertical="center"/>
    </xf>
    <xf borderId="114" fillId="0" fontId="7" numFmtId="0" xfId="0" applyAlignment="1" applyBorder="1" applyFont="1">
      <alignment horizontal="center" vertical="center"/>
    </xf>
    <xf borderId="115" fillId="0" fontId="18" numFmtId="0" xfId="0" applyAlignment="1" applyBorder="1" applyFont="1">
      <alignment readingOrder="0" vertical="center"/>
    </xf>
    <xf borderId="116" fillId="0" fontId="18" numFmtId="0" xfId="0" applyAlignment="1" applyBorder="1" applyFont="1">
      <alignment horizontal="center" readingOrder="0" vertical="center"/>
    </xf>
    <xf borderId="117" fillId="6" fontId="18" numFmtId="9" xfId="0" applyAlignment="1" applyBorder="1" applyFont="1" applyNumberFormat="1">
      <alignment horizontal="center" readingOrder="0" vertical="center"/>
    </xf>
    <xf borderId="35" fillId="0" fontId="18" numFmtId="0" xfId="0" applyAlignment="1" applyBorder="1" applyFont="1">
      <alignment readingOrder="0" vertical="center"/>
    </xf>
    <xf borderId="118" fillId="0" fontId="18" numFmtId="0" xfId="0" applyAlignment="1" applyBorder="1" applyFont="1">
      <alignment horizontal="center" readingOrder="0" vertical="center"/>
    </xf>
    <xf borderId="39" fillId="4" fontId="18" numFmtId="0" xfId="0" applyAlignment="1" applyBorder="1" applyFont="1">
      <alignment readingOrder="0" vertical="center"/>
    </xf>
    <xf borderId="119" fillId="4" fontId="18" numFmtId="0" xfId="0" applyAlignment="1" applyBorder="1" applyFont="1">
      <alignment horizontal="center" readingOrder="0" vertical="center"/>
    </xf>
    <xf borderId="120" fillId="9" fontId="18" numFmtId="9" xfId="0" applyAlignment="1" applyBorder="1" applyFont="1" applyNumberFormat="1">
      <alignment horizontal="center" readingOrder="0" vertical="center"/>
    </xf>
    <xf borderId="121" fillId="0" fontId="7" numFmtId="0" xfId="0" applyAlignment="1" applyBorder="1" applyFont="1">
      <alignment horizontal="center" vertical="center"/>
    </xf>
    <xf borderId="122" fillId="0" fontId="18" numFmtId="0" xfId="0" applyAlignment="1" applyBorder="1" applyFont="1">
      <alignment readingOrder="0" vertical="center"/>
    </xf>
    <xf borderId="123" fillId="0" fontId="18" numFmtId="0" xfId="0" applyAlignment="1" applyBorder="1" applyFont="1">
      <alignment horizontal="center" readingOrder="0" vertical="center"/>
    </xf>
    <xf borderId="124" fillId="4" fontId="7" numFmtId="0" xfId="0" applyAlignment="1" applyBorder="1" applyFont="1">
      <alignment horizontal="center" vertical="center"/>
    </xf>
    <xf borderId="125" fillId="4" fontId="18" numFmtId="0" xfId="0" applyAlignment="1" applyBorder="1" applyFont="1">
      <alignment readingOrder="0" vertical="center"/>
    </xf>
    <xf borderId="112" fillId="4" fontId="18" numFmtId="0" xfId="0" applyAlignment="1" applyBorder="1" applyFont="1">
      <alignment horizontal="center" readingOrder="0" vertical="center"/>
    </xf>
    <xf borderId="126" fillId="11" fontId="18" numFmtId="9" xfId="0" applyAlignment="1" applyBorder="1" applyFont="1" applyNumberFormat="1">
      <alignment horizontal="center" readingOrder="0" vertical="center"/>
    </xf>
    <xf borderId="127" fillId="0" fontId="7" numFmtId="0" xfId="0" applyAlignment="1" applyBorder="1" applyFont="1">
      <alignment horizontal="center" vertical="center"/>
    </xf>
    <xf borderId="128" fillId="0" fontId="18" numFmtId="0" xfId="0" applyAlignment="1" applyBorder="1" applyFont="1">
      <alignment readingOrder="0" vertical="center"/>
    </xf>
    <xf borderId="129" fillId="0" fontId="18" numFmtId="0" xfId="0" applyAlignment="1" applyBorder="1" applyFont="1">
      <alignment horizontal="center" readingOrder="0" vertical="center"/>
    </xf>
    <xf borderId="130" fillId="0" fontId="7" numFmtId="0" xfId="0" applyAlignment="1" applyBorder="1" applyFont="1">
      <alignment horizontal="center" vertical="center"/>
    </xf>
    <xf borderId="131" fillId="0" fontId="18" numFmtId="0" xfId="0" applyAlignment="1" applyBorder="1" applyFont="1">
      <alignment readingOrder="0" vertical="center"/>
    </xf>
    <xf borderId="119" fillId="0" fontId="18" numFmtId="0" xfId="0" applyAlignment="1" applyBorder="1" applyFont="1">
      <alignment horizontal="center" readingOrder="0" vertical="center"/>
    </xf>
    <xf borderId="119" fillId="0" fontId="18" numFmtId="164" xfId="0" applyAlignment="1" applyBorder="1" applyFont="1" applyNumberFormat="1">
      <alignment horizontal="center" readingOrder="0" vertical="center"/>
    </xf>
    <xf borderId="86" fillId="4" fontId="18" numFmtId="0" xfId="0" applyAlignment="1" applyBorder="1" applyFont="1">
      <alignment horizontal="center" readingOrder="0" vertical="center"/>
    </xf>
    <xf borderId="19" fillId="3" fontId="18" numFmtId="0" xfId="0" applyAlignment="1" applyBorder="1" applyFont="1">
      <alignment horizontal="center" readingOrder="0" vertical="center"/>
    </xf>
    <xf borderId="132" fillId="8" fontId="18" numFmtId="9" xfId="0" applyAlignment="1" applyBorder="1" applyFont="1" applyNumberFormat="1">
      <alignment horizontal="center" readingOrder="0" vertical="center"/>
    </xf>
    <xf borderId="133" fillId="4" fontId="7" numFmtId="0" xfId="0" applyAlignment="1" applyBorder="1" applyFont="1">
      <alignment horizontal="center" vertical="center"/>
    </xf>
    <xf borderId="134" fillId="4" fontId="18" numFmtId="0" xfId="0" applyAlignment="1" applyBorder="1" applyFont="1">
      <alignment readingOrder="0" vertical="center"/>
    </xf>
    <xf borderId="135" fillId="4" fontId="18" numFmtId="0" xfId="0" applyAlignment="1" applyBorder="1" applyFont="1">
      <alignment horizontal="center" readingOrder="0" vertical="center"/>
    </xf>
    <xf borderId="135" fillId="4" fontId="18" numFmtId="164" xfId="0" applyAlignment="1" applyBorder="1" applyFont="1" applyNumberFormat="1">
      <alignment horizontal="center" readingOrder="0" vertical="center"/>
    </xf>
    <xf borderId="136" fillId="4" fontId="7" numFmtId="0" xfId="0" applyAlignment="1" applyBorder="1" applyFont="1">
      <alignment vertical="center"/>
    </xf>
    <xf borderId="137" fillId="4" fontId="7" numFmtId="0" xfId="0" applyAlignment="1" applyBorder="1" applyFont="1">
      <alignment vertical="center"/>
    </xf>
    <xf borderId="138" fillId="4" fontId="7" numFmtId="0" xfId="0" applyAlignment="1" applyBorder="1" applyFont="1">
      <alignment horizontal="center" vertical="center"/>
    </xf>
    <xf borderId="138" fillId="4" fontId="7" numFmtId="0" xfId="0" applyAlignment="1" applyBorder="1" applyFont="1">
      <alignment vertical="center"/>
    </xf>
    <xf borderId="139" fillId="4" fontId="7" numFmtId="0" xfId="0" applyAlignment="1" applyBorder="1" applyFont="1">
      <alignment vertical="center"/>
    </xf>
    <xf borderId="140" fillId="4" fontId="7" numFmtId="0" xfId="0" applyAlignment="1" applyBorder="1" applyFont="1">
      <alignment vertical="center"/>
    </xf>
    <xf borderId="75" fillId="3" fontId="7" numFmtId="0" xfId="0" applyAlignment="1" applyBorder="1" applyFont="1">
      <alignment horizontal="center" vertical="center"/>
    </xf>
    <xf borderId="13" fillId="3" fontId="27" numFmtId="0" xfId="0" applyBorder="1" applyFont="1"/>
    <xf borderId="14" fillId="3" fontId="28" numFmtId="0" xfId="0" applyAlignment="1" applyBorder="1" applyFont="1">
      <alignment horizontal="center" readingOrder="0" vertical="center"/>
    </xf>
    <xf borderId="141" fillId="4" fontId="28" numFmtId="0" xfId="0" applyAlignment="1" applyBorder="1" applyFont="1">
      <alignment horizontal="center" readingOrder="0" vertical="center"/>
    </xf>
    <xf borderId="142" fillId="4" fontId="29" numFmtId="0" xfId="0" applyAlignment="1" applyBorder="1" applyFont="1">
      <alignment horizontal="center" readingOrder="0" vertical="center"/>
    </xf>
    <xf borderId="143" fillId="0" fontId="2" numFmtId="0" xfId="0" applyBorder="1" applyFont="1"/>
    <xf borderId="144" fillId="0" fontId="2" numFmtId="0" xfId="0" applyBorder="1" applyFont="1"/>
    <xf borderId="145" fillId="4" fontId="28" numFmtId="0" xfId="0" applyAlignment="1" applyBorder="1" applyFont="1">
      <alignment horizontal="center" readingOrder="0" vertical="center"/>
    </xf>
    <xf borderId="19" fillId="3" fontId="28" numFmtId="0" xfId="0" applyAlignment="1" applyBorder="1" applyFont="1">
      <alignment horizontal="center" readingOrder="0" vertical="center"/>
    </xf>
    <xf borderId="146" fillId="4" fontId="9" numFmtId="0" xfId="0" applyAlignment="1" applyBorder="1" applyFont="1">
      <alignment horizontal="center" vertical="center"/>
    </xf>
    <xf borderId="147" fillId="4" fontId="9" numFmtId="0" xfId="0" applyAlignment="1" applyBorder="1" applyFont="1">
      <alignment horizontal="center" vertical="center"/>
    </xf>
    <xf borderId="84" fillId="4" fontId="30" numFmtId="0" xfId="0" applyAlignment="1" applyBorder="1" applyFont="1">
      <alignment horizontal="center" vertical="center"/>
    </xf>
    <xf borderId="148" fillId="4" fontId="9" numFmtId="0" xfId="0" applyAlignment="1" applyBorder="1" applyFont="1">
      <alignment horizontal="center" vertical="center"/>
    </xf>
    <xf borderId="146" fillId="4" fontId="22" numFmtId="0" xfId="0" applyAlignment="1" applyBorder="1" applyFont="1">
      <alignment vertical="center"/>
    </xf>
    <xf borderId="147" fillId="4" fontId="22" numFmtId="0" xfId="0" applyAlignment="1" applyBorder="1" applyFont="1">
      <alignment vertical="center"/>
    </xf>
    <xf borderId="148" fillId="4" fontId="22" numFmtId="0" xfId="0" applyAlignment="1" applyBorder="1" applyFont="1">
      <alignment vertical="center"/>
    </xf>
    <xf borderId="19" fillId="3" fontId="22" numFmtId="0" xfId="0" applyAlignment="1" applyBorder="1" applyFont="1">
      <alignment vertical="center"/>
    </xf>
    <xf borderId="146" fillId="4" fontId="7" numFmtId="0" xfId="0" applyAlignment="1" applyBorder="1" applyFont="1">
      <alignment vertical="center"/>
    </xf>
    <xf borderId="149" fillId="6" fontId="18" numFmtId="9" xfId="0" applyAlignment="1" applyBorder="1" applyFont="1" applyNumberFormat="1">
      <alignment horizontal="center" readingOrder="0" vertical="center"/>
    </xf>
    <xf borderId="150" fillId="0" fontId="18" numFmtId="164" xfId="0" applyAlignment="1" applyBorder="1" applyFont="1" applyNumberFormat="1">
      <alignment horizontal="center" readingOrder="0" vertical="center"/>
    </xf>
    <xf borderId="147" fillId="4" fontId="7" numFmtId="0" xfId="0" applyAlignment="1" applyBorder="1" applyFont="1">
      <alignment vertical="center"/>
    </xf>
    <xf borderId="84" fillId="4" fontId="27" numFmtId="0" xfId="0" applyBorder="1" applyFont="1"/>
    <xf borderId="151" fillId="6" fontId="18" numFmtId="9" xfId="0" applyAlignment="1" applyBorder="1" applyFont="1" applyNumberFormat="1">
      <alignment horizontal="center" readingOrder="0" vertical="center"/>
    </xf>
    <xf borderId="131" fillId="0" fontId="18" numFmtId="0" xfId="0" applyAlignment="1" applyBorder="1" applyFont="1">
      <alignment horizontal="left" readingOrder="0" vertical="center"/>
    </xf>
    <xf borderId="112" fillId="0" fontId="18" numFmtId="164" xfId="0" applyAlignment="1" applyBorder="1" applyFont="1" applyNumberFormat="1">
      <alignment horizontal="center" readingOrder="0" vertical="center"/>
    </xf>
    <xf borderId="148" fillId="4" fontId="7" numFmtId="0" xfId="0" applyAlignment="1" applyBorder="1" applyFont="1">
      <alignment vertical="center"/>
    </xf>
    <xf borderId="119" fillId="7" fontId="18" numFmtId="164" xfId="0" applyAlignment="1" applyBorder="1" applyFont="1" applyNumberFormat="1">
      <alignment horizontal="center" readingOrder="0" vertical="center"/>
    </xf>
    <xf borderId="126" fillId="9" fontId="18" numFmtId="9" xfId="0" applyAlignment="1" applyBorder="1" applyFont="1" applyNumberFormat="1">
      <alignment horizontal="center" readingOrder="0" vertical="center"/>
    </xf>
    <xf borderId="129" fillId="7" fontId="18" numFmtId="164" xfId="0" applyAlignment="1" applyBorder="1" applyFont="1" applyNumberFormat="1">
      <alignment horizontal="center" readingOrder="0" vertical="center"/>
    </xf>
    <xf borderId="152" fillId="10" fontId="18" numFmtId="9" xfId="0" applyAlignment="1" applyBorder="1" applyFont="1" applyNumberFormat="1">
      <alignment horizontal="center" readingOrder="0" vertical="center"/>
    </xf>
    <xf borderId="111" fillId="4" fontId="18" numFmtId="0" xfId="0" applyAlignment="1" applyBorder="1" applyFont="1">
      <alignment horizontal="left" readingOrder="0" vertical="center"/>
    </xf>
    <xf borderId="150" fillId="7" fontId="18" numFmtId="164" xfId="0" applyAlignment="1" applyBorder="1" applyFont="1" applyNumberFormat="1">
      <alignment horizontal="center" readingOrder="0" vertical="center"/>
    </xf>
    <xf borderId="153" fillId="4" fontId="18" numFmtId="0" xfId="0" applyAlignment="1" applyBorder="1" applyFont="1">
      <alignment readingOrder="0" vertical="center"/>
    </xf>
    <xf borderId="120" fillId="8" fontId="18" numFmtId="9" xfId="0" applyAlignment="1" applyBorder="1" applyFont="1" applyNumberFormat="1">
      <alignment horizontal="center" readingOrder="0" vertical="center"/>
    </xf>
    <xf borderId="154" fillId="4" fontId="7" numFmtId="0" xfId="0" applyAlignment="1" applyBorder="1" applyFont="1">
      <alignment horizontal="center" vertical="center"/>
    </xf>
    <xf borderId="155" fillId="4" fontId="18" numFmtId="0" xfId="0" applyAlignment="1" applyBorder="1" applyFont="1">
      <alignment horizontal="left" readingOrder="0" vertical="center"/>
    </xf>
    <xf borderId="123" fillId="7" fontId="18" numFmtId="164" xfId="0" applyAlignment="1" applyBorder="1" applyFont="1" applyNumberFormat="1">
      <alignment horizontal="center" readingOrder="0" vertical="center"/>
    </xf>
    <xf borderId="156" fillId="8" fontId="18" numFmtId="9" xfId="0" applyAlignment="1" applyBorder="1" applyFont="1" applyNumberFormat="1">
      <alignment horizontal="center" readingOrder="0" vertical="center"/>
    </xf>
    <xf borderId="157" fillId="0" fontId="18" numFmtId="164" xfId="0" applyAlignment="1" applyBorder="1" applyFont="1" applyNumberFormat="1">
      <alignment horizontal="center" readingOrder="0" vertical="center"/>
    </xf>
    <xf borderId="158" fillId="4" fontId="27" numFmtId="0" xfId="0" applyBorder="1" applyFont="1"/>
    <xf borderId="90" fillId="4" fontId="7" numFmtId="0" xfId="0" applyAlignment="1" applyBorder="1" applyFont="1">
      <alignment horizontal="center" vertical="center"/>
    </xf>
    <xf borderId="91" fillId="4" fontId="27" numFmtId="0" xfId="0" applyBorder="1" applyFont="1"/>
    <xf borderId="115" fillId="0" fontId="18" numFmtId="0" xfId="0" applyAlignment="1" applyBorder="1" applyFont="1">
      <alignment horizontal="left" readingOrder="0" vertical="center"/>
    </xf>
    <xf borderId="116" fillId="0" fontId="18" numFmtId="164" xfId="0" applyAlignment="1" applyBorder="1" applyFont="1" applyNumberFormat="1">
      <alignment horizontal="center" readingOrder="0" vertical="center"/>
    </xf>
    <xf borderId="122" fillId="0" fontId="18" numFmtId="0" xfId="0" applyAlignment="1" applyBorder="1" applyFont="1">
      <alignment horizontal="left" readingOrder="0" vertical="center"/>
    </xf>
    <xf borderId="123" fillId="0" fontId="18" numFmtId="164" xfId="0" applyAlignment="1" applyBorder="1" applyFont="1" applyNumberFormat="1">
      <alignment horizontal="center" readingOrder="0" vertical="center"/>
    </xf>
    <xf borderId="109" fillId="9" fontId="18" numFmtId="9" xfId="0" applyAlignment="1" applyBorder="1" applyFont="1" applyNumberFormat="1">
      <alignment horizontal="center" readingOrder="0" vertical="center"/>
    </xf>
    <xf borderId="159" fillId="8" fontId="18" numFmtId="9" xfId="0" applyAlignment="1" applyBorder="1" applyFont="1" applyNumberFormat="1">
      <alignment horizontal="center" readingOrder="0" vertical="center"/>
    </xf>
    <xf borderId="118" fillId="7" fontId="18" numFmtId="164" xfId="0" applyAlignment="1" applyBorder="1" applyFont="1" applyNumberFormat="1">
      <alignment horizontal="center" readingOrder="0" vertical="center"/>
    </xf>
    <xf borderId="67" fillId="4" fontId="7" numFmtId="0" xfId="0" applyAlignment="1" applyBorder="1" applyFont="1">
      <alignment horizontal="center" vertical="center"/>
    </xf>
    <xf borderId="91" fillId="4" fontId="31" numFmtId="0" xfId="0" applyAlignment="1" applyBorder="1" applyFont="1">
      <alignment horizontal="center" readingOrder="0" vertical="center"/>
    </xf>
    <xf borderId="84" fillId="0" fontId="2" numFmtId="0" xfId="0" applyBorder="1" applyFont="1"/>
    <xf borderId="158" fillId="0" fontId="2" numFmtId="0" xfId="0" applyBorder="1" applyFont="1"/>
    <xf borderId="67" fillId="4" fontId="27" numFmtId="0" xfId="0" applyBorder="1" applyFont="1"/>
    <xf borderId="160" fillId="4" fontId="31" numFmtId="0" xfId="0" applyAlignment="1" applyBorder="1" applyFont="1">
      <alignment horizontal="center" readingOrder="0" vertical="center"/>
    </xf>
    <xf borderId="161" fillId="0" fontId="2" numFmtId="0" xfId="0" applyBorder="1" applyFont="1"/>
    <xf borderId="162" fillId="0" fontId="2" numFmtId="0" xfId="0" applyBorder="1" applyFont="1"/>
    <xf borderId="107" fillId="10" fontId="18" numFmtId="9" xfId="0" applyAlignment="1" applyBorder="1" applyFont="1" applyNumberFormat="1">
      <alignment horizontal="center" readingOrder="0" vertical="center"/>
    </xf>
    <xf borderId="163" fillId="4" fontId="7" numFmtId="0" xfId="0" applyAlignment="1" applyBorder="1" applyFont="1">
      <alignment horizontal="center" vertical="center"/>
    </xf>
    <xf borderId="164" fillId="4" fontId="18" numFmtId="0" xfId="0" applyAlignment="1" applyBorder="1" applyFont="1">
      <alignment readingOrder="0" vertical="center"/>
    </xf>
    <xf borderId="108" fillId="7" fontId="18" numFmtId="164" xfId="0" applyAlignment="1" applyBorder="1" applyFont="1" applyNumberFormat="1">
      <alignment horizontal="center" readingOrder="0" vertical="center"/>
    </xf>
    <xf borderId="120" fillId="10" fontId="18" numFmtId="9" xfId="0" applyAlignment="1" applyBorder="1" applyFont="1" applyNumberFormat="1">
      <alignment horizontal="center" readingOrder="0" vertical="center"/>
    </xf>
    <xf borderId="118" fillId="0" fontId="18" numFmtId="164" xfId="0" applyAlignment="1" applyBorder="1" applyFont="1" applyNumberFormat="1">
      <alignment horizontal="center" readingOrder="0" vertical="center"/>
    </xf>
    <xf borderId="67" fillId="4" fontId="32" numFmtId="0" xfId="0" applyAlignment="1" applyBorder="1" applyFont="1">
      <alignment horizontal="center" readingOrder="0" vertical="center"/>
    </xf>
    <xf borderId="91" fillId="4" fontId="32" numFmtId="0" xfId="0" applyAlignment="1" applyBorder="1" applyFont="1">
      <alignment horizontal="center" readingOrder="0" vertical="center"/>
    </xf>
    <xf borderId="165" fillId="11" fontId="18" numFmtId="9" xfId="0" applyAlignment="1" applyBorder="1" applyFont="1" applyNumberFormat="1">
      <alignment horizontal="center" readingOrder="0" vertical="center"/>
    </xf>
    <xf borderId="166" fillId="0" fontId="7" numFmtId="0" xfId="0" applyAlignment="1" applyBorder="1" applyFont="1">
      <alignment horizontal="center" vertical="center"/>
    </xf>
    <xf borderId="167" fillId="0" fontId="18" numFmtId="0" xfId="0" applyAlignment="1" applyBorder="1" applyFont="1">
      <alignment readingOrder="0" vertical="center"/>
    </xf>
    <xf borderId="168" fillId="0" fontId="18" numFmtId="164" xfId="0" applyAlignment="1" applyBorder="1" applyFont="1" applyNumberFormat="1">
      <alignment horizontal="center" readingOrder="0" vertical="center"/>
    </xf>
    <xf borderId="167" fillId="0" fontId="18" numFmtId="0" xfId="0" applyAlignment="1" applyBorder="1" applyFont="1">
      <alignment horizontal="left" readingOrder="0" vertical="center"/>
    </xf>
    <xf borderId="169" fillId="8" fontId="18" numFmtId="9" xfId="0" applyAlignment="1" applyBorder="1" applyFont="1" applyNumberFormat="1">
      <alignment horizontal="center" readingOrder="0" vertical="center"/>
    </xf>
    <xf borderId="170" fillId="7" fontId="18" numFmtId="164" xfId="0" applyAlignment="1" applyBorder="1" applyFont="1" applyNumberFormat="1">
      <alignment horizontal="center" readingOrder="0" vertical="center"/>
    </xf>
    <xf borderId="67" fillId="4" fontId="18" numFmtId="9" xfId="0" applyAlignment="1" applyBorder="1" applyFont="1" applyNumberFormat="1">
      <alignment horizontal="center" readingOrder="0" vertical="center"/>
    </xf>
    <xf borderId="67" fillId="4" fontId="18" numFmtId="0" xfId="0" applyAlignment="1" applyBorder="1" applyFont="1">
      <alignment readingOrder="0" vertical="center"/>
    </xf>
    <xf borderId="67" fillId="4" fontId="18" numFmtId="0" xfId="0" applyAlignment="1" applyBorder="1" applyFont="1">
      <alignment horizontal="center" readingOrder="0" vertical="center"/>
    </xf>
    <xf borderId="90" fillId="4" fontId="18" numFmtId="9" xfId="0" applyAlignment="1" applyBorder="1" applyFont="1" applyNumberFormat="1">
      <alignment horizontal="center" readingOrder="0" vertical="center"/>
    </xf>
    <xf borderId="90" fillId="4" fontId="18" numFmtId="0" xfId="0" applyAlignment="1" applyBorder="1" applyFont="1">
      <alignment readingOrder="0" vertical="center"/>
    </xf>
    <xf borderId="90" fillId="4" fontId="18" numFmtId="0" xfId="0" applyAlignment="1" applyBorder="1" applyFont="1">
      <alignment horizontal="center" readingOrder="0" vertical="center"/>
    </xf>
    <xf borderId="171" fillId="4" fontId="7" numFmtId="0" xfId="0" applyAlignment="1" applyBorder="1" applyFont="1">
      <alignment vertical="center"/>
    </xf>
    <xf borderId="172" fillId="9" fontId="18" numFmtId="9" xfId="0" applyAlignment="1" applyBorder="1" applyFont="1" applyNumberFormat="1">
      <alignment horizontal="center" readingOrder="0" vertical="center"/>
    </xf>
    <xf borderId="158" fillId="4" fontId="18" numFmtId="9" xfId="0" applyAlignment="1" applyBorder="1" applyFont="1" applyNumberFormat="1">
      <alignment horizontal="left" readingOrder="0" vertical="top"/>
    </xf>
    <xf borderId="67" fillId="4" fontId="18" numFmtId="9" xfId="0" applyAlignment="1" applyBorder="1" applyFont="1" applyNumberFormat="1">
      <alignment horizontal="left" readingOrder="0" vertical="top"/>
    </xf>
    <xf borderId="173" fillId="9" fontId="18" numFmtId="9" xfId="0" applyAlignment="1" applyBorder="1" applyFont="1" applyNumberFormat="1">
      <alignment horizontal="center" readingOrder="0" vertical="center"/>
    </xf>
    <xf borderId="174" fillId="10" fontId="18" numFmtId="9" xfId="0" applyAlignment="1" applyBorder="1" applyFont="1" applyNumberFormat="1">
      <alignment horizontal="center" readingOrder="0" vertical="center"/>
    </xf>
    <xf borderId="175" fillId="10" fontId="18" numFmtId="9" xfId="0" applyAlignment="1" applyBorder="1" applyFont="1" applyNumberFormat="1">
      <alignment horizontal="center" readingOrder="0" vertical="center"/>
    </xf>
    <xf borderId="176" fillId="11" fontId="18" numFmtId="9" xfId="0" applyAlignment="1" applyBorder="1" applyFont="1" applyNumberFormat="1">
      <alignment horizontal="center" readingOrder="0" vertical="center"/>
    </xf>
    <xf borderId="177" fillId="11" fontId="18" numFmtId="9" xfId="0" applyAlignment="1" applyBorder="1" applyFont="1" applyNumberFormat="1">
      <alignment horizontal="center" readingOrder="0" vertical="center"/>
    </xf>
    <xf borderId="178" fillId="4" fontId="7" numFmtId="0" xfId="0" applyAlignment="1" applyBorder="1" applyFont="1">
      <alignment horizontal="center" vertical="center"/>
    </xf>
    <xf borderId="179" fillId="4" fontId="18" numFmtId="0" xfId="0" applyAlignment="1" applyBorder="1" applyFont="1">
      <alignment horizontal="left" readingOrder="0" vertical="center"/>
    </xf>
    <xf borderId="116" fillId="7" fontId="18" numFmtId="164" xfId="0" applyAlignment="1" applyBorder="1" applyFont="1" applyNumberFormat="1">
      <alignment horizontal="center" readingOrder="0" vertical="center"/>
    </xf>
    <xf borderId="180" fillId="4" fontId="7" numFmtId="0" xfId="0" applyAlignment="1" applyBorder="1" applyFont="1">
      <alignment vertical="center"/>
    </xf>
    <xf borderId="181" fillId="4" fontId="7" numFmtId="0" xfId="0" applyAlignment="1" applyBorder="1" applyFont="1">
      <alignment vertical="center"/>
    </xf>
    <xf borderId="182" fillId="3" fontId="7" numFmtId="0" xfId="0" applyAlignment="1" applyBorder="1" applyFont="1">
      <alignment vertical="center"/>
    </xf>
    <xf borderId="183" fillId="4" fontId="7" numFmtId="0" xfId="0" applyAlignment="1" applyBorder="1" applyFont="1">
      <alignment vertical="center"/>
    </xf>
    <xf borderId="184" fillId="4" fontId="7" numFmtId="0" xfId="0" applyAlignment="1" applyBorder="1" applyFont="1">
      <alignment vertical="center"/>
    </xf>
    <xf borderId="185" fillId="4" fontId="7" numFmtId="0" xfId="0" applyAlignment="1" applyBorder="1" applyFont="1">
      <alignment vertical="center"/>
    </xf>
    <xf borderId="185" fillId="4" fontId="27" numFmtId="0" xfId="0" applyBorder="1" applyFont="1"/>
    <xf borderId="186" fillId="4" fontId="7" numFmtId="0" xfId="0" applyAlignment="1" applyBorder="1" applyFont="1">
      <alignment vertical="center"/>
    </xf>
    <xf borderId="75" fillId="3" fontId="18" numFmtId="9" xfId="0" applyAlignment="1" applyBorder="1" applyFont="1" applyNumberFormat="1">
      <alignment horizontal="left" readingOrder="0" vertical="top"/>
    </xf>
    <xf borderId="12" fillId="3" fontId="33" numFmtId="0" xfId="0" applyAlignment="1" applyBorder="1" applyFont="1">
      <alignment horizontal="center" vertical="center"/>
    </xf>
    <xf borderId="13" fillId="3" fontId="33" numFmtId="0" xfId="0" applyAlignment="1" applyBorder="1" applyFont="1">
      <alignment horizontal="center" vertical="center"/>
    </xf>
    <xf borderId="14" fillId="3" fontId="33" numFmtId="0" xfId="0" applyAlignment="1" applyBorder="1" applyFont="1">
      <alignment horizontal="center" vertical="center"/>
    </xf>
    <xf borderId="187" fillId="4" fontId="33" numFmtId="0" xfId="0" applyAlignment="1" applyBorder="1" applyFont="1">
      <alignment horizontal="center" vertical="center"/>
    </xf>
    <xf borderId="188" fillId="4" fontId="33" numFmtId="0" xfId="0" applyAlignment="1" applyBorder="1" applyFont="1">
      <alignment horizontal="center" vertical="center"/>
    </xf>
    <xf borderId="189" fillId="4" fontId="33" numFmtId="0" xfId="0" applyAlignment="1" applyBorder="1" applyFont="1">
      <alignment horizontal="center" vertical="center"/>
    </xf>
    <xf borderId="19" fillId="3" fontId="33" numFmtId="0" xfId="0" applyAlignment="1" applyBorder="1" applyFont="1">
      <alignment horizontal="center" vertical="center"/>
    </xf>
    <xf borderId="190" fillId="4" fontId="33" numFmtId="0" xfId="0" applyAlignment="1" applyBorder="1" applyFont="1">
      <alignment horizontal="center" vertical="center"/>
    </xf>
    <xf borderId="191" fillId="4" fontId="34" numFmtId="0" xfId="0" applyAlignment="1" applyBorder="1" applyFont="1">
      <alignment horizontal="left" readingOrder="0" vertical="center"/>
    </xf>
    <xf borderId="192" fillId="0" fontId="2" numFmtId="0" xfId="0" applyBorder="1" applyFont="1"/>
    <xf borderId="193" fillId="0" fontId="2" numFmtId="0" xfId="0" applyBorder="1" applyFont="1"/>
    <xf borderId="67" fillId="4" fontId="35" numFmtId="0" xfId="0" applyAlignment="1" applyBorder="1" applyFont="1">
      <alignment horizontal="left" readingOrder="0" vertical="center"/>
    </xf>
    <xf borderId="194" fillId="4" fontId="36" numFmtId="0" xfId="0" applyAlignment="1" applyBorder="1" applyFont="1">
      <alignment horizontal="left" vertical="center"/>
    </xf>
    <xf borderId="160" fillId="0" fontId="2" numFmtId="0" xfId="0" applyBorder="1" applyFont="1"/>
    <xf borderId="91" fillId="4" fontId="37" numFmtId="0" xfId="0" applyAlignment="1" applyBorder="1" applyFont="1">
      <alignment horizontal="left" readingOrder="0" vertical="center"/>
    </xf>
    <xf borderId="195" fillId="4" fontId="33" numFmtId="0" xfId="0" applyAlignment="1" applyBorder="1" applyFont="1">
      <alignment horizontal="center" vertical="center"/>
    </xf>
    <xf borderId="191" fillId="4" fontId="37" numFmtId="0" xfId="0" applyAlignment="1" applyBorder="1" applyFont="1">
      <alignment horizontal="left" readingOrder="0" vertical="center"/>
    </xf>
    <xf borderId="196" fillId="4" fontId="36" numFmtId="0" xfId="0" applyAlignment="1" applyBorder="1" applyFont="1">
      <alignment horizontal="left" vertical="center"/>
    </xf>
    <xf borderId="197" fillId="5" fontId="33" numFmtId="0" xfId="0" applyAlignment="1" applyBorder="1" applyFont="1">
      <alignment horizontal="center" vertical="center"/>
    </xf>
    <xf borderId="198" fillId="5" fontId="38" numFmtId="0" xfId="0" applyAlignment="1" applyBorder="1" applyFont="1">
      <alignment horizontal="left" readingOrder="0" vertical="center"/>
    </xf>
    <xf borderId="199" fillId="5" fontId="38" numFmtId="0" xfId="0" applyAlignment="1" applyBorder="1" applyFont="1">
      <alignment horizontal="left" readingOrder="0" vertical="center"/>
    </xf>
    <xf borderId="198" fillId="5" fontId="36" numFmtId="0" xfId="0" applyAlignment="1" applyBorder="1" applyFont="1">
      <alignment horizontal="left" vertical="center"/>
    </xf>
    <xf borderId="200" fillId="5" fontId="36" numFmtId="0" xfId="0" applyAlignment="1" applyBorder="1" applyFont="1">
      <alignment horizontal="left" vertical="center"/>
    </xf>
    <xf borderId="201" fillId="5" fontId="33" numFmtId="0" xfId="0" applyAlignment="1" applyBorder="1" applyFont="1">
      <alignment horizontal="center" vertical="center"/>
    </xf>
    <xf borderId="202" fillId="13" fontId="39" numFmtId="0" xfId="0" applyAlignment="1" applyBorder="1" applyFill="1" applyFont="1">
      <alignment horizontal="center" readingOrder="0" vertical="center"/>
    </xf>
    <xf borderId="203" fillId="14" fontId="40" numFmtId="0" xfId="0" applyAlignment="1" applyBorder="1" applyFill="1" applyFont="1">
      <alignment horizontal="center" readingOrder="0" vertical="center"/>
    </xf>
    <xf borderId="204" fillId="5" fontId="36" numFmtId="0" xfId="0" applyAlignment="1" applyBorder="1" applyFont="1">
      <alignment horizontal="left" vertical="center"/>
    </xf>
    <xf borderId="205" fillId="0" fontId="2" numFmtId="0" xfId="0" applyBorder="1" applyFont="1"/>
    <xf borderId="206" fillId="5" fontId="33" numFmtId="0" xfId="0" applyAlignment="1" applyBorder="1" applyFont="1">
      <alignment horizontal="center" vertical="center"/>
    </xf>
    <xf borderId="202" fillId="15" fontId="41" numFmtId="0" xfId="0" applyAlignment="1" applyBorder="1" applyFill="1" applyFont="1">
      <alignment horizontal="center" readingOrder="0" vertical="center"/>
    </xf>
    <xf borderId="207" fillId="16" fontId="42" numFmtId="0" xfId="0" applyAlignment="1" applyBorder="1" applyFill="1" applyFont="1">
      <alignment horizontal="center" readingOrder="0" vertical="center"/>
    </xf>
    <xf borderId="208" fillId="5" fontId="36" numFmtId="0" xfId="0" applyAlignment="1" applyBorder="1" applyFont="1">
      <alignment horizontal="left" vertical="center"/>
    </xf>
    <xf borderId="202" fillId="17" fontId="43" numFmtId="0" xfId="0" applyAlignment="1" applyBorder="1" applyFill="1" applyFont="1">
      <alignment horizontal="center" readingOrder="0" vertical="center"/>
    </xf>
    <xf borderId="203" fillId="18" fontId="44" numFmtId="0" xfId="0" applyAlignment="1" applyBorder="1" applyFill="1" applyFont="1">
      <alignment horizontal="center" readingOrder="0" vertical="center"/>
    </xf>
    <xf borderId="209" fillId="5" fontId="36" numFmtId="0" xfId="0" applyAlignment="1" applyBorder="1" applyFont="1">
      <alignment horizontal="left" vertical="center"/>
    </xf>
    <xf borderId="202" fillId="19" fontId="45" numFmtId="0" xfId="0" applyAlignment="1" applyBorder="1" applyFill="1" applyFont="1">
      <alignment horizontal="center" readingOrder="0" vertical="center"/>
    </xf>
    <xf borderId="203" fillId="20" fontId="46" numFmtId="0" xfId="0" applyAlignment="1" applyBorder="1" applyFill="1" applyFont="1">
      <alignment horizontal="center" readingOrder="0" vertical="center"/>
    </xf>
    <xf borderId="210" fillId="5" fontId="36" numFmtId="0" xfId="0" applyAlignment="1" applyBorder="1" applyFont="1">
      <alignment horizontal="left" vertical="center"/>
    </xf>
    <xf borderId="211" fillId="21" fontId="47" numFmtId="0" xfId="0" applyAlignment="1" applyBorder="1" applyFill="1" applyFont="1">
      <alignment horizontal="center" readingOrder="0" vertical="center"/>
    </xf>
    <xf borderId="212" fillId="0" fontId="2" numFmtId="0" xfId="0" applyBorder="1" applyFont="1"/>
    <xf borderId="208" fillId="5" fontId="48" numFmtId="0" xfId="0" applyBorder="1" applyFont="1"/>
    <xf borderId="211" fillId="22" fontId="49" numFmtId="0" xfId="0" applyAlignment="1" applyBorder="1" applyFill="1" applyFont="1">
      <alignment horizontal="center" readingOrder="0" vertical="center"/>
    </xf>
    <xf borderId="213" fillId="0" fontId="2" numFmtId="0" xfId="0" applyBorder="1" applyFont="1"/>
    <xf borderId="214" fillId="0" fontId="2" numFmtId="0" xfId="0" applyBorder="1" applyFont="1"/>
    <xf borderId="215" fillId="13" fontId="50" numFmtId="0" xfId="0" applyAlignment="1" applyBorder="1" applyFont="1">
      <alignment horizontal="center" shrinkToFit="0" vertical="center" wrapText="0"/>
    </xf>
    <xf borderId="211" fillId="14" fontId="33" numFmtId="0" xfId="0" applyAlignment="1" applyBorder="1" applyFont="1">
      <alignment horizontal="center" readingOrder="0" vertical="center"/>
    </xf>
    <xf borderId="216" fillId="5" fontId="36" numFmtId="0" xfId="0" applyAlignment="1" applyBorder="1" applyFont="1">
      <alignment horizontal="center" vertical="center"/>
    </xf>
    <xf borderId="217" fillId="5" fontId="33" numFmtId="0" xfId="0" applyAlignment="1" applyBorder="1" applyFont="1">
      <alignment horizontal="center" vertical="center"/>
    </xf>
    <xf borderId="199" fillId="5" fontId="33" numFmtId="0" xfId="0" applyAlignment="1" applyBorder="1" applyFont="1">
      <alignment horizontal="center" vertical="center"/>
    </xf>
    <xf borderId="215" fillId="15" fontId="50" numFmtId="0" xfId="0" applyAlignment="1" applyBorder="1" applyFont="1">
      <alignment horizontal="center" shrinkToFit="0" vertical="center" wrapText="0"/>
    </xf>
    <xf borderId="218" fillId="16" fontId="33" numFmtId="0" xfId="0" applyAlignment="1" applyBorder="1" applyFont="1">
      <alignment horizontal="center" readingOrder="0" vertical="center"/>
    </xf>
    <xf borderId="211" fillId="5" fontId="36" numFmtId="0" xfId="0" applyAlignment="1" applyBorder="1" applyFont="1">
      <alignment horizontal="center" vertical="center"/>
    </xf>
    <xf borderId="215" fillId="17" fontId="50" numFmtId="0" xfId="0" applyAlignment="1" applyBorder="1" applyFont="1">
      <alignment horizontal="center" shrinkToFit="0" vertical="center" wrapText="0"/>
    </xf>
    <xf borderId="211" fillId="18" fontId="33" numFmtId="0" xfId="0" applyAlignment="1" applyBorder="1" applyFont="1">
      <alignment horizontal="center" readingOrder="0" vertical="center"/>
    </xf>
    <xf borderId="219" fillId="5" fontId="36" numFmtId="0" xfId="0" applyAlignment="1" applyBorder="1" applyFont="1">
      <alignment horizontal="center" vertical="center"/>
    </xf>
    <xf borderId="215" fillId="19" fontId="50" numFmtId="0" xfId="0" applyAlignment="1" applyBorder="1" applyFont="1">
      <alignment horizontal="center" shrinkToFit="0" vertical="center" wrapText="0"/>
    </xf>
    <xf borderId="211" fillId="20" fontId="33" numFmtId="0" xfId="0" applyAlignment="1" applyBorder="1" applyFont="1">
      <alignment horizontal="center" readingOrder="0" vertical="center"/>
    </xf>
    <xf borderId="220" fillId="5" fontId="36" numFmtId="0" xfId="0" applyAlignment="1" applyBorder="1" applyFont="1">
      <alignment horizontal="left" vertical="center"/>
    </xf>
    <xf borderId="221" fillId="0" fontId="2" numFmtId="0" xfId="0" applyBorder="1" applyFont="1"/>
    <xf borderId="222" fillId="23" fontId="48" numFmtId="0" xfId="0" applyAlignment="1" applyBorder="1" applyFill="1" applyFont="1">
      <alignment horizontal="center" vertical="center"/>
    </xf>
    <xf borderId="223" fillId="21" fontId="51" numFmtId="0" xfId="0" applyAlignment="1" applyBorder="1" applyFont="1">
      <alignment horizontal="center" readingOrder="0" vertical="center"/>
    </xf>
    <xf borderId="203" fillId="5" fontId="48" numFmtId="0" xfId="0" applyBorder="1" applyFont="1"/>
    <xf borderId="222" fillId="24" fontId="48" numFmtId="0" xfId="0" applyAlignment="1" applyBorder="1" applyFill="1" applyFont="1">
      <alignment horizontal="center" vertical="center"/>
    </xf>
    <xf borderId="224" fillId="22" fontId="51" numFmtId="0" xfId="0" applyAlignment="1" applyBorder="1" applyFont="1">
      <alignment horizontal="center" readingOrder="0" vertical="center"/>
    </xf>
    <xf borderId="225" fillId="0" fontId="2" numFmtId="0" xfId="0" applyBorder="1" applyFont="1"/>
    <xf borderId="226" fillId="5" fontId="33" numFmtId="0" xfId="0" applyAlignment="1" applyBorder="1" applyFont="1">
      <alignment horizontal="center" vertical="center"/>
    </xf>
    <xf borderId="225" fillId="5" fontId="36" numFmtId="0" xfId="0" applyAlignment="1" applyBorder="1" applyFont="1">
      <alignment horizontal="left" vertical="center"/>
    </xf>
    <xf borderId="221" fillId="5" fontId="36" numFmtId="0" xfId="0" applyAlignment="1" applyBorder="1" applyFont="1">
      <alignment horizontal="left" vertical="center"/>
    </xf>
    <xf borderId="227" fillId="5" fontId="33" numFmtId="0" xfId="0" applyAlignment="1" applyBorder="1" applyFont="1">
      <alignment horizontal="center" vertical="center"/>
    </xf>
    <xf borderId="228" fillId="5" fontId="33" numFmtId="0" xfId="0" applyAlignment="1" applyBorder="1" applyFont="1">
      <alignment horizontal="center" vertical="center"/>
    </xf>
    <xf borderId="229" fillId="5" fontId="33" numFmtId="0" xfId="0" applyAlignment="1" applyBorder="1" applyFont="1">
      <alignment horizontal="center" vertical="center"/>
    </xf>
    <xf borderId="75" fillId="3" fontId="33" numFmtId="0" xfId="0" applyAlignment="1" applyBorder="1" applyFont="1">
      <alignment horizontal="center" vertical="center"/>
    </xf>
    <xf borderId="12" fillId="3" fontId="52" numFmtId="0" xfId="0" applyAlignment="1" applyBorder="1" applyFont="1">
      <alignment vertical="center"/>
    </xf>
    <xf borderId="13" fillId="3" fontId="52" numFmtId="0" xfId="0" applyAlignment="1" applyBorder="1" applyFont="1">
      <alignment vertical="center"/>
    </xf>
    <xf borderId="14" fillId="3" fontId="52" numFmtId="0" xfId="0" applyAlignment="1" applyBorder="1" applyFont="1">
      <alignment vertical="center"/>
    </xf>
    <xf borderId="230" fillId="4" fontId="52" numFmtId="0" xfId="0" applyAlignment="1" applyBorder="1" applyFont="1">
      <alignment vertical="center"/>
    </xf>
    <xf borderId="231" fillId="4" fontId="52" numFmtId="0" xfId="0" applyAlignment="1" applyBorder="1" applyFont="1">
      <alignment vertical="center"/>
    </xf>
    <xf borderId="232" fillId="4" fontId="52" numFmtId="0" xfId="0" applyAlignment="1" applyBorder="1" applyFont="1">
      <alignment vertical="center"/>
    </xf>
    <xf borderId="233" fillId="4" fontId="52" numFmtId="0" xfId="0" applyAlignment="1" applyBorder="1" applyFont="1">
      <alignment vertical="center"/>
    </xf>
    <xf borderId="19" fillId="3" fontId="52" numFmtId="0" xfId="0" applyAlignment="1" applyBorder="1" applyFont="1">
      <alignment vertical="center"/>
    </xf>
    <xf borderId="234" fillId="4" fontId="52" numFmtId="0" xfId="0" applyAlignment="1" applyBorder="1" applyFont="1">
      <alignment vertical="center"/>
    </xf>
    <xf borderId="235" fillId="3" fontId="53" numFmtId="0" xfId="0" applyAlignment="1" applyBorder="1" applyFont="1">
      <alignment horizontal="center" readingOrder="0" vertical="center"/>
    </xf>
    <xf borderId="236" fillId="0" fontId="2" numFmtId="0" xfId="0" applyBorder="1" applyFont="1"/>
    <xf borderId="84" fillId="4" fontId="52" numFmtId="0" xfId="0" applyAlignment="1" applyBorder="1" applyFont="1">
      <alignment vertical="center"/>
    </xf>
    <xf borderId="237" fillId="4" fontId="52" numFmtId="0" xfId="0" applyAlignment="1" applyBorder="1" applyFont="1">
      <alignment vertical="center"/>
    </xf>
    <xf borderId="238" fillId="4" fontId="52" numFmtId="0" xfId="0" applyAlignment="1" applyBorder="1" applyFont="1">
      <alignment vertical="center"/>
    </xf>
    <xf borderId="66" fillId="4" fontId="52" numFmtId="0" xfId="0" applyAlignment="1" applyBorder="1" applyFont="1">
      <alignment horizontal="center" vertical="center"/>
    </xf>
    <xf borderId="66" fillId="4" fontId="54" numFmtId="0" xfId="0" applyAlignment="1" applyBorder="1" applyFont="1">
      <alignment readingOrder="0" vertical="center"/>
    </xf>
    <xf borderId="67" fillId="4" fontId="52" numFmtId="0" xfId="0" applyAlignment="1" applyBorder="1" applyFont="1">
      <alignment vertical="center"/>
    </xf>
    <xf borderId="239" fillId="4" fontId="52" numFmtId="0" xfId="0" applyAlignment="1" applyBorder="1" applyFont="1">
      <alignment vertical="center"/>
    </xf>
    <xf borderId="240" fillId="25" fontId="52" numFmtId="0" xfId="0" applyAlignment="1" applyBorder="1" applyFill="1" applyFont="1">
      <alignment horizontal="left" vertical="bottom"/>
    </xf>
    <xf borderId="241" fillId="25" fontId="54" numFmtId="0" xfId="0" applyAlignment="1" applyBorder="1" applyFont="1">
      <alignment readingOrder="0" vertical="center"/>
    </xf>
    <xf borderId="242" fillId="25" fontId="54" numFmtId="0" xfId="0" applyAlignment="1" applyBorder="1" applyFont="1">
      <alignment horizontal="left" readingOrder="0" vertical="center"/>
    </xf>
    <xf borderId="243" fillId="4" fontId="2" numFmtId="0" xfId="0" applyBorder="1" applyFill="1" applyFont="1"/>
    <xf borderId="244" fillId="26" fontId="52" numFmtId="0" xfId="0" applyAlignment="1" applyBorder="1" applyFill="1" applyFont="1">
      <alignment horizontal="left" vertical="center"/>
    </xf>
    <xf borderId="245" fillId="26" fontId="54" numFmtId="0" xfId="0" applyAlignment="1" applyBorder="1" applyFont="1">
      <alignment horizontal="left" readingOrder="0" vertical="center"/>
    </xf>
    <xf borderId="246" fillId="26" fontId="54" numFmtId="0" xfId="0" applyAlignment="1" applyBorder="1" applyFont="1">
      <alignment horizontal="left" readingOrder="0" vertical="center"/>
    </xf>
    <xf borderId="247" fillId="25" fontId="52" numFmtId="0" xfId="0" applyAlignment="1" applyBorder="1" applyFont="1">
      <alignment horizontal="left" vertical="center"/>
    </xf>
    <xf borderId="248" fillId="25" fontId="54" numFmtId="0" xfId="0" applyAlignment="1" applyBorder="1" applyFont="1">
      <alignment horizontal="left" readingOrder="0" vertical="center"/>
    </xf>
    <xf borderId="249" fillId="25" fontId="54" numFmtId="0" xfId="0" applyAlignment="1" applyBorder="1" applyFont="1">
      <alignment horizontal="left" readingOrder="0" vertical="center"/>
    </xf>
    <xf borderId="250" fillId="4" fontId="2" numFmtId="0" xfId="0" applyBorder="1" applyFont="1"/>
    <xf borderId="251" fillId="27" fontId="52" numFmtId="0" xfId="0" applyAlignment="1" applyBorder="1" applyFill="1" applyFont="1">
      <alignment horizontal="left" vertical="center"/>
    </xf>
    <xf borderId="252" fillId="27" fontId="54" numFmtId="0" xfId="0" applyAlignment="1" applyBorder="1" applyFont="1">
      <alignment horizontal="left" readingOrder="0" vertical="center"/>
    </xf>
    <xf borderId="253" fillId="27" fontId="54" numFmtId="0" xfId="0" applyAlignment="1" applyBorder="1" applyFont="1">
      <alignment horizontal="left" vertical="center"/>
    </xf>
    <xf borderId="254" fillId="28" fontId="2" numFmtId="0" xfId="0" applyBorder="1" applyFill="1" applyFont="1"/>
    <xf borderId="255" fillId="29" fontId="52" numFmtId="0" xfId="0" applyAlignment="1" applyBorder="1" applyFill="1" applyFont="1">
      <alignment horizontal="left" vertical="center"/>
    </xf>
    <xf borderId="256" fillId="29" fontId="54" numFmtId="0" xfId="0" applyAlignment="1" applyBorder="1" applyFont="1">
      <alignment horizontal="left" readingOrder="0" vertical="center"/>
    </xf>
    <xf borderId="249" fillId="29" fontId="54" numFmtId="0" xfId="0" applyAlignment="1" applyBorder="1" applyFont="1">
      <alignment horizontal="left" vertical="center"/>
    </xf>
    <xf borderId="257" fillId="27" fontId="52" numFmtId="0" xfId="0" applyAlignment="1" applyBorder="1" applyFont="1">
      <alignment horizontal="left" vertical="center"/>
    </xf>
    <xf borderId="258" fillId="27" fontId="54" numFmtId="0" xfId="0" applyAlignment="1" applyBorder="1" applyFont="1">
      <alignment horizontal="left" readingOrder="0" vertical="center"/>
    </xf>
    <xf borderId="259" fillId="27" fontId="54" numFmtId="0" xfId="0" applyAlignment="1" applyBorder="1" applyFont="1">
      <alignment horizontal="left" vertical="center"/>
    </xf>
    <xf borderId="260" fillId="28" fontId="2" numFmtId="0" xfId="0" applyBorder="1" applyFont="1"/>
    <xf borderId="249" fillId="29" fontId="55" numFmtId="0" xfId="0" applyAlignment="1" applyBorder="1" applyFont="1">
      <alignment horizontal="left" vertical="center"/>
    </xf>
    <xf borderId="259" fillId="27" fontId="56" numFmtId="0" xfId="0" applyAlignment="1" applyBorder="1" applyFont="1">
      <alignment horizontal="left" vertical="center"/>
    </xf>
    <xf borderId="261" fillId="29" fontId="54" numFmtId="0" xfId="0" applyAlignment="1" applyBorder="1" applyFont="1">
      <alignment horizontal="left" vertical="center"/>
    </xf>
    <xf borderId="262" fillId="4" fontId="2" numFmtId="0" xfId="0" applyBorder="1" applyFont="1"/>
    <xf borderId="263" fillId="30" fontId="52" numFmtId="0" xfId="0" applyAlignment="1" applyBorder="1" applyFill="1" applyFont="1">
      <alignment horizontal="left" vertical="center"/>
    </xf>
    <xf borderId="264" fillId="30" fontId="54" numFmtId="0" xfId="0" applyAlignment="1" applyBorder="1" applyFont="1">
      <alignment horizontal="left" readingOrder="0" vertical="center"/>
    </xf>
    <xf borderId="249" fillId="30" fontId="54" numFmtId="0" xfId="0" applyAlignment="1" applyBorder="1" applyFont="1">
      <alignment horizontal="left" vertical="center"/>
    </xf>
    <xf borderId="250" fillId="28" fontId="2" numFmtId="0" xfId="0" applyBorder="1" applyFont="1"/>
    <xf borderId="265" fillId="31" fontId="52" numFmtId="0" xfId="0" applyAlignment="1" applyBorder="1" applyFill="1" applyFont="1">
      <alignment horizontal="left" vertical="center"/>
    </xf>
    <xf borderId="266" fillId="31" fontId="54" numFmtId="0" xfId="0" applyAlignment="1" applyBorder="1" applyFont="1">
      <alignment horizontal="left" readingOrder="0" vertical="center"/>
    </xf>
    <xf borderId="249" fillId="31" fontId="54" numFmtId="0" xfId="0" applyAlignment="1" applyBorder="1" applyFont="1">
      <alignment horizontal="left" vertical="center"/>
    </xf>
    <xf borderId="249" fillId="31" fontId="54" numFmtId="0" xfId="0" applyAlignment="1" applyBorder="1" applyFont="1">
      <alignment horizontal="left" readingOrder="0" vertical="center"/>
    </xf>
    <xf borderId="249" fillId="30" fontId="57" numFmtId="0" xfId="0" applyAlignment="1" applyBorder="1" applyFont="1">
      <alignment horizontal="left" vertical="center"/>
    </xf>
    <xf borderId="249" fillId="31" fontId="58" numFmtId="0" xfId="0" applyAlignment="1" applyBorder="1" applyFont="1">
      <alignment horizontal="left" vertical="center"/>
    </xf>
    <xf borderId="267" fillId="30" fontId="52" numFmtId="0" xfId="0" applyAlignment="1" applyBorder="1" applyFont="1">
      <alignment horizontal="left" vertical="center"/>
    </xf>
    <xf borderId="268" fillId="30" fontId="54" numFmtId="0" xfId="0" applyAlignment="1" applyBorder="1" applyFont="1">
      <alignment horizontal="left" readingOrder="0" vertical="center"/>
    </xf>
    <xf borderId="261" fillId="30" fontId="54" numFmtId="0" xfId="0" applyAlignment="1" applyBorder="1" applyFont="1">
      <alignment horizontal="left" readingOrder="0" vertical="center"/>
    </xf>
    <xf borderId="262" fillId="28" fontId="2" numFmtId="0" xfId="0" applyBorder="1" applyFont="1"/>
    <xf borderId="269" fillId="30" fontId="52" numFmtId="0" xfId="0" applyAlignment="1" applyBorder="1" applyFont="1">
      <alignment horizontal="left" vertical="center"/>
    </xf>
    <xf borderId="270" fillId="30" fontId="54" numFmtId="0" xfId="0" applyAlignment="1" applyBorder="1" applyFont="1">
      <alignment horizontal="left" readingOrder="0" vertical="center"/>
    </xf>
    <xf borderId="271" fillId="4" fontId="2" numFmtId="0" xfId="0" applyBorder="1" applyFont="1"/>
    <xf borderId="272" fillId="4" fontId="2" numFmtId="0" xfId="0" applyBorder="1" applyFont="1"/>
    <xf borderId="273" fillId="30" fontId="52" numFmtId="0" xfId="0" applyAlignment="1" applyBorder="1" applyFont="1">
      <alignment horizontal="left" vertical="center"/>
    </xf>
    <xf borderId="274" fillId="30" fontId="54" numFmtId="0" xfId="0" applyAlignment="1" applyBorder="1" applyFont="1">
      <alignment horizontal="left" readingOrder="0" vertical="center"/>
    </xf>
    <xf borderId="253" fillId="28" fontId="2" numFmtId="0" xfId="0" applyBorder="1" applyFont="1"/>
    <xf borderId="275" fillId="32" fontId="52" numFmtId="0" xfId="0" applyAlignment="1" applyBorder="1" applyFill="1" applyFont="1">
      <alignment horizontal="left" vertical="center"/>
    </xf>
    <xf borderId="276" fillId="32" fontId="54" numFmtId="0" xfId="0" applyAlignment="1" applyBorder="1" applyFont="1">
      <alignment horizontal="left" readingOrder="0" vertical="center"/>
    </xf>
    <xf borderId="271" fillId="32" fontId="54" numFmtId="0" xfId="0" applyAlignment="1" applyBorder="1" applyFont="1">
      <alignment horizontal="left" readingOrder="0" vertical="center"/>
    </xf>
    <xf borderId="277" fillId="32" fontId="52" numFmtId="0" xfId="0" applyAlignment="1" applyBorder="1" applyFont="1">
      <alignment horizontal="left" vertical="center"/>
    </xf>
    <xf borderId="278" fillId="32" fontId="54" numFmtId="0" xfId="0" applyAlignment="1" applyBorder="1" applyFont="1">
      <alignment horizontal="left" readingOrder="0" vertical="center"/>
    </xf>
    <xf borderId="271" fillId="28" fontId="2" numFmtId="0" xfId="0" applyBorder="1" applyFont="1"/>
    <xf borderId="272" fillId="28" fontId="2" numFmtId="0" xfId="0" applyBorder="1" applyFont="1"/>
    <xf borderId="279" fillId="32" fontId="52" numFmtId="0" xfId="0" applyAlignment="1" applyBorder="1" applyFont="1">
      <alignment horizontal="left" vertical="center"/>
    </xf>
    <xf borderId="280" fillId="32" fontId="54" numFmtId="0" xfId="0" applyAlignment="1" applyBorder="1" applyFont="1">
      <alignment horizontal="left" readingOrder="0" vertical="center"/>
    </xf>
    <xf borderId="253" fillId="4" fontId="2" numFmtId="0" xfId="0" applyBorder="1" applyFont="1"/>
    <xf borderId="254" fillId="4" fontId="2" numFmtId="0" xfId="0" applyBorder="1" applyFont="1"/>
    <xf borderId="281" fillId="33" fontId="52" numFmtId="0" xfId="0" applyAlignment="1" applyBorder="1" applyFill="1" applyFont="1">
      <alignment horizontal="left" vertical="center"/>
    </xf>
    <xf borderId="282" fillId="33" fontId="54" numFmtId="0" xfId="0" applyAlignment="1" applyBorder="1" applyFont="1">
      <alignment horizontal="left" readingOrder="0" vertical="center"/>
    </xf>
    <xf borderId="249" fillId="33" fontId="54" numFmtId="0" xfId="0" applyAlignment="1" applyBorder="1" applyFont="1">
      <alignment horizontal="left" vertical="center"/>
    </xf>
    <xf borderId="283" fillId="32" fontId="52" numFmtId="0" xfId="0" applyAlignment="1" applyBorder="1" applyFont="1">
      <alignment horizontal="left" vertical="center"/>
    </xf>
    <xf borderId="284" fillId="32" fontId="54" numFmtId="0" xfId="0" applyAlignment="1" applyBorder="1" applyFont="1">
      <alignment horizontal="left" readingOrder="0" vertical="center"/>
    </xf>
    <xf borderId="249" fillId="32" fontId="54" numFmtId="0" xfId="0" applyAlignment="1" applyBorder="1" applyFont="1">
      <alignment horizontal="left" vertical="center"/>
    </xf>
    <xf borderId="249" fillId="32" fontId="59" numFmtId="0" xfId="0" applyAlignment="1" applyBorder="1" applyFont="1">
      <alignment horizontal="left" vertical="center"/>
    </xf>
    <xf borderId="249" fillId="33" fontId="60" numFmtId="0" xfId="0" applyAlignment="1" applyBorder="1" applyFont="1">
      <alignment horizontal="left" vertical="center"/>
    </xf>
    <xf borderId="249" fillId="33" fontId="54" numFmtId="0" xfId="0" applyAlignment="1" applyBorder="1" applyFont="1">
      <alignment horizontal="left" readingOrder="0" vertical="center"/>
    </xf>
    <xf borderId="249" fillId="33" fontId="61" numFmtId="0" xfId="0" applyAlignment="1" applyBorder="1" applyFont="1">
      <alignment horizontal="left" vertical="center"/>
    </xf>
    <xf borderId="249" fillId="32" fontId="60" numFmtId="0" xfId="0" applyAlignment="1" applyBorder="1" applyFont="1">
      <alignment horizontal="left" vertical="center"/>
    </xf>
    <xf borderId="285" fillId="34" fontId="52" numFmtId="0" xfId="0" applyAlignment="1" applyBorder="1" applyFill="1" applyFont="1">
      <alignment horizontal="left" vertical="center"/>
    </xf>
    <xf borderId="286" fillId="34" fontId="54" numFmtId="0" xfId="0" applyAlignment="1" applyBorder="1" applyFont="1">
      <alignment horizontal="left" readingOrder="0" vertical="center"/>
    </xf>
    <xf borderId="253" fillId="34" fontId="54" numFmtId="0" xfId="0" applyAlignment="1" applyBorder="1" applyFont="1">
      <alignment horizontal="left" vertical="center"/>
    </xf>
    <xf borderId="287" fillId="35" fontId="52" numFmtId="0" xfId="0" applyAlignment="1" applyBorder="1" applyFill="1" applyFont="1">
      <alignment horizontal="left" vertical="center"/>
    </xf>
    <xf borderId="288" fillId="35" fontId="54" numFmtId="0" xfId="0" applyAlignment="1" applyBorder="1" applyFont="1">
      <alignment horizontal="left" readingOrder="0" vertical="center"/>
    </xf>
    <xf borderId="249" fillId="35" fontId="54" numFmtId="0" xfId="0" applyAlignment="1" applyBorder="1" applyFont="1">
      <alignment horizontal="left" vertical="center"/>
    </xf>
    <xf borderId="289" fillId="34" fontId="52" numFmtId="0" xfId="0" applyAlignment="1" applyBorder="1" applyFont="1">
      <alignment horizontal="left" vertical="center"/>
    </xf>
    <xf borderId="290" fillId="34" fontId="54" numFmtId="0" xfId="0" applyAlignment="1" applyBorder="1" applyFont="1">
      <alignment horizontal="left" readingOrder="0" vertical="center"/>
    </xf>
    <xf borderId="249" fillId="35" fontId="54" numFmtId="0" xfId="0" applyAlignment="1" applyBorder="1" applyFont="1">
      <alignment horizontal="left" readingOrder="0" vertical="center"/>
    </xf>
    <xf borderId="253" fillId="34" fontId="62" numFmtId="0" xfId="0" applyAlignment="1" applyBorder="1" applyFont="1">
      <alignment horizontal="left" vertical="center"/>
    </xf>
    <xf borderId="249" fillId="35" fontId="63" numFmtId="0" xfId="0" applyAlignment="1" applyBorder="1" applyFont="1">
      <alignment horizontal="left" vertical="center"/>
    </xf>
    <xf borderId="291" fillId="35" fontId="52" numFmtId="0" xfId="0" applyAlignment="1" applyBorder="1" applyFont="1">
      <alignment horizontal="left" vertical="center"/>
    </xf>
    <xf borderId="292" fillId="35" fontId="54" numFmtId="0" xfId="0" applyAlignment="1" applyBorder="1" applyFont="1">
      <alignment horizontal="left" readingOrder="0" vertical="center"/>
    </xf>
    <xf borderId="261" fillId="35" fontId="54" numFmtId="0" xfId="0" applyAlignment="1" applyBorder="1" applyFont="1">
      <alignment horizontal="left" readingOrder="0" vertical="center"/>
    </xf>
    <xf borderId="293" fillId="35" fontId="52" numFmtId="0" xfId="0" applyAlignment="1" applyBorder="1" applyFont="1">
      <alignment horizontal="left" vertical="center"/>
    </xf>
    <xf borderId="294" fillId="35" fontId="54" numFmtId="0" xfId="0" applyAlignment="1" applyBorder="1" applyFont="1">
      <alignment horizontal="left" readingOrder="0" vertical="center"/>
    </xf>
    <xf borderId="271" fillId="34" fontId="54" numFmtId="0" xfId="0" applyAlignment="1" applyBorder="1" applyFont="1">
      <alignment horizontal="left" vertical="center"/>
    </xf>
    <xf borderId="295" fillId="36" fontId="52" numFmtId="0" xfId="0" applyAlignment="1" applyBorder="1" applyFill="1" applyFont="1">
      <alignment horizontal="left" vertical="center"/>
    </xf>
    <xf borderId="296" fillId="36" fontId="54" numFmtId="0" xfId="0" applyAlignment="1" applyBorder="1" applyFont="1">
      <alignment horizontal="left" readingOrder="0" vertical="center"/>
    </xf>
    <xf borderId="249" fillId="36" fontId="54" numFmtId="0" xfId="0" applyAlignment="1" applyBorder="1" applyFont="1">
      <alignment horizontal="left" vertical="center"/>
    </xf>
    <xf borderId="297" fillId="37" fontId="52" numFmtId="0" xfId="0" applyAlignment="1" applyBorder="1" applyFill="1" applyFont="1">
      <alignment horizontal="left" vertical="center"/>
    </xf>
    <xf borderId="298" fillId="37" fontId="54" numFmtId="0" xfId="0" applyAlignment="1" applyBorder="1" applyFont="1">
      <alignment horizontal="left" readingOrder="0" vertical="center"/>
    </xf>
    <xf borderId="249" fillId="37" fontId="64" numFmtId="0" xfId="0" applyAlignment="1" applyBorder="1" applyFont="1">
      <alignment horizontal="left" vertical="center"/>
    </xf>
    <xf borderId="249" fillId="36" fontId="65" numFmtId="0" xfId="0" applyAlignment="1" applyBorder="1" applyFont="1">
      <alignment horizontal="left" vertical="center"/>
    </xf>
    <xf borderId="249" fillId="37" fontId="54" numFmtId="0" xfId="0" applyAlignment="1" applyBorder="1" applyFont="1">
      <alignment horizontal="left" vertical="center"/>
    </xf>
    <xf borderId="249" fillId="37" fontId="54" numFmtId="0" xfId="0" applyAlignment="1" applyBorder="1" applyFont="1">
      <alignment horizontal="left" readingOrder="0" vertical="center"/>
    </xf>
    <xf borderId="261" fillId="36" fontId="54" numFmtId="0" xfId="0" applyAlignment="1" applyBorder="1" applyFont="1">
      <alignment horizontal="left" vertical="center"/>
    </xf>
    <xf borderId="299" fillId="38" fontId="52" numFmtId="0" xfId="0" applyAlignment="1" applyBorder="1" applyFill="1" applyFont="1">
      <alignment horizontal="left" vertical="center"/>
    </xf>
    <xf borderId="300" fillId="38" fontId="54" numFmtId="0" xfId="0" applyAlignment="1" applyBorder="1" applyFont="1">
      <alignment horizontal="left" readingOrder="0" vertical="center"/>
    </xf>
    <xf borderId="249" fillId="38" fontId="54" numFmtId="0" xfId="0" applyAlignment="1" applyBorder="1" applyFont="1">
      <alignment horizontal="left" vertical="center"/>
    </xf>
    <xf borderId="301" fillId="39" fontId="52" numFmtId="0" xfId="0" applyAlignment="1" applyBorder="1" applyFill="1" applyFont="1">
      <alignment horizontal="left" vertical="center"/>
    </xf>
    <xf borderId="302" fillId="39" fontId="54" numFmtId="0" xfId="0" applyAlignment="1" applyBorder="1" applyFont="1">
      <alignment horizontal="left" readingOrder="0" vertical="center"/>
    </xf>
    <xf borderId="249" fillId="39" fontId="54" numFmtId="0" xfId="0" applyAlignment="1" applyBorder="1" applyFont="1">
      <alignment horizontal="left" readingOrder="0" vertical="center"/>
    </xf>
    <xf borderId="249" fillId="39" fontId="54" numFmtId="0" xfId="0" applyAlignment="1" applyBorder="1" applyFont="1">
      <alignment horizontal="left" vertical="center"/>
    </xf>
    <xf borderId="249" fillId="38" fontId="54" numFmtId="0" xfId="0" applyAlignment="1" applyBorder="1" applyFont="1">
      <alignment horizontal="left" readingOrder="0" vertical="center"/>
    </xf>
    <xf borderId="261" fillId="38" fontId="54" numFmtId="0" xfId="0" applyAlignment="1" applyBorder="1" applyFont="1">
      <alignment horizontal="left" readingOrder="0" vertical="center"/>
    </xf>
    <xf borderId="249" fillId="38" fontId="60" numFmtId="0" xfId="0" applyAlignment="1" applyBorder="1" applyFont="1">
      <alignment horizontal="left" vertical="center"/>
    </xf>
    <xf borderId="261" fillId="38" fontId="54" numFmtId="0" xfId="0" applyAlignment="1" applyBorder="1" applyFont="1">
      <alignment horizontal="left" vertical="center"/>
    </xf>
    <xf borderId="303" fillId="40" fontId="52" numFmtId="0" xfId="0" applyAlignment="1" applyBorder="1" applyFill="1" applyFont="1">
      <alignment horizontal="left" vertical="center"/>
    </xf>
    <xf borderId="304" fillId="40" fontId="54" numFmtId="0" xfId="0" applyAlignment="1" applyBorder="1" applyFont="1">
      <alignment horizontal="left" readingOrder="0" vertical="center"/>
    </xf>
    <xf borderId="249" fillId="40" fontId="66" numFmtId="0" xfId="0" applyAlignment="1" applyBorder="1" applyFont="1">
      <alignment horizontal="left" vertical="center"/>
    </xf>
    <xf borderId="305" fillId="41" fontId="52" numFmtId="0" xfId="0" applyAlignment="1" applyBorder="1" applyFill="1" applyFont="1">
      <alignment horizontal="left" vertical="center"/>
    </xf>
    <xf borderId="306" fillId="41" fontId="54" numFmtId="0" xfId="0" applyAlignment="1" applyBorder="1" applyFont="1">
      <alignment horizontal="left" readingOrder="0" vertical="center"/>
    </xf>
    <xf borderId="249" fillId="41" fontId="67" numFmtId="0" xfId="0" applyAlignment="1" applyBorder="1" applyFont="1">
      <alignment horizontal="left" vertical="center"/>
    </xf>
    <xf borderId="249" fillId="40" fontId="60" numFmtId="0" xfId="0" applyAlignment="1" applyBorder="1" applyFont="1">
      <alignment horizontal="left" vertical="center"/>
    </xf>
    <xf borderId="305" fillId="41" fontId="52" numFmtId="0" xfId="0" applyAlignment="1" applyBorder="1" applyFont="1">
      <alignment horizontal="center" vertical="center"/>
    </xf>
    <xf borderId="249" fillId="41" fontId="54" numFmtId="0" xfId="0" applyAlignment="1" applyBorder="1" applyFont="1">
      <alignment horizontal="left" readingOrder="0" vertical="center"/>
    </xf>
    <xf borderId="249" fillId="40" fontId="54" numFmtId="0" xfId="0" applyAlignment="1" applyBorder="1" applyFont="1">
      <alignment horizontal="left" vertical="center"/>
    </xf>
    <xf borderId="249" fillId="41" fontId="54" numFmtId="0" xfId="0" applyAlignment="1" applyBorder="1" applyFont="1">
      <alignment horizontal="left" vertical="center"/>
    </xf>
    <xf borderId="249" fillId="40" fontId="54" numFmtId="0" xfId="0" applyAlignment="1" applyBorder="1" applyFont="1">
      <alignment horizontal="left" readingOrder="0" vertical="center"/>
    </xf>
    <xf borderId="307" fillId="42" fontId="52" numFmtId="0" xfId="0" applyAlignment="1" applyBorder="1" applyFill="1" applyFont="1">
      <alignment horizontal="left" vertical="center"/>
    </xf>
    <xf borderId="308" fillId="42" fontId="54" numFmtId="0" xfId="0" applyAlignment="1" applyBorder="1" applyFont="1">
      <alignment horizontal="left" readingOrder="0" vertical="center"/>
    </xf>
    <xf borderId="249" fillId="42" fontId="54" numFmtId="0" xfId="0" applyAlignment="1" applyBorder="1" applyFont="1">
      <alignment horizontal="left" readingOrder="0" vertical="center"/>
    </xf>
    <xf borderId="309" fillId="43" fontId="52" numFmtId="0" xfId="0" applyAlignment="1" applyBorder="1" applyFill="1" applyFont="1">
      <alignment horizontal="left" vertical="center"/>
    </xf>
    <xf borderId="310" fillId="43" fontId="54" numFmtId="0" xfId="0" applyAlignment="1" applyBorder="1" applyFont="1">
      <alignment horizontal="left" readingOrder="0" vertical="center"/>
    </xf>
    <xf borderId="249" fillId="43" fontId="54" numFmtId="0" xfId="0" applyAlignment="1" applyBorder="1" applyFont="1">
      <alignment horizontal="left" vertical="center"/>
    </xf>
    <xf borderId="249" fillId="42" fontId="54" numFmtId="0" xfId="0" applyAlignment="1" applyBorder="1" applyFont="1">
      <alignment horizontal="left" vertical="center"/>
    </xf>
    <xf borderId="249" fillId="43" fontId="54" numFmtId="0" xfId="0" applyAlignment="1" applyBorder="1" applyFont="1">
      <alignment horizontal="left" readingOrder="0" vertical="center"/>
    </xf>
    <xf borderId="307" fillId="42" fontId="52" numFmtId="0" xfId="0" applyAlignment="1" applyBorder="1" applyFont="1">
      <alignment vertical="bottom"/>
    </xf>
    <xf borderId="309" fillId="43" fontId="52" numFmtId="0" xfId="0" applyAlignment="1" applyBorder="1" applyFont="1">
      <alignment vertical="bottom"/>
    </xf>
    <xf borderId="249" fillId="43" fontId="68" numFmtId="0" xfId="0" applyAlignment="1" applyBorder="1" applyFont="1">
      <alignment horizontal="left" vertical="center"/>
    </xf>
    <xf borderId="311" fillId="42" fontId="52" numFmtId="0" xfId="0" applyAlignment="1" applyBorder="1" applyFont="1">
      <alignment horizontal="left" vertical="center"/>
    </xf>
    <xf borderId="312" fillId="42" fontId="54" numFmtId="0" xfId="0" applyAlignment="1" applyBorder="1" applyFont="1">
      <alignment horizontal="left" readingOrder="0" vertical="center"/>
    </xf>
    <xf borderId="313" fillId="42" fontId="69" numFmtId="0" xfId="0" applyAlignment="1" applyBorder="1" applyFont="1">
      <alignment horizontal="left" vertical="center"/>
    </xf>
    <xf borderId="314" fillId="4" fontId="2" numFmtId="0" xfId="0" applyBorder="1" applyFont="1"/>
    <xf borderId="315" fillId="4" fontId="52" numFmtId="0" xfId="0" applyAlignment="1" applyBorder="1" applyFont="1">
      <alignment vertical="center"/>
    </xf>
    <xf borderId="316" fillId="4" fontId="70" numFmtId="0" xfId="0" applyAlignment="1" applyBorder="1" applyFont="1">
      <alignment horizontal="center" readingOrder="0" vertical="center"/>
    </xf>
    <xf borderId="317" fillId="0" fontId="2" numFmtId="0" xfId="0" applyBorder="1" applyFont="1"/>
    <xf borderId="318" fillId="4" fontId="52" numFmtId="0" xfId="0" applyAlignment="1" applyBorder="1" applyFont="1">
      <alignment vertical="center"/>
    </xf>
    <xf borderId="319" fillId="4" fontId="52" numFmtId="0" xfId="0" applyAlignment="1" applyBorder="1" applyFont="1">
      <alignment vertical="center"/>
    </xf>
    <xf borderId="75" fillId="3" fontId="52" numFmtId="0" xfId="0" applyAlignment="1" applyBorder="1" applyFont="1">
      <alignment vertical="center"/>
    </xf>
    <xf borderId="75" fillId="3" fontId="70" numFmtId="0" xfId="0" applyAlignment="1" applyBorder="1" applyFont="1">
      <alignment horizontal="center" readingOrder="0" vertical="center"/>
    </xf>
    <xf borderId="320" fillId="3" fontId="71" numFmtId="0" xfId="0" applyAlignment="1" applyBorder="1" applyFont="1">
      <alignment horizontal="center" readingOrder="0" vertical="center"/>
    </xf>
    <xf borderId="321" fillId="0" fontId="2" numFmtId="0" xfId="0" applyBorder="1" applyFont="1"/>
    <xf borderId="322" fillId="0" fontId="2" numFmtId="0" xfId="0" applyBorder="1" applyFont="1"/>
    <xf borderId="323" fillId="3" fontId="7" numFmtId="0" xfId="0" applyAlignment="1" applyBorder="1" applyFont="1">
      <alignment vertical="center"/>
    </xf>
    <xf borderId="324" fillId="4" fontId="71" numFmtId="0" xfId="0" applyAlignment="1" applyBorder="1" applyFont="1">
      <alignment horizontal="center" readingOrder="0" vertical="center"/>
    </xf>
    <xf borderId="325" fillId="4" fontId="71" numFmtId="0" xfId="0" applyAlignment="1" applyBorder="1" applyFont="1">
      <alignment horizontal="center" readingOrder="0" vertical="center"/>
    </xf>
    <xf borderId="326" fillId="4" fontId="71" numFmtId="0" xfId="0" applyAlignment="1" applyBorder="1" applyFont="1">
      <alignment horizontal="center" readingOrder="0" vertical="center"/>
    </xf>
    <xf borderId="327" fillId="3" fontId="7" numFmtId="0" xfId="0" applyAlignment="1" applyBorder="1" applyFont="1">
      <alignment vertical="center"/>
    </xf>
    <xf borderId="323" fillId="3" fontId="32" numFmtId="0" xfId="0" applyAlignment="1" applyBorder="1" applyFont="1">
      <alignment vertical="center"/>
    </xf>
    <xf borderId="328" fillId="4" fontId="32" numFmtId="0" xfId="0" applyAlignment="1" applyBorder="1" applyFont="1">
      <alignment horizontal="center" readingOrder="0" vertical="center"/>
    </xf>
    <xf borderId="235" fillId="44" fontId="72" numFmtId="0" xfId="0" applyAlignment="1" applyBorder="1" applyFill="1" applyFont="1">
      <alignment horizontal="left" readingOrder="0" shrinkToFit="0" vertical="center" wrapText="1"/>
    </xf>
    <xf borderId="329" fillId="0" fontId="2" numFmtId="0" xfId="0" applyBorder="1" applyFont="1"/>
    <xf borderId="158" fillId="4" fontId="73" numFmtId="0" xfId="0" applyAlignment="1" applyBorder="1" applyFont="1">
      <alignment readingOrder="0" vertical="center"/>
    </xf>
    <xf borderId="67" fillId="4" fontId="73" numFmtId="0" xfId="0" applyAlignment="1" applyBorder="1" applyFont="1">
      <alignment readingOrder="0" vertical="center"/>
    </xf>
    <xf borderId="330" fillId="4" fontId="32" numFmtId="0" xfId="0" applyAlignment="1" applyBorder="1" applyFont="1">
      <alignment horizontal="center" readingOrder="0" vertical="center"/>
    </xf>
    <xf borderId="327" fillId="3" fontId="32" numFmtId="0" xfId="0" applyAlignment="1" applyBorder="1" applyFont="1">
      <alignment vertical="center"/>
    </xf>
    <xf borderId="331" fillId="4" fontId="71" numFmtId="0" xfId="0" applyAlignment="1" applyBorder="1" applyFont="1">
      <alignment horizontal="center" readingOrder="0" vertical="center"/>
    </xf>
    <xf borderId="66" fillId="4" fontId="74" numFmtId="0" xfId="0" applyAlignment="1" applyBorder="1" applyFont="1">
      <alignment vertical="center"/>
    </xf>
    <xf borderId="66" fillId="4" fontId="73" numFmtId="0" xfId="0" applyAlignment="1" applyBorder="1" applyFont="1">
      <alignment readingOrder="0" vertical="center"/>
    </xf>
    <xf borderId="332" fillId="4" fontId="71" numFmtId="0" xfId="0" applyAlignment="1" applyBorder="1" applyFont="1">
      <alignment horizontal="center" readingOrder="0" vertical="center"/>
    </xf>
    <xf borderId="235" fillId="45" fontId="72" numFmtId="0" xfId="0" applyAlignment="1" applyBorder="1" applyFill="1" applyFont="1">
      <alignment horizontal="left" readingOrder="0" shrinkToFit="0" vertical="center" wrapText="1"/>
    </xf>
    <xf borderId="235" fillId="46" fontId="72" numFmtId="0" xfId="0" applyAlignment="1" applyBorder="1" applyFill="1" applyFont="1">
      <alignment horizontal="left" readingOrder="0" shrinkToFit="0" vertical="center" wrapText="1"/>
    </xf>
    <xf borderId="235" fillId="47" fontId="72" numFmtId="0" xfId="0" applyAlignment="1" applyBorder="1" applyFill="1" applyFont="1">
      <alignment horizontal="left" readingOrder="0" shrinkToFit="0" vertical="center" wrapText="1"/>
    </xf>
    <xf borderId="90" fillId="4" fontId="74" numFmtId="0" xfId="0" applyAlignment="1" applyBorder="1" applyFont="1">
      <alignment vertical="center"/>
    </xf>
    <xf borderId="328" fillId="4" fontId="71" numFmtId="0" xfId="0" applyAlignment="1" applyBorder="1" applyFont="1">
      <alignment horizontal="center" readingOrder="0" vertical="center"/>
    </xf>
    <xf borderId="235" fillId="27" fontId="75" numFmtId="0" xfId="0" applyAlignment="1" applyBorder="1" applyFont="1">
      <alignment readingOrder="0" vertical="center"/>
    </xf>
    <xf borderId="158" fillId="4" fontId="76" numFmtId="0" xfId="0" applyAlignment="1" applyBorder="1" applyFont="1">
      <alignment readingOrder="0" vertical="center"/>
    </xf>
    <xf borderId="67" fillId="4" fontId="76" numFmtId="0" xfId="0" applyAlignment="1" applyBorder="1" applyFont="1">
      <alignment readingOrder="0" vertical="center"/>
    </xf>
    <xf borderId="67" fillId="4" fontId="74" numFmtId="0" xfId="0" applyAlignment="1" applyBorder="1" applyFont="1">
      <alignment vertical="center"/>
    </xf>
    <xf borderId="66" fillId="4" fontId="77" numFmtId="0" xfId="0" applyAlignment="1" applyBorder="1" applyFont="1">
      <alignment vertical="center"/>
    </xf>
    <xf borderId="66" fillId="4" fontId="76" numFmtId="0" xfId="0" applyAlignment="1" applyBorder="1" applyFont="1">
      <alignment readingOrder="0" vertical="center"/>
    </xf>
    <xf borderId="90" fillId="4" fontId="73" numFmtId="0" xfId="0" applyAlignment="1" applyBorder="1" applyFont="1">
      <alignment readingOrder="0" vertical="center"/>
    </xf>
    <xf borderId="333" fillId="4" fontId="71" numFmtId="0" xfId="0" applyAlignment="1" applyBorder="1" applyFont="1">
      <alignment horizontal="center" readingOrder="0" vertical="center"/>
    </xf>
    <xf borderId="334" fillId="4" fontId="71" numFmtId="0" xfId="0" applyAlignment="1" applyBorder="1" applyFont="1">
      <alignment horizontal="center" readingOrder="0" vertical="center"/>
    </xf>
    <xf borderId="335" fillId="4" fontId="78" numFmtId="0" xfId="0" applyAlignment="1" applyBorder="1" applyFont="1">
      <alignment horizontal="center" readingOrder="0" vertical="bottom"/>
    </xf>
    <xf borderId="124" fillId="0" fontId="2" numFmtId="0" xfId="0" applyBorder="1" applyFont="1"/>
    <xf borderId="336" fillId="4" fontId="71" numFmtId="0" xfId="0" applyAlignment="1" applyBorder="1" applyFont="1">
      <alignment horizontal="center" readingOrder="0" vertical="center"/>
    </xf>
    <xf borderId="337" fillId="4" fontId="21" numFmtId="0" xfId="0" applyAlignment="1" applyBorder="1" applyFont="1">
      <alignment horizontal="center" readingOrder="0" vertical="center"/>
    </xf>
    <xf borderId="338" fillId="0" fontId="2" numFmtId="0" xfId="0" applyBorder="1" applyFont="1"/>
    <xf borderId="83" fillId="4" fontId="79" numFmtId="0" xfId="0" applyAlignment="1" applyBorder="1" applyFont="1">
      <alignment horizontal="center" vertical="center"/>
    </xf>
    <xf borderId="339" fillId="4" fontId="80" numFmtId="0" xfId="0" applyAlignment="1" applyBorder="1" applyFont="1">
      <alignment horizontal="center" readingOrder="0" vertical="center"/>
    </xf>
    <xf borderId="340" fillId="4" fontId="7" numFmtId="0" xfId="0" applyAlignment="1" applyBorder="1" applyFont="1">
      <alignment vertical="center"/>
    </xf>
    <xf borderId="323" fillId="3" fontId="22" numFmtId="0" xfId="0" applyAlignment="1" applyBorder="1" applyFont="1">
      <alignment vertical="center"/>
    </xf>
    <xf borderId="328" fillId="4" fontId="22" numFmtId="0" xfId="0" applyAlignment="1" applyBorder="1" applyFont="1">
      <alignment horizontal="center" readingOrder="0" vertical="center"/>
    </xf>
    <xf borderId="341" fillId="4" fontId="22" numFmtId="0" xfId="0" applyAlignment="1" applyBorder="1" applyFont="1">
      <alignment horizontal="center" vertical="center"/>
    </xf>
    <xf borderId="342" fillId="0" fontId="2" numFmtId="0" xfId="0" applyBorder="1" applyFont="1"/>
    <xf borderId="343" fillId="0" fontId="2" numFmtId="0" xfId="0" applyBorder="1" applyFont="1"/>
    <xf borderId="344" fillId="4" fontId="22" numFmtId="0" xfId="0" applyAlignment="1" applyBorder="1" applyFont="1">
      <alignment horizontal="center" readingOrder="0" vertical="center"/>
    </xf>
    <xf borderId="339" fillId="4" fontId="22" numFmtId="0" xfId="0" applyAlignment="1" applyBorder="1" applyFont="1">
      <alignment horizontal="center" readingOrder="0" vertical="center"/>
    </xf>
    <xf borderId="340" fillId="4" fontId="22" numFmtId="0" xfId="0" applyAlignment="1" applyBorder="1" applyFont="1">
      <alignment vertical="center"/>
    </xf>
    <xf borderId="332" fillId="4" fontId="22" numFmtId="0" xfId="0" applyAlignment="1" applyBorder="1" applyFont="1">
      <alignment horizontal="center" readingOrder="0" vertical="center"/>
    </xf>
    <xf borderId="327" fillId="3" fontId="22" numFmtId="0" xfId="0" applyAlignment="1" applyBorder="1" applyFont="1">
      <alignment vertical="center"/>
    </xf>
    <xf borderId="345" fillId="28" fontId="81" numFmtId="0" xfId="0" applyAlignment="1" applyBorder="1" applyFont="1">
      <alignment horizontal="center" vertical="center"/>
    </xf>
    <xf borderId="346" fillId="28" fontId="18" numFmtId="0" xfId="0" applyAlignment="1" applyBorder="1" applyFont="1">
      <alignment horizontal="center" vertical="center"/>
    </xf>
    <xf borderId="347" fillId="0" fontId="2" numFmtId="0" xfId="0" applyBorder="1" applyFont="1"/>
    <xf borderId="112" fillId="48" fontId="18" numFmtId="9" xfId="0" applyAlignment="1" applyBorder="1" applyFill="1" applyFont="1" applyNumberFormat="1">
      <alignment horizontal="center" readingOrder="0" vertical="center"/>
    </xf>
    <xf borderId="49" fillId="4" fontId="18" numFmtId="0" xfId="0" applyAlignment="1" applyBorder="1" applyFont="1">
      <alignment horizontal="center" readingOrder="0" vertical="center"/>
    </xf>
    <xf borderId="50" fillId="4" fontId="18" numFmtId="0" xfId="0" applyAlignment="1" applyBorder="1" applyFont="1">
      <alignment vertical="center"/>
    </xf>
    <xf borderId="348" fillId="4" fontId="81" numFmtId="0" xfId="0" applyAlignment="1" applyBorder="1" applyFont="1">
      <alignment horizontal="center" vertical="center"/>
    </xf>
    <xf borderId="349" fillId="4" fontId="18" numFmtId="0" xfId="0" applyAlignment="1" applyBorder="1" applyFont="1">
      <alignment horizontal="center" vertical="center"/>
    </xf>
    <xf borderId="350" fillId="0" fontId="2" numFmtId="0" xfId="0" applyBorder="1" applyFont="1"/>
    <xf borderId="351" fillId="49" fontId="18" numFmtId="9" xfId="0" applyAlignment="1" applyBorder="1" applyFill="1" applyFont="1" applyNumberFormat="1">
      <alignment horizontal="center" vertical="center"/>
    </xf>
    <xf borderId="352" fillId="28" fontId="81" numFmtId="0" xfId="0" applyAlignment="1" applyBorder="1" applyFont="1">
      <alignment horizontal="center" vertical="center"/>
    </xf>
    <xf borderId="353" fillId="28" fontId="18" numFmtId="0" xfId="0" applyAlignment="1" applyBorder="1" applyFont="1">
      <alignment horizontal="center" vertical="center"/>
    </xf>
    <xf borderId="354" fillId="0" fontId="2" numFmtId="0" xfId="0" applyBorder="1" applyFont="1"/>
    <xf borderId="355" fillId="49" fontId="18" numFmtId="9" xfId="0" applyAlignment="1" applyBorder="1" applyFont="1" applyNumberFormat="1">
      <alignment horizontal="center" vertical="center"/>
    </xf>
    <xf borderId="356" fillId="4" fontId="81" numFmtId="0" xfId="0" applyAlignment="1" applyBorder="1" applyFont="1">
      <alignment horizontal="center" vertical="center"/>
    </xf>
    <xf borderId="160" fillId="4" fontId="18" numFmtId="0" xfId="0" applyAlignment="1" applyBorder="1" applyFont="1">
      <alignment horizontal="center" vertical="center"/>
    </xf>
    <xf borderId="357" fillId="0" fontId="2" numFmtId="0" xfId="0" applyBorder="1" applyFont="1"/>
    <xf borderId="358" fillId="50" fontId="18" numFmtId="9" xfId="0" applyAlignment="1" applyBorder="1" applyFill="1" applyFont="1" applyNumberFormat="1">
      <alignment horizontal="center" vertical="center"/>
    </xf>
    <xf borderId="359" fillId="28" fontId="81" numFmtId="0" xfId="0" applyAlignment="1" applyBorder="1" applyFont="1">
      <alignment horizontal="center" vertical="center"/>
    </xf>
    <xf borderId="360" fillId="28" fontId="18" numFmtId="0" xfId="0" applyAlignment="1" applyBorder="1" applyFont="1">
      <alignment horizontal="center" vertical="center"/>
    </xf>
    <xf borderId="361" fillId="0" fontId="2" numFmtId="0" xfId="0" applyBorder="1" applyFont="1"/>
    <xf borderId="362" fillId="50" fontId="18" numFmtId="9" xfId="0" applyAlignment="1" applyBorder="1" applyFont="1" applyNumberFormat="1">
      <alignment horizontal="center" vertical="center"/>
    </xf>
    <xf borderId="363" fillId="51" fontId="18" numFmtId="9" xfId="0" applyAlignment="1" applyBorder="1" applyFill="1" applyFont="1" applyNumberFormat="1">
      <alignment horizontal="center" vertical="center"/>
    </xf>
    <xf borderId="364" fillId="51" fontId="18" numFmtId="9" xfId="0" applyAlignment="1" applyBorder="1" applyFont="1" applyNumberFormat="1">
      <alignment horizontal="center" vertical="center"/>
    </xf>
    <xf borderId="365" fillId="52" fontId="18" numFmtId="9" xfId="0" applyAlignment="1" applyBorder="1" applyFill="1" applyFont="1" applyNumberFormat="1">
      <alignment horizontal="center" vertical="center"/>
    </xf>
    <xf borderId="360" fillId="28" fontId="18" numFmtId="0" xfId="0" applyAlignment="1" applyBorder="1" applyFont="1">
      <alignment horizontal="center" readingOrder="0" vertical="center"/>
    </xf>
    <xf borderId="366" fillId="52" fontId="18" numFmtId="9" xfId="0" applyAlignment="1" applyBorder="1" applyFont="1" applyNumberFormat="1">
      <alignment horizontal="center" vertical="center"/>
    </xf>
    <xf borderId="367" fillId="4" fontId="81" numFmtId="0" xfId="0" applyAlignment="1" applyBorder="1" applyFont="1">
      <alignment horizontal="center" vertical="center"/>
    </xf>
    <xf borderId="368" fillId="4" fontId="18" numFmtId="0" xfId="0" applyAlignment="1" applyBorder="1" applyFont="1">
      <alignment horizontal="center" readingOrder="0" vertical="center"/>
    </xf>
    <xf borderId="369" fillId="0" fontId="2" numFmtId="0" xfId="0" applyBorder="1" applyFont="1"/>
    <xf borderId="112" fillId="53" fontId="18" numFmtId="9" xfId="0" applyAlignment="1" applyBorder="1" applyFill="1" applyFont="1" applyNumberFormat="1">
      <alignment horizontal="center" readingOrder="0" vertical="center"/>
    </xf>
    <xf borderId="49" fillId="4" fontId="18" numFmtId="0" xfId="0" applyAlignment="1" applyBorder="1" applyFont="1">
      <alignment vertical="center"/>
    </xf>
    <xf borderId="370" fillId="28" fontId="81" numFmtId="0" xfId="0" applyAlignment="1" applyBorder="1" applyFont="1">
      <alignment horizontal="center" vertical="center"/>
    </xf>
    <xf borderId="371" fillId="28" fontId="18" numFmtId="0" xfId="0" applyAlignment="1" applyBorder="1" applyFont="1">
      <alignment horizontal="center" readingOrder="0" vertical="center"/>
    </xf>
    <xf borderId="372" fillId="0" fontId="2" numFmtId="0" xfId="0" applyBorder="1" applyFont="1"/>
    <xf borderId="123" fillId="54" fontId="18" numFmtId="9" xfId="0" applyAlignment="1" applyBorder="1" applyFill="1" applyFont="1" applyNumberFormat="1">
      <alignment horizontal="center" readingOrder="0" vertical="center"/>
    </xf>
    <xf borderId="373" fillId="4" fontId="81" numFmtId="0" xfId="0" applyAlignment="1" applyBorder="1" applyFont="1">
      <alignment horizontal="center" vertical="center"/>
    </xf>
    <xf borderId="374" fillId="4" fontId="18" numFmtId="0" xfId="0" applyAlignment="1" applyBorder="1" applyFont="1">
      <alignment horizontal="center" readingOrder="0" vertical="center"/>
    </xf>
    <xf borderId="375" fillId="0" fontId="2" numFmtId="0" xfId="0" applyBorder="1" applyFont="1"/>
    <xf borderId="168" fillId="55" fontId="18" numFmtId="9" xfId="0" applyAlignment="1" applyBorder="1" applyFill="1" applyFont="1" applyNumberFormat="1">
      <alignment horizontal="center" readingOrder="0" vertical="center"/>
    </xf>
    <xf borderId="376" fillId="4" fontId="18" numFmtId="0" xfId="0" applyAlignment="1" applyBorder="1" applyFont="1">
      <alignment vertical="center"/>
    </xf>
    <xf borderId="377" fillId="4" fontId="18" numFmtId="0" xfId="0" applyAlignment="1" applyBorder="1" applyFont="1">
      <alignment vertical="center"/>
    </xf>
    <xf borderId="191" fillId="4" fontId="82" numFmtId="0" xfId="0" applyAlignment="1" applyBorder="1" applyFont="1">
      <alignment horizontal="center" readingOrder="0" vertical="bottom"/>
    </xf>
    <xf borderId="330" fillId="4" fontId="71" numFmtId="0" xfId="0" applyAlignment="1" applyBorder="1" applyFont="1">
      <alignment horizontal="center" readingOrder="0" vertical="center"/>
    </xf>
    <xf borderId="378" fillId="28" fontId="81" numFmtId="0" xfId="0" applyAlignment="1" applyBorder="1" applyFont="1">
      <alignment horizontal="center" vertical="center"/>
    </xf>
    <xf borderId="379" fillId="28" fontId="18" numFmtId="0" xfId="0" applyAlignment="1" applyBorder="1" applyFont="1">
      <alignment horizontal="center" vertical="center"/>
    </xf>
    <xf borderId="380" fillId="4" fontId="81" numFmtId="0" xfId="0" applyAlignment="1" applyBorder="1" applyFont="1">
      <alignment horizontal="center" vertical="center"/>
    </xf>
    <xf borderId="381" fillId="4" fontId="18" numFmtId="0" xfId="0" applyAlignment="1" applyBorder="1" applyFont="1">
      <alignment horizontal="center" vertical="center"/>
    </xf>
    <xf borderId="382" fillId="28" fontId="81" numFmtId="0" xfId="0" applyAlignment="1" applyBorder="1" applyFont="1">
      <alignment horizontal="center" vertical="center"/>
    </xf>
    <xf borderId="383" fillId="28" fontId="18" numFmtId="0" xfId="0" applyAlignment="1" applyBorder="1" applyFont="1">
      <alignment horizontal="center" vertical="center"/>
    </xf>
    <xf borderId="384" fillId="4" fontId="81" numFmtId="0" xfId="0" applyAlignment="1" applyBorder="1" applyFont="1">
      <alignment horizontal="center" vertical="center"/>
    </xf>
    <xf borderId="192" fillId="4" fontId="18" numFmtId="0" xfId="0" applyAlignment="1" applyBorder="1" applyFont="1">
      <alignment horizontal="center" vertical="center"/>
    </xf>
    <xf borderId="192" fillId="4" fontId="18" numFmtId="0" xfId="0" applyAlignment="1" applyBorder="1" applyFont="1">
      <alignment horizontal="center" readingOrder="0" vertical="center"/>
    </xf>
    <xf borderId="385" fillId="28" fontId="81" numFmtId="0" xfId="0" applyAlignment="1" applyBorder="1" applyFont="1">
      <alignment horizontal="center" vertical="center"/>
    </xf>
    <xf borderId="386" fillId="28" fontId="18" numFmtId="0" xfId="0" applyAlignment="1" applyBorder="1" applyFont="1">
      <alignment horizontal="center" readingOrder="0" vertical="center"/>
    </xf>
    <xf borderId="387" fillId="4" fontId="81" numFmtId="0" xfId="0" applyAlignment="1" applyBorder="1" applyFont="1">
      <alignment horizontal="center" vertical="center"/>
    </xf>
    <xf borderId="388" fillId="4" fontId="18" numFmtId="0" xfId="0" applyAlignment="1" applyBorder="1" applyFont="1">
      <alignment horizontal="center" readingOrder="0" vertical="center"/>
    </xf>
    <xf borderId="389" fillId="28" fontId="81" numFmtId="0" xfId="0" applyAlignment="1" applyBorder="1" applyFont="1">
      <alignment horizontal="center" vertical="center"/>
    </xf>
    <xf borderId="390" fillId="28" fontId="18" numFmtId="0" xfId="0" applyAlignment="1" applyBorder="1" applyFont="1">
      <alignment horizontal="center" readingOrder="0" vertical="center"/>
    </xf>
    <xf borderId="191" fillId="4" fontId="83" numFmtId="0" xfId="0" applyAlignment="1" applyBorder="1" applyFont="1">
      <alignment horizontal="center" readingOrder="0" vertical="bottom"/>
    </xf>
    <xf borderId="391" fillId="0" fontId="2" numFmtId="0" xfId="0" applyBorder="1" applyFont="1"/>
    <xf borderId="392" fillId="0" fontId="2" numFmtId="0" xfId="0" applyBorder="1" applyFont="1"/>
    <xf borderId="393" fillId="0" fontId="2" numFmtId="0" xfId="0" applyBorder="1" applyFont="1"/>
    <xf borderId="394" fillId="0" fontId="2" numFmtId="0" xfId="0" applyBorder="1" applyFont="1"/>
    <xf borderId="395" fillId="51" fontId="18" numFmtId="9" xfId="0" applyAlignment="1" applyBorder="1" applyFont="1" applyNumberFormat="1">
      <alignment horizontal="center" vertical="center"/>
    </xf>
    <xf borderId="396" fillId="51" fontId="18" numFmtId="9" xfId="0" applyAlignment="1" applyBorder="1" applyFont="1" applyNumberFormat="1">
      <alignment horizontal="center" vertical="center"/>
    </xf>
    <xf borderId="397" fillId="52" fontId="18" numFmtId="9" xfId="0" applyAlignment="1" applyBorder="1" applyFont="1" applyNumberFormat="1">
      <alignment horizontal="center" vertical="center"/>
    </xf>
    <xf borderId="386" fillId="28" fontId="18" numFmtId="0" xfId="0" applyAlignment="1" applyBorder="1" applyFont="1">
      <alignment horizontal="center" vertical="center"/>
    </xf>
    <xf borderId="398" fillId="0" fontId="2" numFmtId="0" xfId="0" applyBorder="1" applyFont="1"/>
    <xf borderId="272" fillId="53" fontId="18" numFmtId="9" xfId="0" applyAlignment="1" applyBorder="1" applyFont="1" applyNumberFormat="1">
      <alignment horizontal="center" readingOrder="0" vertical="center"/>
    </xf>
    <xf borderId="399" fillId="4" fontId="18" numFmtId="0" xfId="0" applyAlignment="1" applyBorder="1" applyFont="1">
      <alignment horizontal="center" readingOrder="0" vertical="center"/>
    </xf>
    <xf borderId="400" fillId="28" fontId="81" numFmtId="0" xfId="0" applyAlignment="1" applyBorder="1" applyFont="1">
      <alignment horizontal="center" vertical="center"/>
    </xf>
    <xf borderId="401" fillId="28" fontId="18" numFmtId="0" xfId="0" applyAlignment="1" applyBorder="1" applyFont="1">
      <alignment horizontal="center" vertical="center"/>
    </xf>
    <xf borderId="402" fillId="0" fontId="2" numFmtId="0" xfId="0" applyBorder="1" applyFont="1"/>
    <xf borderId="403" fillId="55" fontId="18" numFmtId="9" xfId="0" applyAlignment="1" applyBorder="1" applyFont="1" applyNumberFormat="1">
      <alignment horizontal="center" readingOrder="0" vertical="center"/>
    </xf>
    <xf borderId="335" fillId="4" fontId="84" numFmtId="0" xfId="0" applyAlignment="1" applyBorder="1" applyFont="1">
      <alignment horizontal="center" readingOrder="0" vertical="bottom"/>
    </xf>
    <xf borderId="371" fillId="28" fontId="18" numFmtId="0" xfId="0" applyAlignment="1" applyBorder="1" applyFont="1">
      <alignment horizontal="center" vertical="center"/>
    </xf>
    <xf borderId="404" fillId="0" fontId="2" numFmtId="0" xfId="0" applyBorder="1" applyFont="1"/>
    <xf borderId="123" fillId="50" fontId="18" numFmtId="9" xfId="0" applyAlignment="1" applyBorder="1" applyFont="1" applyNumberFormat="1">
      <alignment horizontal="center" vertical="center"/>
    </xf>
    <xf borderId="161" fillId="4" fontId="18" numFmtId="0" xfId="0" applyAlignment="1" applyBorder="1" applyFont="1">
      <alignment horizontal="center" vertical="center"/>
    </xf>
    <xf borderId="405" fillId="51" fontId="18" numFmtId="9" xfId="0" applyAlignment="1" applyBorder="1" applyFont="1" applyNumberFormat="1">
      <alignment horizontal="center" vertical="center"/>
    </xf>
    <xf borderId="406" fillId="51" fontId="18" numFmtId="9" xfId="0" applyAlignment="1" applyBorder="1" applyFont="1" applyNumberFormat="1">
      <alignment horizontal="center" vertical="center"/>
    </xf>
    <xf borderId="407" fillId="52" fontId="18" numFmtId="9" xfId="0" applyAlignment="1" applyBorder="1" applyFont="1" applyNumberFormat="1">
      <alignment horizontal="center" vertical="center"/>
    </xf>
    <xf borderId="399" fillId="4" fontId="18" numFmtId="0" xfId="0" applyAlignment="1" applyBorder="1" applyFont="1">
      <alignment horizontal="center" vertical="center"/>
    </xf>
    <xf borderId="250" fillId="54" fontId="18" numFmtId="9" xfId="0" applyAlignment="1" applyBorder="1" applyFont="1" applyNumberFormat="1">
      <alignment horizontal="center" readingOrder="0" vertical="center"/>
    </xf>
    <xf borderId="408" fillId="4" fontId="81" numFmtId="0" xfId="0" applyAlignment="1" applyBorder="1" applyFont="1">
      <alignment horizontal="center" vertical="center"/>
    </xf>
    <xf borderId="409" fillId="4" fontId="18" numFmtId="0" xfId="0" applyAlignment="1" applyBorder="1" applyFont="1">
      <alignment horizontal="center" vertical="center"/>
    </xf>
    <xf borderId="410" fillId="2" fontId="81" numFmtId="0" xfId="0" applyAlignment="1" applyBorder="1" applyFont="1">
      <alignment horizontal="center" vertical="center"/>
    </xf>
    <xf borderId="411" fillId="2" fontId="18" numFmtId="0" xfId="0" applyAlignment="1" applyBorder="1" applyFont="1">
      <alignment horizontal="center" vertical="center"/>
    </xf>
    <xf borderId="412" fillId="0" fontId="2" numFmtId="0" xfId="0" applyBorder="1" applyFont="1"/>
    <xf borderId="413" fillId="28" fontId="18" numFmtId="0" xfId="0" applyAlignment="1" applyBorder="1" applyFont="1">
      <alignment horizontal="center" vertical="center"/>
    </xf>
    <xf borderId="414" fillId="0" fontId="2" numFmtId="0" xfId="0" applyBorder="1" applyFont="1"/>
    <xf borderId="415" fillId="2" fontId="81" numFmtId="0" xfId="0" applyAlignment="1" applyBorder="1" applyFont="1">
      <alignment horizontal="center" vertical="center"/>
    </xf>
    <xf borderId="416" fillId="2" fontId="18" numFmtId="0" xfId="0" applyAlignment="1" applyBorder="1" applyFont="1">
      <alignment horizontal="center" vertical="center"/>
    </xf>
    <xf borderId="417" fillId="0" fontId="2" numFmtId="0" xfId="0" applyBorder="1" applyFont="1"/>
    <xf borderId="418" fillId="4" fontId="81" numFmtId="0" xfId="0" applyAlignment="1" applyBorder="1" applyFont="1">
      <alignment horizontal="center" vertical="center"/>
    </xf>
    <xf borderId="419" fillId="4" fontId="18" numFmtId="0" xfId="0" applyAlignment="1" applyBorder="1" applyFont="1">
      <alignment horizontal="center" vertical="center"/>
    </xf>
    <xf borderId="337" fillId="4" fontId="85" numFmtId="0" xfId="0" applyAlignment="1" applyBorder="1" applyFont="1">
      <alignment horizontal="center" readingOrder="0" vertical="center"/>
    </xf>
    <xf borderId="420" fillId="4" fontId="21" numFmtId="0" xfId="0" applyAlignment="1" applyBorder="1" applyFont="1">
      <alignment horizontal="center" readingOrder="0" vertical="center"/>
    </xf>
    <xf borderId="421" fillId="0" fontId="2" numFmtId="0" xfId="0" applyBorder="1" applyFont="1"/>
    <xf borderId="422" fillId="0" fontId="2" numFmtId="0" xfId="0" applyBorder="1" applyFont="1"/>
    <xf borderId="423" fillId="4" fontId="79" numFmtId="0" xfId="0" applyAlignment="1" applyBorder="1" applyFont="1">
      <alignment horizontal="center" vertical="center"/>
    </xf>
    <xf borderId="420" fillId="4" fontId="22" numFmtId="0" xfId="0" applyAlignment="1" applyBorder="1" applyFont="1">
      <alignment horizontal="center" vertical="center"/>
    </xf>
    <xf borderId="423" fillId="4" fontId="22" numFmtId="0" xfId="0" applyAlignment="1" applyBorder="1" applyFont="1">
      <alignment horizontal="center" readingOrder="0" vertical="center"/>
    </xf>
    <xf borderId="423" fillId="4" fontId="81" numFmtId="0" xfId="0" applyAlignment="1" applyBorder="1" applyFont="1">
      <alignment horizontal="center" vertical="center"/>
    </xf>
    <xf borderId="420" fillId="4" fontId="18" numFmtId="0" xfId="0" applyAlignment="1" applyBorder="1" applyFont="1">
      <alignment horizontal="center" vertical="center"/>
    </xf>
    <xf borderId="423" fillId="4" fontId="18" numFmtId="9" xfId="0" applyAlignment="1" applyBorder="1" applyFont="1" applyNumberFormat="1">
      <alignment horizontal="center" readingOrder="0" vertical="center"/>
    </xf>
    <xf borderId="423" fillId="4" fontId="18" numFmtId="9" xfId="0" applyAlignment="1" applyBorder="1" applyFont="1" applyNumberFormat="1">
      <alignment horizontal="center" vertical="center"/>
    </xf>
    <xf borderId="424" fillId="49" fontId="18" numFmtId="9" xfId="0" applyAlignment="1" applyBorder="1" applyFont="1" applyNumberFormat="1">
      <alignment horizontal="center" vertical="center"/>
    </xf>
    <xf borderId="425" fillId="51" fontId="18" numFmtId="9" xfId="0" applyAlignment="1" applyBorder="1" applyFont="1" applyNumberFormat="1">
      <alignment horizontal="center" vertical="center"/>
    </xf>
    <xf borderId="420" fillId="4" fontId="18" numFmtId="0" xfId="0" applyAlignment="1" applyBorder="1" applyFont="1">
      <alignment horizontal="center" readingOrder="0" vertical="center"/>
    </xf>
    <xf borderId="340" fillId="4" fontId="18" numFmtId="0" xfId="0" applyAlignment="1" applyBorder="1" applyFont="1">
      <alignment vertical="center"/>
    </xf>
    <xf borderId="426" fillId="4" fontId="81" numFmtId="0" xfId="0" applyAlignment="1" applyBorder="1" applyFont="1">
      <alignment horizontal="center" vertical="center"/>
    </xf>
    <xf borderId="427" fillId="4" fontId="18" numFmtId="0" xfId="0" applyAlignment="1" applyBorder="1" applyFont="1">
      <alignment horizontal="center" vertical="center"/>
    </xf>
    <xf borderId="428" fillId="0" fontId="2" numFmtId="0" xfId="0" applyBorder="1" applyFont="1"/>
    <xf borderId="135" fillId="49" fontId="18" numFmtId="9" xfId="0" applyAlignment="1" applyBorder="1" applyFont="1" applyNumberFormat="1">
      <alignment horizontal="center" vertical="center"/>
    </xf>
    <xf borderId="429" fillId="4" fontId="18" numFmtId="0" xfId="0" applyAlignment="1" applyBorder="1" applyFont="1">
      <alignment horizontal="center" vertical="center"/>
    </xf>
    <xf borderId="430" fillId="0" fontId="2" numFmtId="0" xfId="0" applyBorder="1" applyFont="1"/>
    <xf borderId="431" fillId="4" fontId="18" numFmtId="0" xfId="0" applyAlignment="1" applyBorder="1" applyFont="1">
      <alignment horizontal="center" vertical="center"/>
    </xf>
    <xf borderId="191" fillId="4" fontId="18" numFmtId="0" xfId="0" applyAlignment="1" applyBorder="1" applyFont="1">
      <alignment horizontal="center" readingOrder="0" vertical="center"/>
    </xf>
    <xf borderId="432" fillId="4" fontId="18" numFmtId="0" xfId="0" applyAlignment="1" applyBorder="1" applyFont="1">
      <alignment horizontal="center" readingOrder="0" vertical="center"/>
    </xf>
    <xf borderId="160" fillId="4" fontId="18" numFmtId="0" xfId="0" applyAlignment="1" applyBorder="1" applyFont="1">
      <alignment horizontal="center" readingOrder="0" vertical="center"/>
    </xf>
    <xf borderId="433" fillId="50" fontId="18" numFmtId="9" xfId="0" applyAlignment="1" applyBorder="1" applyFont="1" applyNumberFormat="1">
      <alignment horizontal="center" vertical="center"/>
    </xf>
    <xf borderId="434" fillId="4" fontId="81" numFmtId="0" xfId="0" applyAlignment="1" applyBorder="1" applyFont="1">
      <alignment horizontal="center" vertical="center"/>
    </xf>
    <xf borderId="91" fillId="4" fontId="18" numFmtId="0" xfId="0" applyAlignment="1" applyBorder="1" applyFont="1">
      <alignment horizontal="center" vertical="center"/>
    </xf>
    <xf borderId="435" fillId="0" fontId="2" numFmtId="0" xfId="0" applyBorder="1" applyFont="1"/>
    <xf borderId="436" fillId="50" fontId="18" numFmtId="9" xfId="0" applyAlignment="1" applyBorder="1" applyFont="1" applyNumberFormat="1">
      <alignment horizontal="center" vertical="center"/>
    </xf>
    <xf borderId="437" fillId="50" fontId="18" numFmtId="9" xfId="0" applyAlignment="1" applyBorder="1" applyFont="1" applyNumberFormat="1">
      <alignment horizontal="center" vertical="center"/>
    </xf>
    <xf borderId="438" fillId="52" fontId="18" numFmtId="9" xfId="0" applyAlignment="1" applyBorder="1" applyFont="1" applyNumberFormat="1">
      <alignment horizontal="center" vertical="center"/>
    </xf>
    <xf borderId="427" fillId="4" fontId="18" numFmtId="0" xfId="0" applyAlignment="1" applyBorder="1" applyFont="1">
      <alignment horizontal="center" readingOrder="0" vertical="center"/>
    </xf>
    <xf borderId="135" fillId="53" fontId="18" numFmtId="9" xfId="0" applyAlignment="1" applyBorder="1" applyFont="1" applyNumberFormat="1">
      <alignment horizontal="center" readingOrder="0" vertical="center"/>
    </xf>
    <xf borderId="439" fillId="4" fontId="81" numFmtId="0" xfId="0" applyAlignment="1" applyBorder="1" applyFont="1">
      <alignment horizontal="center" vertical="center"/>
    </xf>
    <xf borderId="440" fillId="4" fontId="18" numFmtId="0" xfId="0" applyAlignment="1" applyBorder="1" applyFont="1">
      <alignment horizontal="center" readingOrder="0" vertical="center"/>
    </xf>
    <xf borderId="441" fillId="0" fontId="2" numFmtId="0" xfId="0" applyBorder="1" applyFont="1"/>
    <xf borderId="439" fillId="4" fontId="18" numFmtId="9" xfId="0" applyAlignment="1" applyBorder="1" applyFont="1" applyNumberFormat="1">
      <alignment horizontal="center" readingOrder="0" vertical="center"/>
    </xf>
    <xf borderId="442" fillId="4" fontId="81" numFmtId="0" xfId="0" applyAlignment="1" applyBorder="1" applyFont="1">
      <alignment horizontal="center" vertical="center"/>
    </xf>
    <xf borderId="91" fillId="4" fontId="21" numFmtId="0" xfId="0" applyAlignment="1" applyBorder="1" applyFont="1">
      <alignment horizontal="center" readingOrder="0" vertical="center"/>
    </xf>
    <xf borderId="67" fillId="4" fontId="79" numFmtId="0" xfId="0" applyAlignment="1" applyBorder="1" applyFont="1">
      <alignment horizontal="center" vertical="center"/>
    </xf>
    <xf borderId="339" fillId="4" fontId="7" numFmtId="0" xfId="0" applyAlignment="1" applyBorder="1" applyFont="1">
      <alignment vertical="center"/>
    </xf>
    <xf borderId="91" fillId="4" fontId="22" numFmtId="0" xfId="0" applyAlignment="1" applyBorder="1" applyFont="1">
      <alignment horizontal="center" vertical="center"/>
    </xf>
    <xf borderId="67" fillId="4" fontId="22" numFmtId="0" xfId="0" applyAlignment="1" applyBorder="1" applyFont="1">
      <alignment horizontal="center" readingOrder="0" vertical="center"/>
    </xf>
    <xf borderId="339" fillId="4" fontId="22" numFmtId="0" xfId="0" applyAlignment="1" applyBorder="1" applyFont="1">
      <alignment vertical="center"/>
    </xf>
    <xf borderId="339" fillId="4" fontId="18" numFmtId="0" xfId="0" applyAlignment="1" applyBorder="1" applyFont="1">
      <alignment horizontal="center" readingOrder="0" vertical="center"/>
    </xf>
    <xf borderId="67" fillId="4" fontId="81" numFmtId="0" xfId="0" applyAlignment="1" applyBorder="1" applyFont="1">
      <alignment horizontal="center" vertical="center"/>
    </xf>
    <xf borderId="443" fillId="0" fontId="2" numFmtId="0" xfId="0" applyBorder="1" applyFont="1"/>
    <xf borderId="67" fillId="4" fontId="18" numFmtId="9" xfId="0" applyAlignment="1" applyBorder="1" applyFont="1" applyNumberFormat="1">
      <alignment horizontal="center" vertical="center"/>
    </xf>
    <xf borderId="432" fillId="4" fontId="18" numFmtId="0" xfId="0" applyAlignment="1" applyBorder="1" applyFont="1">
      <alignment horizontal="center" vertical="center"/>
    </xf>
    <xf borderId="135" fillId="50" fontId="18" numFmtId="9" xfId="0" applyAlignment="1" applyBorder="1" applyFont="1" applyNumberFormat="1">
      <alignment horizontal="center" vertical="center"/>
    </xf>
    <xf borderId="444" fillId="51" fontId="18" numFmtId="9" xfId="0" applyAlignment="1" applyBorder="1" applyFont="1" applyNumberFormat="1">
      <alignment horizontal="center" vertical="center"/>
    </xf>
    <xf borderId="335" fillId="4" fontId="18" numFmtId="0" xfId="0" applyAlignment="1" applyBorder="1" applyFont="1">
      <alignment horizontal="center" vertical="center"/>
    </xf>
    <xf borderId="91" fillId="4" fontId="18" numFmtId="0" xfId="0" applyAlignment="1" applyBorder="1" applyFont="1">
      <alignment horizontal="center" readingOrder="0" vertical="center"/>
    </xf>
    <xf borderId="346" fillId="28" fontId="18" numFmtId="0" xfId="0" applyAlignment="1" applyBorder="1" applyFont="1">
      <alignment horizontal="center" readingOrder="0" vertical="center"/>
    </xf>
    <xf borderId="339" fillId="4" fontId="18" numFmtId="0" xfId="0" applyAlignment="1" applyBorder="1" applyFont="1">
      <alignment vertical="center"/>
    </xf>
    <xf borderId="368" fillId="4" fontId="18" numFmtId="0" xfId="0" applyAlignment="1" applyBorder="1" applyFont="1">
      <alignment horizontal="center" vertical="center"/>
    </xf>
    <xf borderId="250" fillId="53" fontId="18" numFmtId="9" xfId="0" applyAlignment="1" applyBorder="1" applyFont="1" applyNumberFormat="1">
      <alignment horizontal="center" readingOrder="0" vertical="center"/>
    </xf>
    <xf borderId="445" fillId="4" fontId="18" numFmtId="0" xfId="0" applyAlignment="1" applyBorder="1" applyFont="1">
      <alignment vertical="center"/>
    </xf>
    <xf borderId="446" fillId="4" fontId="18" numFmtId="0" xfId="0" applyAlignment="1" applyBorder="1" applyFont="1">
      <alignment horizontal="center" readingOrder="0" vertical="center"/>
    </xf>
    <xf borderId="447" fillId="0" fontId="2" numFmtId="0" xfId="0" applyBorder="1" applyFont="1"/>
    <xf borderId="129" fillId="55" fontId="18" numFmtId="9" xfId="0" applyAlignment="1" applyBorder="1" applyFont="1" applyNumberFormat="1">
      <alignment horizontal="center" readingOrder="0" vertical="center"/>
    </xf>
    <xf borderId="91" fillId="4" fontId="81" numFmtId="0" xfId="0" applyAlignment="1" applyBorder="1" applyFont="1">
      <alignment horizontal="center" vertical="center"/>
    </xf>
    <xf borderId="448" fillId="0" fontId="2" numFmtId="0" xfId="0" applyBorder="1" applyFont="1"/>
    <xf borderId="442" fillId="4" fontId="18" numFmtId="0" xfId="0" applyAlignment="1" applyBorder="1" applyFont="1">
      <alignment horizontal="center" vertical="center"/>
    </xf>
    <xf borderId="67" fillId="4" fontId="18" numFmtId="0" xfId="0" applyAlignment="1" applyBorder="1" applyFont="1">
      <alignment horizontal="center" vertical="center"/>
    </xf>
    <xf borderId="429" fillId="4" fontId="18" numFmtId="0" xfId="0" applyAlignment="1" applyBorder="1" applyFont="1">
      <alignment horizontal="center" readingOrder="0" vertical="center"/>
    </xf>
    <xf borderId="442" fillId="4" fontId="18" numFmtId="9" xfId="0" applyAlignment="1" applyBorder="1" applyFont="1" applyNumberFormat="1">
      <alignment horizontal="center" readingOrder="0" vertical="center"/>
    </xf>
    <xf borderId="439" fillId="4" fontId="8" numFmtId="0" xfId="0" applyBorder="1" applyFont="1"/>
    <xf borderId="449" fillId="4" fontId="8" numFmtId="0" xfId="0" applyBorder="1" applyFont="1"/>
    <xf borderId="441" fillId="4" fontId="8" numFmtId="9" xfId="0" applyBorder="1" applyFont="1" applyNumberFormat="1"/>
    <xf borderId="450" fillId="4" fontId="8" numFmtId="0" xfId="0" applyBorder="1" applyFont="1"/>
    <xf borderId="158" fillId="4" fontId="8" numFmtId="0" xfId="0" applyBorder="1" applyFont="1"/>
    <xf borderId="84" fillId="4" fontId="8" numFmtId="0" xfId="0" applyBorder="1" applyFont="1"/>
    <xf borderId="158" fillId="4" fontId="8" numFmtId="9" xfId="0" applyBorder="1" applyFont="1" applyNumberFormat="1"/>
    <xf borderId="451" fillId="4" fontId="8" numFmtId="0" xfId="0" applyBorder="1" applyFont="1"/>
    <xf borderId="452" fillId="4" fontId="8" numFmtId="0" xfId="0" applyBorder="1" applyFont="1"/>
    <xf borderId="453" fillId="4" fontId="18" numFmtId="0" xfId="0" applyAlignment="1" applyBorder="1" applyFont="1">
      <alignment horizontal="center"/>
    </xf>
    <xf borderId="129" fillId="55" fontId="18" numFmtId="9" xfId="0" applyAlignment="1" applyBorder="1" applyFont="1" applyNumberFormat="1">
      <alignment horizontal="center"/>
    </xf>
    <xf borderId="38" fillId="4" fontId="8" numFmtId="0" xfId="0" applyBorder="1" applyFont="1"/>
    <xf borderId="84" fillId="4" fontId="8" numFmtId="0" xfId="0" applyBorder="1" applyFont="1"/>
    <xf borderId="191" fillId="4" fontId="21" numFmtId="0" xfId="0" applyAlignment="1" applyBorder="1" applyFont="1">
      <alignment horizontal="center" readingOrder="0" vertical="center"/>
    </xf>
    <xf borderId="429" fillId="4" fontId="21" numFmtId="0" xfId="0" applyAlignment="1" applyBorder="1" applyFont="1">
      <alignment horizontal="center" readingOrder="0" vertical="center"/>
    </xf>
    <xf borderId="454" fillId="0" fontId="2" numFmtId="0" xfId="0" applyBorder="1" applyFont="1"/>
    <xf borderId="455" fillId="28" fontId="81" numFmtId="0" xfId="0" applyAlignment="1" applyBorder="1" applyFont="1">
      <alignment horizontal="center" vertical="center"/>
    </xf>
    <xf borderId="456" fillId="28" fontId="18" numFmtId="0" xfId="0" applyAlignment="1" applyBorder="1" applyFont="1">
      <alignment horizontal="center" vertical="center"/>
    </xf>
    <xf borderId="457" fillId="49" fontId="18" numFmtId="9" xfId="0" applyAlignment="1" applyBorder="1" applyFont="1" applyNumberFormat="1">
      <alignment horizontal="center" vertical="center"/>
    </xf>
    <xf borderId="351" fillId="50" fontId="18" numFmtId="9" xfId="0" applyAlignment="1" applyBorder="1" applyFont="1" applyNumberFormat="1">
      <alignment horizontal="center" vertical="center"/>
    </xf>
    <xf borderId="458" fillId="50" fontId="18" numFmtId="9" xfId="0" applyAlignment="1" applyBorder="1" applyFont="1" applyNumberFormat="1">
      <alignment horizontal="center" readingOrder="0" vertical="center"/>
    </xf>
    <xf borderId="459" fillId="4" fontId="71" numFmtId="0" xfId="0" applyAlignment="1" applyBorder="1" applyFont="1">
      <alignment horizontal="center" readingOrder="0" vertical="center"/>
    </xf>
    <xf borderId="460" fillId="4" fontId="7" numFmtId="0" xfId="0" applyAlignment="1" applyBorder="1" applyFont="1">
      <alignment vertical="center"/>
    </xf>
    <xf borderId="461" fillId="4" fontId="7" numFmtId="0" xfId="0" applyAlignment="1" applyBorder="1" applyFont="1">
      <alignment vertical="center"/>
    </xf>
    <xf borderId="462" fillId="4" fontId="7" numFmtId="0" xfId="0" applyAlignment="1" applyBorder="1" applyFont="1">
      <alignment vertical="center"/>
    </xf>
    <xf borderId="463" fillId="3" fontId="7" numFmtId="0" xfId="0" applyAlignment="1" applyBorder="1" applyFont="1">
      <alignment vertical="center"/>
    </xf>
    <xf borderId="464" fillId="0" fontId="2" numFmtId="0" xfId="0" applyBorder="1" applyFont="1"/>
    <xf borderId="465" fillId="0" fontId="2" numFmtId="0" xfId="0" applyBorder="1" applyFont="1"/>
    <xf borderId="466" fillId="4" fontId="33" numFmtId="0" xfId="0" applyAlignment="1" applyBorder="1" applyFont="1">
      <alignment horizontal="center" vertical="center"/>
    </xf>
    <xf borderId="467" fillId="4" fontId="33" numFmtId="0" xfId="0" applyAlignment="1" applyBorder="1" applyFont="1">
      <alignment horizontal="center" vertical="center"/>
    </xf>
    <xf borderId="468" fillId="4" fontId="33" numFmtId="0" xfId="0" applyAlignment="1" applyBorder="1" applyFont="1">
      <alignment horizontal="center" vertical="center"/>
    </xf>
    <xf borderId="469" fillId="4" fontId="33" numFmtId="0" xfId="0" applyAlignment="1" applyBorder="1" applyFont="1">
      <alignment horizontal="center" vertical="center"/>
    </xf>
    <xf borderId="470" fillId="4" fontId="36" numFmtId="0" xfId="0" applyAlignment="1" applyBorder="1" applyFont="1">
      <alignment horizontal="left" vertical="center"/>
    </xf>
    <xf borderId="471" fillId="4" fontId="33" numFmtId="0" xfId="0" applyAlignment="1" applyBorder="1" applyFont="1">
      <alignment horizontal="center" vertical="center"/>
    </xf>
    <xf borderId="472" fillId="4" fontId="36" numFmtId="0" xfId="0" applyAlignment="1" applyBorder="1" applyFont="1">
      <alignment horizontal="left" vertical="center"/>
    </xf>
    <xf borderId="473" fillId="5" fontId="33" numFmtId="0" xfId="0" applyAlignment="1" applyBorder="1" applyFont="1">
      <alignment horizontal="center" vertical="center"/>
    </xf>
    <xf borderId="474" fillId="5" fontId="36" numFmtId="0" xfId="0" applyAlignment="1" applyBorder="1" applyFont="1">
      <alignment horizontal="left" vertical="center"/>
    </xf>
    <xf borderId="475" fillId="5" fontId="33" numFmtId="0" xfId="0" applyAlignment="1" applyBorder="1" applyFont="1">
      <alignment horizontal="center" vertical="center"/>
    </xf>
    <xf borderId="476" fillId="5" fontId="48" numFmtId="0" xfId="0" applyBorder="1" applyFont="1"/>
    <xf borderId="211" fillId="20" fontId="33" numFmtId="0" xfId="0" applyAlignment="1" applyBorder="1" applyFont="1">
      <alignment horizontal="center" vertical="center"/>
    </xf>
    <xf borderId="477" fillId="5" fontId="48" numFmtId="0" xfId="0" applyBorder="1" applyFont="1"/>
    <xf borderId="477" fillId="5" fontId="36" numFmtId="0" xfId="0" applyAlignment="1" applyBorder="1" applyFont="1">
      <alignment horizontal="left" vertical="center"/>
    </xf>
    <xf borderId="478" fillId="5" fontId="33" numFmtId="0" xfId="0" applyAlignment="1" applyBorder="1" applyFont="1">
      <alignment horizontal="center" vertical="center"/>
    </xf>
    <xf borderId="479" fillId="5" fontId="33" numFmtId="0" xfId="0" applyAlignment="1" applyBorder="1" applyFont="1">
      <alignment horizontal="center" vertical="center"/>
    </xf>
    <xf borderId="480" fillId="5" fontId="36" numFmtId="0" xfId="0" applyAlignment="1" applyBorder="1" applyFont="1">
      <alignment horizontal="left" vertical="center"/>
    </xf>
    <xf borderId="481" fillId="5" fontId="36" numFmtId="0" xfId="0" applyAlignment="1" applyBorder="1" applyFont="1">
      <alignment horizontal="left" vertical="center"/>
    </xf>
    <xf borderId="199" fillId="5" fontId="36" numFmtId="0" xfId="0" applyAlignment="1" applyBorder="1" applyFont="1">
      <alignment horizontal="left" vertical="center"/>
    </xf>
    <xf borderId="482" fillId="5" fontId="36" numFmtId="0" xfId="0" applyAlignment="1" applyBorder="1" applyFont="1">
      <alignment horizontal="left" vertical="center"/>
    </xf>
    <xf borderId="198" fillId="5" fontId="33" numFmtId="0" xfId="0" applyAlignment="1" applyBorder="1" applyFont="1">
      <alignment horizontal="center" vertical="center"/>
    </xf>
    <xf borderId="483" fillId="4" fontId="33" numFmtId="0" xfId="0" applyAlignment="1" applyBorder="1" applyFont="1">
      <alignment horizontal="center" vertical="center"/>
    </xf>
    <xf borderId="484" fillId="4" fontId="33" numFmtId="0" xfId="0" applyAlignment="1" applyBorder="1" applyFont="1">
      <alignment horizontal="center" vertical="center"/>
    </xf>
    <xf borderId="485" fillId="4" fontId="33" numFmtId="0" xfId="0" applyAlignment="1" applyBorder="1" applyFont="1">
      <alignment horizontal="center" vertical="center"/>
    </xf>
    <xf borderId="486" fillId="56" fontId="86" numFmtId="165" xfId="0" applyAlignment="1" applyBorder="1" applyFill="1" applyFont="1" applyNumberFormat="1">
      <alignment horizontal="center" readingOrder="0" vertical="center"/>
    </xf>
    <xf borderId="211" fillId="0" fontId="2" numFmtId="0" xfId="0" applyBorder="1" applyFont="1"/>
    <xf borderId="487" fillId="0" fontId="2" numFmtId="0" xfId="0" applyBorder="1" applyFont="1"/>
    <xf borderId="211" fillId="5" fontId="36" numFmtId="0" xfId="0" applyAlignment="1" applyBorder="1" applyFont="1">
      <alignment horizontal="left" vertical="center"/>
    </xf>
    <xf borderId="199" fillId="5" fontId="87" numFmtId="0" xfId="0" applyAlignment="1" applyBorder="1" applyFont="1">
      <alignment horizontal="center" readingOrder="0" vertical="center"/>
    </xf>
    <xf borderId="199" fillId="5" fontId="88" numFmtId="0" xfId="0" applyAlignment="1" applyBorder="1" applyFont="1">
      <alignment horizontal="center" readingOrder="0" vertical="center"/>
    </xf>
    <xf borderId="206" fillId="5" fontId="36" numFmtId="0" xfId="0" applyAlignment="1" applyBorder="1" applyFont="1">
      <alignment horizontal="left" vertical="center"/>
    </xf>
    <xf borderId="488" fillId="0" fontId="2" numFmtId="0" xfId="0" applyBorder="1" applyFont="1"/>
    <xf borderId="215" fillId="57" fontId="50" numFmtId="0" xfId="0" applyAlignment="1" applyBorder="1" applyFill="1" applyFont="1">
      <alignment horizontal="center" shrinkToFit="0" vertical="center" wrapText="0"/>
    </xf>
    <xf borderId="489" fillId="56" fontId="51" numFmtId="0" xfId="0" applyAlignment="1" applyBorder="1" applyFont="1">
      <alignment horizontal="center" readingOrder="0" vertical="center"/>
    </xf>
    <xf borderId="199" fillId="5" fontId="50" numFmtId="0" xfId="0" applyAlignment="1" applyBorder="1" applyFont="1">
      <alignment horizontal="center" shrinkToFit="0" vertical="center" wrapText="0"/>
    </xf>
    <xf borderId="199" fillId="5" fontId="33" numFmtId="0" xfId="0" applyAlignment="1" applyBorder="1" applyFont="1">
      <alignment horizontal="center" vertical="center"/>
    </xf>
    <xf borderId="490" fillId="5" fontId="33" numFmtId="0" xfId="0" applyAlignment="1" applyBorder="1" applyFont="1">
      <alignment horizontal="center" vertical="center"/>
    </xf>
    <xf borderId="491" fillId="5" fontId="33" numFmtId="0" xfId="0" applyAlignment="1" applyBorder="1" applyFont="1">
      <alignment horizontal="center" vertical="center"/>
    </xf>
    <xf borderId="492" fillId="5" fontId="33" numFmtId="0" xfId="0" applyAlignment="1" applyBorder="1" applyFont="1">
      <alignment horizontal="center" vertical="center"/>
    </xf>
    <xf borderId="493" fillId="4" fontId="52" numFmtId="0" xfId="0" applyAlignment="1" applyBorder="1" applyFont="1">
      <alignment vertical="center"/>
    </xf>
    <xf borderId="494" fillId="4" fontId="52" numFmtId="0" xfId="0" applyAlignment="1" applyBorder="1" applyFont="1">
      <alignment vertical="center"/>
    </xf>
    <xf borderId="495" fillId="4" fontId="52" numFmtId="0" xfId="0" applyAlignment="1" applyBorder="1" applyFont="1">
      <alignment vertical="center"/>
    </xf>
    <xf borderId="14" fillId="3" fontId="89" numFmtId="0" xfId="0" applyAlignment="1" applyBorder="1" applyFont="1">
      <alignment vertical="center"/>
    </xf>
    <xf borderId="496" fillId="4" fontId="89" numFmtId="0" xfId="0" applyAlignment="1" applyBorder="1" applyFont="1">
      <alignment vertical="center"/>
    </xf>
    <xf borderId="497" fillId="44" fontId="90" numFmtId="0" xfId="0" applyAlignment="1" applyBorder="1" applyFont="1">
      <alignment horizontal="center" readingOrder="0" vertical="center"/>
    </xf>
    <xf borderId="498" fillId="0" fontId="2" numFmtId="0" xfId="0" applyBorder="1" applyFont="1"/>
    <xf borderId="499" fillId="0" fontId="2" numFmtId="0" xfId="0" applyBorder="1" applyFont="1"/>
    <xf borderId="158" fillId="4" fontId="89" numFmtId="0" xfId="0" applyAlignment="1" applyBorder="1" applyFont="1">
      <alignment horizontal="center" readingOrder="0" vertical="center"/>
    </xf>
    <xf borderId="500" fillId="45" fontId="91" numFmtId="0" xfId="0" applyAlignment="1" applyBorder="1" applyFont="1">
      <alignment horizontal="center" readingOrder="0" vertical="center"/>
    </xf>
    <xf borderId="501" fillId="0" fontId="2" numFmtId="0" xfId="0" applyBorder="1" applyFont="1"/>
    <xf borderId="502" fillId="0" fontId="2" numFmtId="0" xfId="0" applyBorder="1" applyFont="1"/>
    <xf borderId="503" fillId="4" fontId="89" numFmtId="0" xfId="0" applyAlignment="1" applyBorder="1" applyFont="1">
      <alignment vertical="center"/>
    </xf>
    <xf borderId="19" fillId="3" fontId="89" numFmtId="0" xfId="0" applyAlignment="1" applyBorder="1" applyFont="1">
      <alignment vertical="center"/>
    </xf>
    <xf borderId="14" fillId="3" fontId="92" numFmtId="0" xfId="0" applyAlignment="1" applyBorder="1" applyFont="1">
      <alignment vertical="center"/>
    </xf>
    <xf borderId="496" fillId="4" fontId="92" numFmtId="0" xfId="0" applyAlignment="1" applyBorder="1" applyFont="1">
      <alignment vertical="center"/>
    </xf>
    <xf borderId="504" fillId="44" fontId="93" numFmtId="0" xfId="0" applyAlignment="1" applyBorder="1" applyFont="1">
      <alignment horizontal="right" readingOrder="0" vertical="center"/>
    </xf>
    <xf borderId="505" fillId="0" fontId="2" numFmtId="0" xfId="0" applyBorder="1" applyFont="1"/>
    <xf borderId="506" fillId="44" fontId="17" numFmtId="0" xfId="0" applyAlignment="1" applyBorder="1" applyFont="1">
      <alignment horizontal="center" readingOrder="0" vertical="center"/>
    </xf>
    <xf borderId="507" fillId="44" fontId="93" numFmtId="0" xfId="0" applyAlignment="1" applyBorder="1" applyFont="1">
      <alignment horizontal="left" readingOrder="0" vertical="center"/>
    </xf>
    <xf borderId="508" fillId="0" fontId="2" numFmtId="0" xfId="0" applyBorder="1" applyFont="1"/>
    <xf borderId="158" fillId="4" fontId="92" numFmtId="0" xfId="0" applyAlignment="1" applyBorder="1" applyFont="1">
      <alignment horizontal="center" readingOrder="0" vertical="center"/>
    </xf>
    <xf borderId="509" fillId="45" fontId="93" numFmtId="0" xfId="0" applyAlignment="1" applyBorder="1" applyFont="1">
      <alignment horizontal="right" readingOrder="0" vertical="center"/>
    </xf>
    <xf borderId="510" fillId="0" fontId="2" numFmtId="0" xfId="0" applyBorder="1" applyFont="1"/>
    <xf borderId="511" fillId="45" fontId="17" numFmtId="0" xfId="0" applyAlignment="1" applyBorder="1" applyFont="1">
      <alignment horizontal="center" readingOrder="0" vertical="center"/>
    </xf>
    <xf borderId="512" fillId="45" fontId="93" numFmtId="0" xfId="0" applyAlignment="1" applyBorder="1" applyFont="1">
      <alignment horizontal="left" readingOrder="0" vertical="center"/>
    </xf>
    <xf borderId="513" fillId="0" fontId="2" numFmtId="0" xfId="0" applyBorder="1" applyFont="1"/>
    <xf borderId="503" fillId="4" fontId="92" numFmtId="0" xfId="0" applyAlignment="1" applyBorder="1" applyFont="1">
      <alignment vertical="center"/>
    </xf>
    <xf borderId="19" fillId="3" fontId="92" numFmtId="0" xfId="0" applyAlignment="1" applyBorder="1" applyFont="1">
      <alignment vertical="center"/>
    </xf>
    <xf borderId="514" fillId="4" fontId="52" numFmtId="0" xfId="0" applyAlignment="1" applyBorder="1" applyFont="1">
      <alignment vertical="center"/>
    </xf>
    <xf borderId="515" fillId="44" fontId="94" numFmtId="0" xfId="0" applyAlignment="1" applyBorder="1" applyFont="1">
      <alignment horizontal="right" readingOrder="0" vertical="center"/>
    </xf>
    <xf borderId="516" fillId="44" fontId="54" numFmtId="0" xfId="0" applyAlignment="1" applyBorder="1" applyFont="1">
      <alignment horizontal="right" readingOrder="0" vertical="center"/>
    </xf>
    <xf borderId="517" fillId="58" fontId="54" numFmtId="0" xfId="0" applyAlignment="1" applyBorder="1" applyFill="1" applyFont="1">
      <alignment horizontal="center" readingOrder="0" vertical="center"/>
    </xf>
    <xf borderId="518" fillId="44" fontId="94" numFmtId="0" xfId="0" applyAlignment="1" applyBorder="1" applyFont="1">
      <alignment horizontal="left" readingOrder="0" vertical="center"/>
    </xf>
    <xf borderId="158" fillId="4" fontId="52" numFmtId="0" xfId="0" applyAlignment="1" applyBorder="1" applyFont="1">
      <alignment vertical="center"/>
    </xf>
    <xf borderId="519" fillId="45" fontId="94" numFmtId="0" xfId="0" applyAlignment="1" applyBorder="1" applyFont="1">
      <alignment horizontal="right" readingOrder="0" vertical="center"/>
    </xf>
    <xf borderId="520" fillId="45" fontId="54" numFmtId="0" xfId="0" applyAlignment="1" applyBorder="1" applyFont="1">
      <alignment horizontal="right" readingOrder="0" vertical="center"/>
    </xf>
    <xf borderId="521" fillId="58" fontId="54" numFmtId="0" xfId="0" applyAlignment="1" applyBorder="1" applyFont="1">
      <alignment horizontal="center" readingOrder="0" vertical="center"/>
    </xf>
    <xf borderId="522" fillId="45" fontId="94" numFmtId="0" xfId="0" applyAlignment="1" applyBorder="1" applyFont="1">
      <alignment horizontal="left" readingOrder="0" vertical="center"/>
    </xf>
    <xf borderId="523" fillId="4" fontId="52" numFmtId="0" xfId="0" applyAlignment="1" applyBorder="1" applyFont="1">
      <alignment vertical="center"/>
    </xf>
    <xf borderId="14" fillId="3" fontId="95" numFmtId="0" xfId="0" applyAlignment="1" applyBorder="1" applyFont="1">
      <alignment vertical="center"/>
    </xf>
    <xf borderId="496" fillId="4" fontId="95" numFmtId="0" xfId="0" applyAlignment="1" applyBorder="1" applyFont="1">
      <alignment vertical="center"/>
    </xf>
    <xf borderId="524" fillId="0" fontId="2" numFmtId="0" xfId="0" applyBorder="1" applyFont="1"/>
    <xf borderId="525" fillId="0" fontId="2" numFmtId="0" xfId="0" applyBorder="1" applyFont="1"/>
    <xf borderId="526" fillId="0" fontId="2" numFmtId="0" xfId="0" applyBorder="1" applyFont="1"/>
    <xf borderId="158" fillId="4" fontId="96" numFmtId="0" xfId="0" applyAlignment="1" applyBorder="1" applyFont="1">
      <alignment horizontal="right" vertical="center"/>
    </xf>
    <xf borderId="527" fillId="0" fontId="2" numFmtId="0" xfId="0" applyBorder="1" applyFont="1"/>
    <xf borderId="528" fillId="0" fontId="2" numFmtId="0" xfId="0" applyBorder="1" applyFont="1"/>
    <xf borderId="529" fillId="0" fontId="2" numFmtId="0" xfId="0" applyBorder="1" applyFont="1"/>
    <xf borderId="503" fillId="4" fontId="95" numFmtId="0" xfId="0" applyAlignment="1" applyBorder="1" applyFont="1">
      <alignment vertical="center"/>
    </xf>
    <xf borderId="19" fillId="3" fontId="95" numFmtId="0" xfId="0" applyAlignment="1" applyBorder="1" applyFont="1">
      <alignment vertical="center"/>
    </xf>
    <xf borderId="66" fillId="4" fontId="52" numFmtId="0" xfId="0" applyAlignment="1" applyBorder="1" applyFont="1">
      <alignment vertical="center"/>
    </xf>
    <xf borderId="530" fillId="46" fontId="97" numFmtId="0" xfId="0" applyAlignment="1" applyBorder="1" applyFont="1">
      <alignment horizontal="center" readingOrder="0" vertical="center"/>
    </xf>
    <xf borderId="531" fillId="0" fontId="2" numFmtId="0" xfId="0" applyBorder="1" applyFont="1"/>
    <xf borderId="532" fillId="0" fontId="2" numFmtId="0" xfId="0" applyBorder="1" applyFont="1"/>
    <xf borderId="533" fillId="47" fontId="98" numFmtId="0" xfId="0" applyAlignment="1" applyBorder="1" applyFont="1">
      <alignment horizontal="center" readingOrder="0" vertical="center"/>
    </xf>
    <xf borderId="534" fillId="0" fontId="2" numFmtId="0" xfId="0" applyBorder="1" applyFont="1"/>
    <xf borderId="535" fillId="0" fontId="2" numFmtId="0" xfId="0" applyBorder="1" applyFont="1"/>
    <xf borderId="536" fillId="46" fontId="93" numFmtId="0" xfId="0" applyAlignment="1" applyBorder="1" applyFont="1">
      <alignment horizontal="right" readingOrder="0" vertical="center"/>
    </xf>
    <xf borderId="537" fillId="0" fontId="2" numFmtId="0" xfId="0" applyBorder="1" applyFont="1"/>
    <xf borderId="538" fillId="46" fontId="17" numFmtId="0" xfId="0" applyAlignment="1" applyBorder="1" applyFont="1">
      <alignment horizontal="center" readingOrder="0" vertical="center"/>
    </xf>
    <xf borderId="539" fillId="46" fontId="93" numFmtId="0" xfId="0" applyAlignment="1" applyBorder="1" applyFont="1">
      <alignment horizontal="left" readingOrder="0" vertical="center"/>
    </xf>
    <xf borderId="540" fillId="0" fontId="2" numFmtId="0" xfId="0" applyBorder="1" applyFont="1"/>
    <xf borderId="541" fillId="47" fontId="93" numFmtId="0" xfId="0" applyAlignment="1" applyBorder="1" applyFont="1">
      <alignment horizontal="right" readingOrder="0" vertical="center"/>
    </xf>
    <xf borderId="542" fillId="0" fontId="2" numFmtId="0" xfId="0" applyBorder="1" applyFont="1"/>
    <xf borderId="543" fillId="47" fontId="17" numFmtId="0" xfId="0" applyAlignment="1" applyBorder="1" applyFont="1">
      <alignment horizontal="center" readingOrder="0" vertical="center"/>
    </xf>
    <xf borderId="544" fillId="47" fontId="93" numFmtId="0" xfId="0" applyAlignment="1" applyBorder="1" applyFont="1">
      <alignment horizontal="left" readingOrder="0" vertical="center"/>
    </xf>
    <xf borderId="545" fillId="0" fontId="2" numFmtId="0" xfId="0" applyBorder="1" applyFont="1"/>
    <xf borderId="546" fillId="46" fontId="94" numFmtId="0" xfId="0" applyAlignment="1" applyBorder="1" applyFont="1">
      <alignment horizontal="right" readingOrder="0" vertical="center"/>
    </xf>
    <xf borderId="547" fillId="46" fontId="54" numFmtId="0" xfId="0" applyAlignment="1" applyBorder="1" applyFont="1">
      <alignment horizontal="right" readingOrder="0" vertical="center"/>
    </xf>
    <xf borderId="548" fillId="58" fontId="54" numFmtId="0" xfId="0" applyAlignment="1" applyBorder="1" applyFont="1">
      <alignment horizontal="center" readingOrder="0" vertical="center"/>
    </xf>
    <xf borderId="549" fillId="46" fontId="94" numFmtId="0" xfId="0" applyAlignment="1" applyBorder="1" applyFont="1">
      <alignment horizontal="left" readingOrder="0" vertical="center"/>
    </xf>
    <xf borderId="550" fillId="47" fontId="94" numFmtId="0" xfId="0" applyAlignment="1" applyBorder="1" applyFont="1">
      <alignment horizontal="right" readingOrder="0" vertical="center"/>
    </xf>
    <xf borderId="551" fillId="47" fontId="54" numFmtId="0" xfId="0" applyAlignment="1" applyBorder="1" applyFont="1">
      <alignment horizontal="right" readingOrder="0" vertical="center"/>
    </xf>
    <xf borderId="552" fillId="58" fontId="54" numFmtId="0" xfId="0" applyAlignment="1" applyBorder="1" applyFont="1">
      <alignment horizontal="center" readingOrder="0" vertical="center"/>
    </xf>
    <xf borderId="553" fillId="47" fontId="94" numFmtId="0" xfId="0" applyAlignment="1" applyBorder="1" applyFont="1">
      <alignment horizontal="left" readingOrder="0" vertical="center"/>
    </xf>
    <xf borderId="496" fillId="4" fontId="52" numFmtId="0" xfId="0" applyAlignment="1" applyBorder="1" applyFont="1">
      <alignment vertical="center"/>
    </xf>
    <xf borderId="554" fillId="0" fontId="2" numFmtId="0" xfId="0" applyBorder="1" applyFont="1"/>
    <xf borderId="555" fillId="0" fontId="2" numFmtId="0" xfId="0" applyBorder="1" applyFont="1"/>
    <xf borderId="556" fillId="0" fontId="2" numFmtId="0" xfId="0" applyBorder="1" applyFont="1"/>
    <xf borderId="158" fillId="4" fontId="54" numFmtId="0" xfId="0" applyAlignment="1" applyBorder="1" applyFont="1">
      <alignment horizontal="right" vertical="center"/>
    </xf>
    <xf borderId="557" fillId="0" fontId="2" numFmtId="0" xfId="0" applyBorder="1" applyFont="1"/>
    <xf borderId="558" fillId="0" fontId="2" numFmtId="0" xfId="0" applyBorder="1" applyFont="1"/>
    <xf borderId="559" fillId="0" fontId="2" numFmtId="0" xfId="0" applyBorder="1" applyFont="1"/>
    <xf borderId="503" fillId="4" fontId="52" numFmtId="0" xfId="0" applyAlignment="1" applyBorder="1" applyFont="1">
      <alignment vertical="center"/>
    </xf>
    <xf borderId="66" fillId="4" fontId="99" numFmtId="0" xfId="0" applyAlignment="1" applyBorder="1" applyFont="1">
      <alignment horizontal="center" readingOrder="0" vertical="center"/>
    </xf>
    <xf borderId="100" fillId="4" fontId="99" numFmtId="0" xfId="0" applyAlignment="1" applyBorder="1" applyFont="1">
      <alignment horizontal="center" readingOrder="0" vertical="center"/>
    </xf>
    <xf borderId="560" fillId="59" fontId="100" numFmtId="0" xfId="0" applyAlignment="1" applyBorder="1" applyFill="1" applyFont="1">
      <alignment horizontal="center" readingOrder="0" vertical="center"/>
    </xf>
    <xf borderId="561" fillId="0" fontId="2" numFmtId="0" xfId="0" applyBorder="1" applyFont="1"/>
    <xf borderId="562" fillId="0" fontId="2" numFmtId="0" xfId="0" applyBorder="1" applyFont="1"/>
    <xf borderId="563" fillId="60" fontId="101" numFmtId="0" xfId="0" applyAlignment="1" applyBorder="1" applyFill="1" applyFont="1">
      <alignment horizontal="center" readingOrder="0" vertical="center"/>
    </xf>
    <xf borderId="564" fillId="0" fontId="2" numFmtId="0" xfId="0" applyBorder="1" applyFont="1"/>
    <xf borderId="565" fillId="0" fontId="2" numFmtId="0" xfId="0" applyBorder="1" applyFont="1"/>
    <xf borderId="566" fillId="59" fontId="93" numFmtId="0" xfId="0" applyAlignment="1" applyBorder="1" applyFont="1">
      <alignment horizontal="right" readingOrder="0" vertical="center"/>
    </xf>
    <xf borderId="567" fillId="0" fontId="2" numFmtId="0" xfId="0" applyBorder="1" applyFont="1"/>
    <xf borderId="568" fillId="59" fontId="17" numFmtId="0" xfId="0" applyAlignment="1" applyBorder="1" applyFont="1">
      <alignment horizontal="center" readingOrder="0" vertical="center"/>
    </xf>
    <xf borderId="569" fillId="59" fontId="93" numFmtId="0" xfId="0" applyAlignment="1" applyBorder="1" applyFont="1">
      <alignment horizontal="left" readingOrder="0" vertical="center"/>
    </xf>
    <xf borderId="570" fillId="0" fontId="2" numFmtId="0" xfId="0" applyBorder="1" applyFont="1"/>
    <xf borderId="571" fillId="60" fontId="93" numFmtId="0" xfId="0" applyAlignment="1" applyBorder="1" applyFont="1">
      <alignment horizontal="right" readingOrder="0" vertical="center"/>
    </xf>
    <xf borderId="572" fillId="0" fontId="2" numFmtId="0" xfId="0" applyBorder="1" applyFont="1"/>
    <xf borderId="573" fillId="60" fontId="17" numFmtId="0" xfId="0" applyAlignment="1" applyBorder="1" applyFont="1">
      <alignment horizontal="center" readingOrder="0" vertical="center"/>
    </xf>
    <xf borderId="574" fillId="60" fontId="93" numFmtId="0" xfId="0" applyAlignment="1" applyBorder="1" applyFont="1">
      <alignment horizontal="left" readingOrder="0" vertical="center"/>
    </xf>
    <xf borderId="575" fillId="0" fontId="2" numFmtId="0" xfId="0" applyBorder="1" applyFont="1"/>
    <xf borderId="576" fillId="59" fontId="94" numFmtId="0" xfId="0" applyAlignment="1" applyBorder="1" applyFont="1">
      <alignment horizontal="right" readingOrder="0" vertical="center"/>
    </xf>
    <xf borderId="577" fillId="59" fontId="54" numFmtId="0" xfId="0" applyAlignment="1" applyBorder="1" applyFont="1">
      <alignment horizontal="right" readingOrder="0" vertical="center"/>
    </xf>
    <xf borderId="577" fillId="58" fontId="54" numFmtId="0" xfId="0" applyAlignment="1" applyBorder="1" applyFont="1">
      <alignment horizontal="center" readingOrder="0" vertical="center"/>
    </xf>
    <xf borderId="578" fillId="59" fontId="94" numFmtId="0" xfId="0" applyAlignment="1" applyBorder="1" applyFont="1">
      <alignment horizontal="left" readingOrder="0" vertical="center"/>
    </xf>
    <xf borderId="579" fillId="60" fontId="94" numFmtId="0" xfId="0" applyAlignment="1" applyBorder="1" applyFont="1">
      <alignment horizontal="right" readingOrder="0" vertical="center"/>
    </xf>
    <xf borderId="580" fillId="60" fontId="54" numFmtId="0" xfId="0" applyAlignment="1" applyBorder="1" applyFont="1">
      <alignment horizontal="right" readingOrder="0" vertical="center"/>
    </xf>
    <xf borderId="580" fillId="58" fontId="54" numFmtId="0" xfId="0" applyAlignment="1" applyBorder="1" applyFont="1">
      <alignment horizontal="center" readingOrder="0" vertical="center"/>
    </xf>
    <xf borderId="581" fillId="60" fontId="94" numFmtId="0" xfId="0" applyAlignment="1" applyBorder="1" applyFont="1">
      <alignment horizontal="left" readingOrder="0" vertical="center"/>
    </xf>
    <xf borderId="582" fillId="0" fontId="2" numFmtId="0" xfId="0" applyBorder="1" applyFont="1"/>
    <xf borderId="583" fillId="0" fontId="2" numFmtId="0" xfId="0" applyBorder="1" applyFont="1"/>
    <xf borderId="584" fillId="0" fontId="2" numFmtId="0" xfId="0" applyBorder="1" applyFont="1"/>
    <xf borderId="585" fillId="0" fontId="2" numFmtId="0" xfId="0" applyBorder="1" applyFont="1"/>
    <xf borderId="586" fillId="0" fontId="2" numFmtId="0" xfId="0" applyBorder="1" applyFont="1"/>
    <xf borderId="587" fillId="0" fontId="2" numFmtId="0" xfId="0" applyBorder="1" applyFont="1"/>
    <xf borderId="588" fillId="61" fontId="102" numFmtId="0" xfId="0" applyAlignment="1" applyBorder="1" applyFill="1" applyFont="1">
      <alignment horizontal="center" readingOrder="0" vertical="center"/>
    </xf>
    <xf borderId="589" fillId="0" fontId="2" numFmtId="0" xfId="0" applyBorder="1" applyFont="1"/>
    <xf borderId="590" fillId="0" fontId="2" numFmtId="0" xfId="0" applyBorder="1" applyFont="1"/>
    <xf borderId="591" fillId="61" fontId="93" numFmtId="0" xfId="0" applyAlignment="1" applyBorder="1" applyFont="1">
      <alignment horizontal="right" readingOrder="0" vertical="center"/>
    </xf>
    <xf borderId="592" fillId="0" fontId="2" numFmtId="0" xfId="0" applyBorder="1" applyFont="1"/>
    <xf borderId="593" fillId="61" fontId="17" numFmtId="0" xfId="0" applyAlignment="1" applyBorder="1" applyFont="1">
      <alignment horizontal="center" readingOrder="0" vertical="center"/>
    </xf>
    <xf borderId="594" fillId="61" fontId="93" numFmtId="0" xfId="0" applyAlignment="1" applyBorder="1" applyFont="1">
      <alignment horizontal="left" readingOrder="0" vertical="center"/>
    </xf>
    <xf borderId="595" fillId="0" fontId="2" numFmtId="0" xfId="0" applyBorder="1" applyFont="1"/>
    <xf borderId="596" fillId="62" fontId="93" numFmtId="0" xfId="0" applyAlignment="1" applyBorder="1" applyFill="1" applyFont="1">
      <alignment horizontal="right" readingOrder="0" vertical="center"/>
    </xf>
    <xf borderId="597" fillId="0" fontId="2" numFmtId="0" xfId="0" applyBorder="1" applyFont="1"/>
    <xf borderId="598" fillId="62" fontId="17" numFmtId="0" xfId="0" applyAlignment="1" applyBorder="1" applyFont="1">
      <alignment horizontal="center" readingOrder="0" vertical="center"/>
    </xf>
    <xf borderId="599" fillId="62" fontId="93" numFmtId="0" xfId="0" applyAlignment="1" applyBorder="1" applyFont="1">
      <alignment horizontal="left" readingOrder="0" vertical="center"/>
    </xf>
    <xf borderId="600" fillId="0" fontId="2" numFmtId="0" xfId="0" applyBorder="1" applyFont="1"/>
    <xf borderId="601" fillId="61" fontId="94" numFmtId="0" xfId="0" applyAlignment="1" applyBorder="1" applyFont="1">
      <alignment horizontal="right" readingOrder="0" vertical="center"/>
    </xf>
    <xf borderId="602" fillId="61" fontId="54" numFmtId="0" xfId="0" applyAlignment="1" applyBorder="1" applyFont="1">
      <alignment horizontal="right" readingOrder="0" vertical="center"/>
    </xf>
    <xf borderId="602" fillId="58" fontId="54" numFmtId="0" xfId="0" applyAlignment="1" applyBorder="1" applyFont="1">
      <alignment horizontal="center" readingOrder="0" vertical="center"/>
    </xf>
    <xf borderId="603" fillId="61" fontId="94" numFmtId="0" xfId="0" applyAlignment="1" applyBorder="1" applyFont="1">
      <alignment horizontal="left" readingOrder="0" vertical="center"/>
    </xf>
    <xf borderId="604" fillId="62" fontId="94" numFmtId="0" xfId="0" applyAlignment="1" applyBorder="1" applyFont="1">
      <alignment horizontal="right" readingOrder="0" vertical="center"/>
    </xf>
    <xf borderId="605" fillId="62" fontId="54" numFmtId="0" xfId="0" applyAlignment="1" applyBorder="1" applyFont="1">
      <alignment horizontal="right" readingOrder="0" vertical="center"/>
    </xf>
    <xf borderId="605" fillId="58" fontId="54" numFmtId="0" xfId="0" applyAlignment="1" applyBorder="1" applyFont="1">
      <alignment horizontal="center" readingOrder="0" vertical="center"/>
    </xf>
    <xf borderId="605" fillId="62" fontId="54" numFmtId="0" xfId="0" applyAlignment="1" applyBorder="1" applyFont="1">
      <alignment horizontal="center" readingOrder="0" vertical="center"/>
    </xf>
    <xf borderId="606" fillId="62" fontId="94" numFmtId="0" xfId="0" applyAlignment="1" applyBorder="1" applyFont="1">
      <alignment horizontal="left" readingOrder="0" vertical="center"/>
    </xf>
    <xf borderId="607" fillId="0" fontId="2" numFmtId="0" xfId="0" applyBorder="1" applyFont="1"/>
    <xf borderId="608" fillId="0" fontId="2" numFmtId="0" xfId="0" applyBorder="1" applyFont="1"/>
    <xf borderId="609" fillId="0" fontId="2" numFmtId="0" xfId="0" applyBorder="1" applyFont="1"/>
    <xf borderId="610" fillId="0" fontId="2" numFmtId="0" xfId="0" applyBorder="1" applyFont="1"/>
    <xf borderId="611" fillId="0" fontId="2" numFmtId="0" xfId="0" applyBorder="1" applyFont="1"/>
    <xf borderId="612" fillId="0" fontId="2" numFmtId="0" xfId="0" applyBorder="1" applyFont="1"/>
    <xf borderId="90" fillId="4" fontId="54" numFmtId="0" xfId="0" applyAlignment="1" applyBorder="1" applyFont="1">
      <alignment horizontal="right" readingOrder="0" vertical="center"/>
    </xf>
    <xf borderId="67" fillId="4" fontId="54" numFmtId="0" xfId="0" applyAlignment="1" applyBorder="1" applyFont="1">
      <alignment horizontal="right" readingOrder="0" vertical="center"/>
    </xf>
    <xf borderId="613" fillId="63" fontId="103" numFmtId="0" xfId="0" applyAlignment="1" applyBorder="1" applyFill="1" applyFont="1">
      <alignment horizontal="center" readingOrder="0" vertical="center"/>
    </xf>
    <xf borderId="614" fillId="0" fontId="2" numFmtId="0" xfId="0" applyBorder="1" applyFont="1"/>
    <xf borderId="615" fillId="0" fontId="2" numFmtId="0" xfId="0" applyBorder="1" applyFont="1"/>
    <xf borderId="84" fillId="4" fontId="89" numFmtId="0" xfId="0" applyAlignment="1" applyBorder="1" applyFont="1">
      <alignment horizontal="center" readingOrder="0" vertical="center"/>
    </xf>
    <xf borderId="90" fillId="4" fontId="89" numFmtId="0" xfId="0" applyAlignment="1" applyBorder="1" applyFont="1">
      <alignment horizontal="right" readingOrder="0" vertical="center"/>
    </xf>
    <xf borderId="67" fillId="4" fontId="89" numFmtId="0" xfId="0" applyAlignment="1" applyBorder="1" applyFont="1">
      <alignment horizontal="right" readingOrder="0" vertical="center"/>
    </xf>
    <xf borderId="616" fillId="63" fontId="93" numFmtId="0" xfId="0" applyAlignment="1" applyBorder="1" applyFont="1">
      <alignment horizontal="right" readingOrder="0" vertical="center"/>
    </xf>
    <xf borderId="617" fillId="0" fontId="2" numFmtId="0" xfId="0" applyBorder="1" applyFont="1"/>
    <xf borderId="618" fillId="63" fontId="17" numFmtId="0" xfId="0" applyAlignment="1" applyBorder="1" applyFont="1">
      <alignment horizontal="center" readingOrder="0" vertical="center"/>
    </xf>
    <xf borderId="619" fillId="63" fontId="93" numFmtId="0" xfId="0" applyAlignment="1" applyBorder="1" applyFont="1">
      <alignment horizontal="left" readingOrder="0" vertical="center"/>
    </xf>
    <xf borderId="620" fillId="0" fontId="2" numFmtId="0" xfId="0" applyBorder="1" applyFont="1"/>
    <xf borderId="84" fillId="4" fontId="92" numFmtId="0" xfId="0" applyAlignment="1" applyBorder="1" applyFont="1">
      <alignment horizontal="center" readingOrder="0" vertical="center"/>
    </xf>
    <xf borderId="621" fillId="63" fontId="94" numFmtId="0" xfId="0" applyAlignment="1" applyBorder="1" applyFont="1">
      <alignment horizontal="right" readingOrder="0" vertical="center"/>
    </xf>
    <xf borderId="622" fillId="63" fontId="54" numFmtId="0" xfId="0" applyAlignment="1" applyBorder="1" applyFont="1">
      <alignment horizontal="right" readingOrder="0" vertical="center"/>
    </xf>
    <xf borderId="622" fillId="58" fontId="54" numFmtId="0" xfId="0" applyAlignment="1" applyBorder="1" applyFont="1">
      <alignment horizontal="center" readingOrder="0" vertical="center"/>
    </xf>
    <xf borderId="622" fillId="63" fontId="104" numFmtId="0" xfId="0" applyAlignment="1" applyBorder="1" applyFont="1">
      <alignment horizontal="center" readingOrder="0" vertical="center"/>
    </xf>
    <xf borderId="623" fillId="63" fontId="94" numFmtId="0" xfId="0" applyAlignment="1" applyBorder="1" applyFont="1">
      <alignment horizontal="left" readingOrder="0" vertical="center"/>
    </xf>
    <xf borderId="624" fillId="0" fontId="2" numFmtId="0" xfId="0" applyBorder="1" applyFont="1"/>
    <xf borderId="625" fillId="0" fontId="2" numFmtId="0" xfId="0" applyBorder="1" applyFont="1"/>
    <xf borderId="626" fillId="0" fontId="2" numFmtId="0" xfId="0" applyBorder="1" applyFont="1"/>
    <xf borderId="84" fillId="4" fontId="96" numFmtId="0" xfId="0" applyAlignment="1" applyBorder="1" applyFont="1">
      <alignment horizontal="right" vertical="center"/>
    </xf>
    <xf borderId="90" fillId="4" fontId="96" numFmtId="0" xfId="0" applyAlignment="1" applyBorder="1" applyFont="1">
      <alignment horizontal="right" readingOrder="0" vertical="center"/>
    </xf>
    <xf borderId="67" fillId="4" fontId="96" numFmtId="0" xfId="0" applyAlignment="1" applyBorder="1" applyFont="1">
      <alignment horizontal="right" readingOrder="0" vertical="center"/>
    </xf>
    <xf borderId="627" fillId="4" fontId="52" numFmtId="0" xfId="0" applyAlignment="1" applyBorder="1" applyFont="1">
      <alignment vertical="center"/>
    </xf>
    <xf borderId="628" fillId="4" fontId="92" numFmtId="0" xfId="0" applyAlignment="1" applyBorder="1" applyFont="1">
      <alignment horizontal="center" readingOrder="0" vertical="center"/>
    </xf>
    <xf borderId="629" fillId="4" fontId="52" numFmtId="0" xfId="0" applyAlignment="1" applyBorder="1" applyFont="1">
      <alignment vertical="center"/>
    </xf>
    <xf borderId="75" fillId="3" fontId="92" numFmtId="0" xfId="0" applyAlignment="1" applyBorder="1" applyFont="1">
      <alignment horizontal="center" readingOrder="0" vertical="center"/>
    </xf>
    <xf borderId="630" fillId="64" fontId="52" numFmtId="0" xfId="0" applyAlignment="1" applyBorder="1" applyFill="1" applyFont="1">
      <alignment vertical="center"/>
    </xf>
    <xf borderId="631" fillId="64" fontId="52" numFmtId="0" xfId="0" applyAlignment="1" applyBorder="1" applyFont="1">
      <alignment vertical="center"/>
    </xf>
    <xf borderId="631" fillId="64" fontId="52" numFmtId="0" xfId="0" applyAlignment="1" applyBorder="1" applyFont="1">
      <alignment horizontal="center" vertical="center"/>
    </xf>
    <xf borderId="632" fillId="3" fontId="52" numFmtId="0" xfId="0" applyAlignment="1" applyBorder="1" applyFont="1">
      <alignment horizontal="center" vertical="top"/>
    </xf>
    <xf borderId="632" fillId="0" fontId="2" numFmtId="0" xfId="0" applyBorder="1" applyFont="1"/>
    <xf borderId="633" fillId="64" fontId="52" numFmtId="0" xfId="0" applyAlignment="1" applyBorder="1" applyFont="1">
      <alignment horizontal="center" vertical="center"/>
    </xf>
    <xf borderId="634" fillId="64" fontId="52" numFmtId="0" xfId="0" applyAlignment="1" applyBorder="1" applyFont="1">
      <alignment vertical="center"/>
    </xf>
    <xf borderId="465" fillId="3" fontId="52" numFmtId="0" xfId="0" applyAlignment="1" applyBorder="1" applyFont="1">
      <alignment vertical="center"/>
    </xf>
    <xf borderId="635" fillId="3" fontId="52" numFmtId="0" xfId="0" applyAlignment="1" applyBorder="1" applyFont="1">
      <alignment vertical="center"/>
    </xf>
    <xf borderId="463" fillId="3" fontId="52" numFmtId="0" xfId="0" applyAlignment="1" applyBorder="1" applyFont="1">
      <alignment vertical="center"/>
    </xf>
    <xf borderId="13" fillId="3" fontId="52" numFmtId="0" xfId="0" applyAlignment="1" applyBorder="1" applyFont="1">
      <alignment horizontal="center" vertical="top"/>
    </xf>
    <xf borderId="636" fillId="4" fontId="52" numFmtId="0" xfId="0" applyAlignment="1" applyBorder="1" applyFont="1">
      <alignment vertical="center"/>
    </xf>
    <xf borderId="637" fillId="4" fontId="52" numFmtId="0" xfId="0" applyAlignment="1" applyBorder="1" applyFont="1">
      <alignment vertical="center"/>
    </xf>
    <xf borderId="638" fillId="4" fontId="52" numFmtId="0" xfId="0" applyAlignment="1" applyBorder="1" applyFont="1">
      <alignment vertical="center"/>
    </xf>
    <xf borderId="14" fillId="3" fontId="105" numFmtId="0" xfId="0" applyAlignment="1" applyBorder="1" applyFont="1">
      <alignment vertical="center"/>
    </xf>
    <xf borderId="639" fillId="4" fontId="106" numFmtId="0" xfId="0" applyAlignment="1" applyBorder="1" applyFont="1">
      <alignment vertical="center"/>
    </xf>
    <xf borderId="640" fillId="65" fontId="107" numFmtId="0" xfId="0" applyAlignment="1" applyBorder="1" applyFill="1" applyFont="1">
      <alignment horizontal="center" readingOrder="0" vertical="bottom"/>
    </xf>
    <xf borderId="641" fillId="0" fontId="2" numFmtId="0" xfId="0" applyBorder="1" applyFont="1"/>
    <xf borderId="642" fillId="0" fontId="2" numFmtId="0" xfId="0" applyBorder="1" applyFont="1"/>
    <xf borderId="643" fillId="4" fontId="108" numFmtId="0" xfId="0" applyAlignment="1" applyBorder="1" applyFont="1">
      <alignment vertical="center"/>
    </xf>
    <xf borderId="19" fillId="3" fontId="109" numFmtId="0" xfId="0" applyAlignment="1" applyBorder="1" applyFont="1">
      <alignment vertical="center"/>
    </xf>
    <xf borderId="639" fillId="4" fontId="92" numFmtId="0" xfId="0" applyAlignment="1" applyBorder="1" applyFont="1">
      <alignment vertical="center"/>
    </xf>
    <xf borderId="644" fillId="65" fontId="110" numFmtId="0" xfId="0" applyAlignment="1" applyBorder="1" applyFont="1">
      <alignment horizontal="center" readingOrder="0" vertical="center"/>
    </xf>
    <xf borderId="645" fillId="0" fontId="2" numFmtId="0" xfId="0" applyBorder="1" applyFont="1"/>
    <xf borderId="646" fillId="65" fontId="110" numFmtId="0" xfId="0" applyAlignment="1" applyBorder="1" applyFont="1">
      <alignment horizontal="center" readingOrder="0" vertical="center"/>
    </xf>
    <xf borderId="647" fillId="0" fontId="2" numFmtId="0" xfId="0" applyBorder="1" applyFont="1"/>
    <xf borderId="648" fillId="0" fontId="2" numFmtId="0" xfId="0" applyBorder="1" applyFont="1"/>
    <xf borderId="643" fillId="4" fontId="92" numFmtId="0" xfId="0" applyAlignment="1" applyBorder="1" applyFont="1">
      <alignment vertical="center"/>
    </xf>
    <xf borderId="639" fillId="4" fontId="52" numFmtId="0" xfId="0" applyAlignment="1" applyBorder="1" applyFont="1">
      <alignment vertical="center"/>
    </xf>
    <xf borderId="649" fillId="66" fontId="111" numFmtId="0" xfId="0" applyAlignment="1" applyBorder="1" applyFill="1" applyFont="1">
      <alignment horizontal="center" vertical="center"/>
    </xf>
    <xf borderId="650" fillId="66" fontId="112" numFmtId="0" xfId="0" applyAlignment="1" applyBorder="1" applyFont="1">
      <alignment horizontal="center" readingOrder="0" vertical="center"/>
    </xf>
    <xf borderId="651" fillId="66" fontId="112" numFmtId="0" xfId="0" applyAlignment="1" applyBorder="1" applyFont="1">
      <alignment horizontal="center" readingOrder="0" vertical="center"/>
    </xf>
    <xf borderId="453" fillId="0" fontId="2" numFmtId="0" xfId="0" applyBorder="1" applyFont="1"/>
    <xf borderId="652" fillId="0" fontId="2" numFmtId="0" xfId="0" applyBorder="1" applyFont="1"/>
    <xf borderId="403" fillId="0" fontId="2" numFmtId="0" xfId="0" applyBorder="1" applyFont="1"/>
    <xf borderId="643" fillId="4" fontId="52" numFmtId="0" xfId="0" applyAlignment="1" applyBorder="1" applyFont="1">
      <alignment vertical="center"/>
    </xf>
    <xf borderId="653" fillId="4" fontId="52" numFmtId="0" xfId="0" applyAlignment="1" applyBorder="1" applyFont="1">
      <alignment vertical="center"/>
    </xf>
    <xf borderId="654" fillId="4" fontId="52" numFmtId="0" xfId="0" applyAlignment="1" applyBorder="1" applyFont="1">
      <alignment vertical="center"/>
    </xf>
    <xf borderId="655" fillId="67" fontId="113" numFmtId="0" xfId="0" applyAlignment="1" applyBorder="1" applyFill="1" applyFont="1">
      <alignment horizontal="center" readingOrder="0" vertical="bottom"/>
    </xf>
    <xf borderId="656" fillId="0" fontId="2" numFmtId="0" xfId="0" applyBorder="1" applyFont="1"/>
    <xf borderId="657" fillId="0" fontId="2" numFmtId="0" xfId="0" applyBorder="1" applyFont="1"/>
    <xf borderId="658" fillId="67" fontId="110" numFmtId="0" xfId="0" applyAlignment="1" applyBorder="1" applyFont="1">
      <alignment horizontal="center" readingOrder="0" vertical="center"/>
    </xf>
    <xf borderId="659" fillId="0" fontId="2" numFmtId="0" xfId="0" applyBorder="1" applyFont="1"/>
    <xf borderId="660" fillId="67" fontId="110" numFmtId="0" xfId="0" applyAlignment="1" applyBorder="1" applyFont="1">
      <alignment horizontal="center" readingOrder="0" vertical="center"/>
    </xf>
    <xf borderId="661" fillId="0" fontId="2" numFmtId="0" xfId="0" applyBorder="1" applyFont="1"/>
    <xf borderId="662" fillId="0" fontId="2" numFmtId="0" xfId="0" applyBorder="1" applyFont="1"/>
    <xf borderId="663" fillId="68" fontId="111" numFmtId="0" xfId="0" applyAlignment="1" applyBorder="1" applyFill="1" applyFont="1">
      <alignment horizontal="center" vertical="center"/>
    </xf>
    <xf borderId="664" fillId="68" fontId="112" numFmtId="0" xfId="0" applyAlignment="1" applyBorder="1" applyFont="1">
      <alignment horizontal="center" readingOrder="0" vertical="center"/>
    </xf>
    <xf borderId="665" fillId="68" fontId="112" numFmtId="0" xfId="0" applyAlignment="1" applyBorder="1" applyFont="1">
      <alignment horizontal="center" readingOrder="0" vertical="center"/>
    </xf>
    <xf borderId="666" fillId="0" fontId="2" numFmtId="0" xfId="0" applyBorder="1" applyFont="1"/>
    <xf borderId="337" fillId="4" fontId="114" numFmtId="0" xfId="0" applyAlignment="1" applyBorder="1" applyFont="1">
      <alignment horizontal="center" readingOrder="0" vertical="bottom"/>
    </xf>
    <xf borderId="667" fillId="4" fontId="110" numFmtId="0" xfId="0" applyAlignment="1" applyBorder="1" applyFont="1">
      <alignment horizontal="center" readingOrder="0" vertical="center"/>
    </xf>
    <xf borderId="668" fillId="0" fontId="2" numFmtId="0" xfId="0" applyBorder="1" applyFont="1"/>
    <xf borderId="431" fillId="4" fontId="110" numFmtId="0" xfId="0" applyAlignment="1" applyBorder="1" applyFont="1">
      <alignment horizontal="center" readingOrder="0" vertical="center"/>
    </xf>
    <xf borderId="381" fillId="0" fontId="2" numFmtId="0" xfId="0" applyBorder="1" applyFont="1"/>
    <xf borderId="669" fillId="0" fontId="2" numFmtId="0" xfId="0" applyBorder="1" applyFont="1"/>
    <xf borderId="670" fillId="2" fontId="111" numFmtId="0" xfId="0" applyAlignment="1" applyBorder="1" applyFont="1">
      <alignment horizontal="center" vertical="center"/>
    </xf>
    <xf borderId="671" fillId="2" fontId="112" numFmtId="0" xfId="0" applyAlignment="1" applyBorder="1" applyFont="1">
      <alignment horizontal="center" readingOrder="0" vertical="center"/>
    </xf>
    <xf borderId="672" fillId="2" fontId="112" numFmtId="0" xfId="0" applyAlignment="1" applyBorder="1" applyFont="1">
      <alignment horizontal="center" vertical="center"/>
    </xf>
    <xf borderId="673" fillId="0" fontId="2" numFmtId="0" xfId="0" applyBorder="1" applyFont="1"/>
    <xf borderId="674" fillId="0" fontId="2" numFmtId="0" xfId="0" applyBorder="1" applyFont="1"/>
    <xf borderId="672" fillId="2" fontId="112" numFmtId="0" xfId="0" applyAlignment="1" applyBorder="1" applyFont="1">
      <alignment horizontal="center" readingOrder="0" vertical="center"/>
    </xf>
    <xf borderId="675" fillId="0" fontId="2" numFmtId="0" xfId="0" applyBorder="1" applyFont="1"/>
    <xf borderId="676" fillId="2" fontId="111" numFmtId="0" xfId="0" applyAlignment="1" applyBorder="1" applyFont="1">
      <alignment horizontal="center" vertical="center"/>
    </xf>
    <xf borderId="677" fillId="2" fontId="112" numFmtId="0" xfId="0" applyAlignment="1" applyBorder="1" applyFont="1">
      <alignment horizontal="center" readingOrder="0" vertical="center"/>
    </xf>
    <xf borderId="678" fillId="0" fontId="2" numFmtId="0" xfId="0" applyBorder="1" applyFont="1"/>
    <xf borderId="679" fillId="0" fontId="2" numFmtId="0" xfId="0" applyBorder="1" applyFont="1"/>
    <xf borderId="680" fillId="69" fontId="115" numFmtId="0" xfId="0" applyAlignment="1" applyBorder="1" applyFill="1" applyFont="1">
      <alignment horizontal="center" readingOrder="0" vertical="bottom"/>
    </xf>
    <xf borderId="681" fillId="0" fontId="2" numFmtId="0" xfId="0" applyBorder="1" applyFont="1"/>
    <xf borderId="682" fillId="0" fontId="2" numFmtId="0" xfId="0" applyBorder="1" applyFont="1"/>
    <xf borderId="683" fillId="69" fontId="110" numFmtId="0" xfId="0" applyAlignment="1" applyBorder="1" applyFont="1">
      <alignment horizontal="center" readingOrder="0" vertical="center"/>
    </xf>
    <xf borderId="684" fillId="0" fontId="2" numFmtId="0" xfId="0" applyBorder="1" applyFont="1"/>
    <xf borderId="685" fillId="69" fontId="110" numFmtId="0" xfId="0" applyAlignment="1" applyBorder="1" applyFont="1">
      <alignment horizontal="center" readingOrder="0" vertical="center"/>
    </xf>
    <xf borderId="686" fillId="0" fontId="2" numFmtId="0" xfId="0" applyBorder="1" applyFont="1"/>
    <xf borderId="687" fillId="0" fontId="2" numFmtId="0" xfId="0" applyBorder="1" applyFont="1"/>
    <xf borderId="688" fillId="70" fontId="111" numFmtId="0" xfId="0" applyAlignment="1" applyBorder="1" applyFill="1" applyFont="1">
      <alignment horizontal="center" vertical="center"/>
    </xf>
    <xf borderId="689" fillId="70" fontId="112" numFmtId="0" xfId="0" applyAlignment="1" applyBorder="1" applyFont="1">
      <alignment horizontal="center" readingOrder="0" vertical="center"/>
    </xf>
    <xf borderId="690" fillId="70" fontId="112" numFmtId="0" xfId="0" applyAlignment="1" applyBorder="1" applyFont="1">
      <alignment horizontal="center" readingOrder="0" vertical="center"/>
    </xf>
    <xf borderId="691" fillId="0" fontId="2" numFmtId="0" xfId="0" applyBorder="1" applyFont="1"/>
    <xf borderId="692" fillId="71" fontId="116" numFmtId="0" xfId="0" applyAlignment="1" applyBorder="1" applyFill="1" applyFont="1">
      <alignment horizontal="center" readingOrder="0" vertical="bottom"/>
    </xf>
    <xf borderId="693" fillId="0" fontId="2" numFmtId="0" xfId="0" applyBorder="1" applyFont="1"/>
    <xf borderId="694" fillId="0" fontId="2" numFmtId="0" xfId="0" applyBorder="1" applyFont="1"/>
    <xf borderId="695" fillId="71" fontId="110" numFmtId="0" xfId="0" applyAlignment="1" applyBorder="1" applyFont="1">
      <alignment horizontal="center" readingOrder="0" vertical="center"/>
    </xf>
    <xf borderId="696" fillId="0" fontId="2" numFmtId="0" xfId="0" applyBorder="1" applyFont="1"/>
    <xf borderId="697" fillId="71" fontId="110" numFmtId="0" xfId="0" applyAlignment="1" applyBorder="1" applyFont="1">
      <alignment horizontal="center" readingOrder="0" vertical="center"/>
    </xf>
    <xf borderId="698" fillId="0" fontId="2" numFmtId="0" xfId="0" applyBorder="1" applyFont="1"/>
    <xf borderId="699" fillId="0" fontId="2" numFmtId="0" xfId="0" applyBorder="1" applyFont="1"/>
    <xf borderId="700" fillId="72" fontId="111" numFmtId="0" xfId="0" applyAlignment="1" applyBorder="1" applyFill="1" applyFont="1">
      <alignment horizontal="center" vertical="center"/>
    </xf>
    <xf borderId="701" fillId="72" fontId="112" numFmtId="0" xfId="0" applyAlignment="1" applyBorder="1" applyFont="1">
      <alignment horizontal="center" readingOrder="0" vertical="center"/>
    </xf>
    <xf borderId="702" fillId="72" fontId="112" numFmtId="0" xfId="0" applyAlignment="1" applyBorder="1" applyFont="1">
      <alignment horizontal="center" readingOrder="0" vertical="center"/>
    </xf>
    <xf borderId="703" fillId="0" fontId="2" numFmtId="0" xfId="0" applyBorder="1" applyFont="1"/>
    <xf borderId="14" fillId="3" fontId="117" numFmtId="0" xfId="0" applyAlignment="1" applyBorder="1" applyFont="1">
      <alignment vertical="center"/>
    </xf>
    <xf borderId="639" fillId="4" fontId="117" numFmtId="0" xfId="0" applyAlignment="1" applyBorder="1" applyFont="1">
      <alignment vertical="center"/>
    </xf>
    <xf borderId="235" fillId="3" fontId="118" numFmtId="0" xfId="0" applyAlignment="1" applyBorder="1" applyFont="1">
      <alignment horizontal="center" readingOrder="0" vertical="center"/>
    </xf>
    <xf borderId="643" fillId="4" fontId="117" numFmtId="0" xfId="0" applyAlignment="1" applyBorder="1" applyFont="1">
      <alignment vertical="center"/>
    </xf>
    <xf borderId="19" fillId="3" fontId="117" numFmtId="0" xfId="0" applyAlignment="1" applyBorder="1" applyFont="1">
      <alignment vertical="center"/>
    </xf>
    <xf borderId="704" fillId="73" fontId="119" numFmtId="0" xfId="0" applyAlignment="1" applyBorder="1" applyFill="1" applyFont="1">
      <alignment horizontal="center" readingOrder="0" vertical="bottom"/>
    </xf>
    <xf borderId="705" fillId="0" fontId="2" numFmtId="0" xfId="0" applyBorder="1" applyFont="1"/>
    <xf borderId="706" fillId="0" fontId="2" numFmtId="0" xfId="0" applyBorder="1" applyFont="1"/>
    <xf borderId="707" fillId="73" fontId="110" numFmtId="0" xfId="0" applyAlignment="1" applyBorder="1" applyFont="1">
      <alignment horizontal="center" readingOrder="0" vertical="center"/>
    </xf>
    <xf borderId="708" fillId="0" fontId="2" numFmtId="0" xfId="0" applyBorder="1" applyFont="1"/>
    <xf borderId="709" fillId="73" fontId="110" numFmtId="0" xfId="0" applyAlignment="1" applyBorder="1" applyFont="1">
      <alignment horizontal="center" readingOrder="0" vertical="center"/>
    </xf>
    <xf borderId="710" fillId="0" fontId="2" numFmtId="0" xfId="0" applyBorder="1" applyFont="1"/>
    <xf borderId="711" fillId="0" fontId="2" numFmtId="0" xfId="0" applyBorder="1" applyFont="1"/>
    <xf borderId="712" fillId="74" fontId="111" numFmtId="0" xfId="0" applyAlignment="1" applyBorder="1" applyFill="1" applyFont="1">
      <alignment horizontal="center" vertical="center"/>
    </xf>
    <xf borderId="713" fillId="74" fontId="112" numFmtId="0" xfId="0" applyAlignment="1" applyBorder="1" applyFont="1">
      <alignment horizontal="center" readingOrder="0" vertical="center"/>
    </xf>
    <xf borderId="714" fillId="74" fontId="112" numFmtId="0" xfId="0" applyAlignment="1" applyBorder="1" applyFont="1">
      <alignment horizontal="center" readingOrder="0" vertical="center"/>
    </xf>
    <xf borderId="715" fillId="0" fontId="2" numFmtId="0" xfId="0" applyBorder="1" applyFont="1"/>
    <xf borderId="716" fillId="75" fontId="120" numFmtId="0" xfId="0" applyAlignment="1" applyBorder="1" applyFill="1" applyFont="1">
      <alignment horizontal="center" readingOrder="0" vertical="bottom"/>
    </xf>
    <xf borderId="717" fillId="0" fontId="2" numFmtId="0" xfId="0" applyBorder="1" applyFont="1"/>
    <xf borderId="718" fillId="0" fontId="2" numFmtId="0" xfId="0" applyBorder="1" applyFont="1"/>
    <xf borderId="719" fillId="75" fontId="110" numFmtId="0" xfId="0" applyAlignment="1" applyBorder="1" applyFont="1">
      <alignment horizontal="center" readingOrder="0" vertical="center"/>
    </xf>
    <xf borderId="720" fillId="0" fontId="2" numFmtId="0" xfId="0" applyBorder="1" applyFont="1"/>
    <xf borderId="721" fillId="75" fontId="110" numFmtId="0" xfId="0" applyAlignment="1" applyBorder="1" applyFont="1">
      <alignment horizontal="center" readingOrder="0" vertical="center"/>
    </xf>
    <xf borderId="722" fillId="0" fontId="2" numFmtId="0" xfId="0" applyBorder="1" applyFont="1"/>
    <xf borderId="723" fillId="0" fontId="2" numFmtId="0" xfId="0" applyBorder="1" applyFont="1"/>
    <xf borderId="724" fillId="76" fontId="111" numFmtId="0" xfId="0" applyAlignment="1" applyBorder="1" applyFill="1" applyFont="1">
      <alignment horizontal="center" vertical="center"/>
    </xf>
    <xf borderId="725" fillId="76" fontId="112" numFmtId="0" xfId="0" applyAlignment="1" applyBorder="1" applyFont="1">
      <alignment horizontal="center" readingOrder="0" vertical="center"/>
    </xf>
    <xf borderId="726" fillId="76" fontId="112" numFmtId="0" xfId="0" applyAlignment="1" applyBorder="1" applyFont="1">
      <alignment horizontal="center" readingOrder="0" vertical="center"/>
    </xf>
    <xf borderId="727" fillId="0" fontId="2" numFmtId="0" xfId="0" applyBorder="1" applyFont="1"/>
    <xf borderId="497" fillId="44" fontId="121" numFmtId="0" xfId="0" applyAlignment="1" applyBorder="1" applyFont="1">
      <alignment horizontal="center" readingOrder="0" vertical="bottom"/>
    </xf>
    <xf borderId="504" fillId="44" fontId="110" numFmtId="0" xfId="0" applyAlignment="1" applyBorder="1" applyFont="1">
      <alignment horizontal="center" readingOrder="0" vertical="center"/>
    </xf>
    <xf borderId="507" fillId="44" fontId="110" numFmtId="0" xfId="0" applyAlignment="1" applyBorder="1" applyFont="1">
      <alignment horizontal="center" readingOrder="0" vertical="center"/>
    </xf>
    <xf borderId="728" fillId="0" fontId="2" numFmtId="0" xfId="0" applyBorder="1" applyFont="1"/>
    <xf borderId="729" fillId="77" fontId="111" numFmtId="0" xfId="0" applyAlignment="1" applyBorder="1" applyFill="1" applyFont="1">
      <alignment horizontal="center" vertical="center"/>
    </xf>
    <xf borderId="730" fillId="77" fontId="112" numFmtId="0" xfId="0" applyAlignment="1" applyBorder="1" applyFont="1">
      <alignment horizontal="center" readingOrder="0" vertical="center"/>
    </xf>
    <xf borderId="731" fillId="77" fontId="112" numFmtId="0" xfId="0" applyAlignment="1" applyBorder="1" applyFont="1">
      <alignment horizontal="center" readingOrder="0" vertical="center"/>
    </xf>
    <xf borderId="732" fillId="0" fontId="2" numFmtId="0" xfId="0" applyBorder="1" applyFont="1"/>
    <xf borderId="731" fillId="77" fontId="122" numFmtId="0" xfId="0" applyAlignment="1" applyBorder="1" applyFont="1">
      <alignment horizontal="center" readingOrder="0" vertical="center"/>
    </xf>
    <xf borderId="733" fillId="78" fontId="123" numFmtId="0" xfId="0" applyAlignment="1" applyBorder="1" applyFill="1" applyFont="1">
      <alignment horizontal="center" readingOrder="0" vertical="bottom"/>
    </xf>
    <xf borderId="734" fillId="0" fontId="2" numFmtId="0" xfId="0" applyBorder="1" applyFont="1"/>
    <xf borderId="735" fillId="0" fontId="2" numFmtId="0" xfId="0" applyBorder="1" applyFont="1"/>
    <xf borderId="736" fillId="78" fontId="110" numFmtId="0" xfId="0" applyAlignment="1" applyBorder="1" applyFont="1">
      <alignment horizontal="center" readingOrder="0" vertical="center"/>
    </xf>
    <xf borderId="737" fillId="0" fontId="2" numFmtId="0" xfId="0" applyBorder="1" applyFont="1"/>
    <xf borderId="738" fillId="78" fontId="110" numFmtId="0" xfId="0" applyAlignment="1" applyBorder="1" applyFont="1">
      <alignment horizontal="center" readingOrder="0" vertical="center"/>
    </xf>
    <xf borderId="739" fillId="0" fontId="2" numFmtId="0" xfId="0" applyBorder="1" applyFont="1"/>
    <xf borderId="740" fillId="0" fontId="2" numFmtId="0" xfId="0" applyBorder="1" applyFont="1"/>
    <xf borderId="741" fillId="79" fontId="111" numFmtId="0" xfId="0" applyAlignment="1" applyBorder="1" applyFill="1" applyFont="1">
      <alignment horizontal="center" vertical="center"/>
    </xf>
    <xf borderId="742" fillId="79" fontId="112" numFmtId="0" xfId="0" applyAlignment="1" applyBorder="1" applyFont="1">
      <alignment horizontal="center" readingOrder="0" vertical="center"/>
    </xf>
    <xf borderId="743" fillId="79" fontId="112" numFmtId="0" xfId="0" applyAlignment="1" applyBorder="1" applyFont="1">
      <alignment horizontal="center" readingOrder="0" vertical="center"/>
    </xf>
    <xf borderId="744" fillId="0" fontId="2" numFmtId="0" xfId="0" applyBorder="1" applyFont="1"/>
    <xf borderId="745" fillId="80" fontId="124" numFmtId="0" xfId="0" applyAlignment="1" applyBorder="1" applyFill="1" applyFont="1">
      <alignment horizontal="center" readingOrder="0" vertical="bottom"/>
    </xf>
    <xf borderId="746" fillId="0" fontId="2" numFmtId="0" xfId="0" applyBorder="1" applyFont="1"/>
    <xf borderId="747" fillId="0" fontId="2" numFmtId="0" xfId="0" applyBorder="1" applyFont="1"/>
    <xf borderId="748" fillId="80" fontId="110" numFmtId="0" xfId="0" applyAlignment="1" applyBorder="1" applyFont="1">
      <alignment horizontal="center" readingOrder="0" vertical="center"/>
    </xf>
    <xf borderId="749" fillId="0" fontId="2" numFmtId="0" xfId="0" applyBorder="1" applyFont="1"/>
    <xf borderId="750" fillId="80" fontId="110" numFmtId="0" xfId="0" applyAlignment="1" applyBorder="1" applyFont="1">
      <alignment horizontal="center" readingOrder="0" vertical="center"/>
    </xf>
    <xf borderId="751" fillId="0" fontId="2" numFmtId="0" xfId="0" applyBorder="1" applyFont="1"/>
    <xf borderId="752" fillId="0" fontId="2" numFmtId="0" xfId="0" applyBorder="1" applyFont="1"/>
    <xf borderId="753" fillId="81" fontId="111" numFmtId="0" xfId="0" applyAlignment="1" applyBorder="1" applyFill="1" applyFont="1">
      <alignment horizontal="center" vertical="center"/>
    </xf>
    <xf borderId="754" fillId="81" fontId="112" numFmtId="0" xfId="0" applyAlignment="1" applyBorder="1" applyFont="1">
      <alignment horizontal="center" readingOrder="0" vertical="center"/>
    </xf>
    <xf borderId="755" fillId="81" fontId="112" numFmtId="0" xfId="0" applyAlignment="1" applyBorder="1" applyFont="1">
      <alignment horizontal="center" readingOrder="0" vertical="center"/>
    </xf>
    <xf borderId="756" fillId="0" fontId="2" numFmtId="0" xfId="0" applyBorder="1" applyFont="1"/>
    <xf borderId="757" fillId="82" fontId="125" numFmtId="0" xfId="0" applyAlignment="1" applyBorder="1" applyFill="1" applyFont="1">
      <alignment horizontal="center" readingOrder="0" vertical="bottom"/>
    </xf>
    <xf borderId="758" fillId="0" fontId="2" numFmtId="0" xfId="0" applyBorder="1" applyFont="1"/>
    <xf borderId="759" fillId="0" fontId="2" numFmtId="0" xfId="0" applyBorder="1" applyFont="1"/>
    <xf borderId="760" fillId="82" fontId="110" numFmtId="0" xfId="0" applyAlignment="1" applyBorder="1" applyFont="1">
      <alignment horizontal="center" readingOrder="0" vertical="center"/>
    </xf>
    <xf borderId="761" fillId="0" fontId="2" numFmtId="0" xfId="0" applyBorder="1" applyFont="1"/>
    <xf borderId="762" fillId="82" fontId="110" numFmtId="0" xfId="0" applyAlignment="1" applyBorder="1" applyFont="1">
      <alignment horizontal="center" readingOrder="0" vertical="center"/>
    </xf>
    <xf borderId="763" fillId="0" fontId="2" numFmtId="0" xfId="0" applyBorder="1" applyFont="1"/>
    <xf borderId="764" fillId="0" fontId="2" numFmtId="0" xfId="0" applyBorder="1" applyFont="1"/>
    <xf borderId="765" fillId="83" fontId="111" numFmtId="0" xfId="0" applyAlignment="1" applyBorder="1" applyFill="1" applyFont="1">
      <alignment horizontal="center" vertical="center"/>
    </xf>
    <xf borderId="766" fillId="83" fontId="112" numFmtId="0" xfId="0" applyAlignment="1" applyBorder="1" applyFont="1">
      <alignment horizontal="center" readingOrder="0" vertical="center"/>
    </xf>
    <xf borderId="767" fillId="83" fontId="112" numFmtId="0" xfId="0" applyAlignment="1" applyBorder="1" applyFont="1">
      <alignment horizontal="center" readingOrder="0" vertical="center"/>
    </xf>
    <xf borderId="768" fillId="0" fontId="2" numFmtId="0" xfId="0" applyBorder="1" applyFont="1"/>
    <xf borderId="769" fillId="4" fontId="52" numFmtId="0" xfId="0" applyAlignment="1" applyBorder="1" applyFont="1">
      <alignment vertical="center"/>
    </xf>
    <xf borderId="770" fillId="4" fontId="52" numFmtId="0" xfId="0" applyAlignment="1" applyBorder="1" applyFont="1">
      <alignment horizontal="center" vertical="center"/>
    </xf>
    <xf borderId="770" fillId="4" fontId="54" numFmtId="0" xfId="0" applyAlignment="1" applyBorder="1" applyFont="1">
      <alignment readingOrder="0" vertical="center"/>
    </xf>
    <xf borderId="771" fillId="4" fontId="54" numFmtId="0" xfId="0" applyAlignment="1" applyBorder="1" applyFont="1">
      <alignment readingOrder="0" vertical="center"/>
    </xf>
    <xf borderId="772" fillId="0" fontId="2" numFmtId="0" xfId="0" applyBorder="1" applyFont="1"/>
    <xf borderId="773" fillId="4" fontId="52" numFmtId="0" xfId="0" applyAlignment="1" applyBorder="1" applyFont="1">
      <alignment vertical="center"/>
    </xf>
    <xf borderId="774" fillId="4" fontId="52" numFmtId="0" xfId="0" applyAlignment="1" applyBorder="1" applyFont="1">
      <alignment vertical="center"/>
    </xf>
    <xf borderId="75" fillId="3" fontId="52" numFmtId="0" xfId="0" applyAlignment="1" applyBorder="1" applyFont="1">
      <alignment horizontal="center" vertical="center"/>
    </xf>
    <xf borderId="75" fillId="3" fontId="54" numFmtId="0" xfId="0" applyAlignment="1" applyBorder="1" applyFont="1">
      <alignment readingOrder="0" vertical="center"/>
    </xf>
    <xf borderId="12" fillId="3" fontId="8" numFmtId="0" xfId="0" applyAlignment="1" applyBorder="1" applyFont="1">
      <alignment vertical="center"/>
    </xf>
    <xf borderId="13" fillId="3" fontId="8" numFmtId="0" xfId="0" applyAlignment="1" applyBorder="1" applyFont="1">
      <alignment horizontal="center" vertical="center"/>
    </xf>
    <xf borderId="14" fillId="3" fontId="8" numFmtId="0" xfId="0" applyAlignment="1" applyBorder="1" applyFont="1">
      <alignment vertical="center"/>
    </xf>
    <xf borderId="775" fillId="4" fontId="99" numFmtId="0" xfId="0" applyAlignment="1" applyBorder="1" applyFont="1">
      <alignment horizontal="center" vertical="center"/>
    </xf>
    <xf borderId="776" fillId="4" fontId="99" numFmtId="0" xfId="0" applyAlignment="1" applyBorder="1" applyFont="1">
      <alignment horizontal="center" vertical="center"/>
    </xf>
    <xf borderId="777" fillId="4" fontId="99" numFmtId="0" xfId="0" applyAlignment="1" applyBorder="1" applyFont="1">
      <alignment horizontal="center" vertical="center"/>
    </xf>
    <xf borderId="19" fillId="3" fontId="8" numFmtId="0" xfId="0" applyAlignment="1" applyBorder="1" applyFont="1">
      <alignment vertical="center"/>
    </xf>
    <xf borderId="778" fillId="4" fontId="54" numFmtId="0" xfId="0" applyAlignment="1" applyBorder="1" applyFont="1">
      <alignment shrinkToFit="0" vertical="center" wrapText="1"/>
    </xf>
    <xf borderId="235" fillId="44" fontId="54" numFmtId="0" xfId="0" applyAlignment="1" applyBorder="1" applyFont="1">
      <alignment horizontal="left" readingOrder="0" shrinkToFit="0" vertical="center" wrapText="1"/>
    </xf>
    <xf borderId="779" fillId="4" fontId="54" numFmtId="0" xfId="0" applyAlignment="1" applyBorder="1" applyFont="1">
      <alignment shrinkToFit="0" vertical="center" wrapText="1"/>
    </xf>
    <xf borderId="780" fillId="4" fontId="54" numFmtId="0" xfId="0" applyAlignment="1" applyBorder="1" applyFont="1">
      <alignment shrinkToFit="0" vertical="center" wrapText="1"/>
    </xf>
    <xf borderId="66" fillId="4" fontId="54" numFmtId="0" xfId="0" applyAlignment="1" applyBorder="1" applyFont="1">
      <alignment horizontal="center" readingOrder="0" shrinkToFit="0" vertical="center" wrapText="1"/>
    </xf>
    <xf borderId="781" fillId="4" fontId="54" numFmtId="0" xfId="0" applyAlignment="1" applyBorder="1" applyFont="1">
      <alignment shrinkToFit="0" vertical="center" wrapText="1"/>
    </xf>
    <xf borderId="235" fillId="45" fontId="54" numFmtId="0" xfId="0" applyAlignment="1" applyBorder="1" applyFont="1">
      <alignment horizontal="left" readingOrder="0" shrinkToFit="0" vertical="center" wrapText="1"/>
    </xf>
    <xf borderId="235" fillId="46" fontId="54" numFmtId="0" xfId="0" applyAlignment="1" applyBorder="1" applyFont="1">
      <alignment horizontal="left" readingOrder="0" shrinkToFit="0" vertical="center" wrapText="1"/>
    </xf>
    <xf borderId="235" fillId="47" fontId="54" numFmtId="0" xfId="0" applyAlignment="1" applyBorder="1" applyFont="1">
      <alignment horizontal="left" readingOrder="0" shrinkToFit="0" vertical="center" wrapText="1"/>
    </xf>
    <xf borderId="235" fillId="60" fontId="54" numFmtId="0" xfId="0" applyAlignment="1" applyBorder="1" applyFont="1">
      <alignment horizontal="left" readingOrder="0" shrinkToFit="0" vertical="center" wrapText="1"/>
    </xf>
    <xf borderId="780" fillId="4" fontId="8" numFmtId="0" xfId="0" applyAlignment="1" applyBorder="1" applyFont="1">
      <alignment vertical="center"/>
    </xf>
    <xf borderId="100" fillId="4" fontId="8" numFmtId="0" xfId="0" applyAlignment="1" applyBorder="1" applyFont="1">
      <alignment horizontal="center" vertical="center"/>
    </xf>
    <xf borderId="67" fillId="4" fontId="8" numFmtId="0" xfId="0" applyAlignment="1" applyBorder="1" applyFont="1">
      <alignment horizontal="center" vertical="center"/>
    </xf>
    <xf borderId="781" fillId="4" fontId="8" numFmtId="0" xfId="0" applyAlignment="1" applyBorder="1" applyFont="1">
      <alignment vertical="center"/>
    </xf>
    <xf borderId="14" fillId="3" fontId="126" numFmtId="0" xfId="0" applyAlignment="1" applyBorder="1" applyFont="1">
      <alignment vertical="center"/>
    </xf>
    <xf borderId="778" fillId="4" fontId="126" numFmtId="0" xfId="0" applyAlignment="1" applyBorder="1" applyFont="1">
      <alignment vertical="center"/>
    </xf>
    <xf borderId="235" fillId="3" fontId="127" numFmtId="0" xfId="0" applyAlignment="1" applyBorder="1" applyFont="1">
      <alignment horizontal="center" readingOrder="0" vertical="center"/>
    </xf>
    <xf borderId="84" fillId="4" fontId="126" numFmtId="0" xfId="0" applyAlignment="1" applyBorder="1" applyFont="1">
      <alignment horizontal="center" vertical="center"/>
    </xf>
    <xf borderId="782" fillId="3" fontId="127" numFmtId="0" xfId="0" applyAlignment="1" applyBorder="1" applyFont="1">
      <alignment horizontal="center" readingOrder="0" vertical="center"/>
    </xf>
    <xf borderId="779" fillId="4" fontId="126" numFmtId="0" xfId="0" applyAlignment="1" applyBorder="1" applyFont="1">
      <alignment vertical="center"/>
    </xf>
    <xf borderId="19" fillId="3" fontId="126" numFmtId="0" xfId="0" applyAlignment="1" applyBorder="1" applyFont="1">
      <alignment vertical="center"/>
    </xf>
    <xf borderId="335" fillId="4" fontId="8" numFmtId="0" xfId="0" applyAlignment="1" applyBorder="1" applyFont="1">
      <alignment horizontal="center" vertical="center"/>
    </xf>
    <xf borderId="66" fillId="4" fontId="8" numFmtId="0" xfId="0" applyAlignment="1" applyBorder="1" applyFont="1">
      <alignment horizontal="center" vertical="center"/>
    </xf>
    <xf borderId="778" fillId="4" fontId="8" numFmtId="0" xfId="0" applyAlignment="1" applyBorder="1" applyFont="1">
      <alignment vertical="center"/>
    </xf>
    <xf borderId="783" fillId="26" fontId="54" numFmtId="0" xfId="0" applyAlignment="1" applyBorder="1" applyFont="1">
      <alignment horizontal="center" vertical="center"/>
    </xf>
    <xf borderId="784" fillId="26" fontId="54" numFmtId="0" xfId="0" applyAlignment="1" applyBorder="1" applyFont="1">
      <alignment horizontal="center" vertical="center"/>
    </xf>
    <xf borderId="84" fillId="4" fontId="54" numFmtId="0" xfId="0" applyAlignment="1" applyBorder="1" applyFont="1">
      <alignment horizontal="center" vertical="center"/>
    </xf>
    <xf borderId="785" fillId="26" fontId="96" numFmtId="0" xfId="0" applyAlignment="1" applyBorder="1" applyFont="1">
      <alignment horizontal="center" vertical="center"/>
    </xf>
    <xf borderId="242" fillId="26" fontId="54" numFmtId="0" xfId="0" applyAlignment="1" applyBorder="1" applyFont="1">
      <alignment horizontal="center" readingOrder="0" vertical="center"/>
    </xf>
    <xf borderId="243" fillId="0" fontId="2" numFmtId="0" xfId="0" applyBorder="1" applyFont="1"/>
    <xf borderId="779" fillId="4" fontId="8" numFmtId="0" xfId="0" applyAlignment="1" applyBorder="1" applyFont="1">
      <alignment vertical="center"/>
    </xf>
    <xf borderId="786" fillId="84" fontId="54" numFmtId="0" xfId="0" applyAlignment="1" applyBorder="1" applyFill="1" applyFont="1">
      <alignment horizontal="center" vertical="center"/>
    </xf>
    <xf borderId="787" fillId="84" fontId="54" numFmtId="0" xfId="0" applyAlignment="1" applyBorder="1" applyFont="1">
      <alignment horizontal="center" vertical="center"/>
    </xf>
    <xf borderId="246" fillId="84" fontId="96" numFmtId="0" xfId="0" applyAlignment="1" applyBorder="1" applyFont="1">
      <alignment horizontal="center" vertical="center"/>
    </xf>
    <xf borderId="249" fillId="84" fontId="54" numFmtId="0" xfId="0" applyAlignment="1" applyBorder="1" applyFont="1">
      <alignment horizontal="center" vertical="center"/>
    </xf>
    <xf borderId="250" fillId="0" fontId="2" numFmtId="0" xfId="0" applyBorder="1" applyFont="1"/>
    <xf borderId="788" fillId="85" fontId="54" numFmtId="0" xfId="0" applyAlignment="1" applyBorder="1" applyFill="1" applyFont="1">
      <alignment horizontal="center" vertical="center"/>
    </xf>
    <xf borderId="789" fillId="85" fontId="54" numFmtId="0" xfId="0" applyAlignment="1" applyBorder="1" applyFont="1">
      <alignment horizontal="center" vertical="center"/>
    </xf>
    <xf borderId="246" fillId="85" fontId="96" numFmtId="0" xfId="0" applyAlignment="1" applyBorder="1" applyFont="1">
      <alignment horizontal="center" vertical="center"/>
    </xf>
    <xf borderId="249" fillId="85" fontId="54" numFmtId="0" xfId="0" applyAlignment="1" applyBorder="1" applyFont="1">
      <alignment horizontal="center" vertical="center"/>
    </xf>
    <xf borderId="790" fillId="86" fontId="54" numFmtId="0" xfId="0" applyAlignment="1" applyBorder="1" applyFill="1" applyFont="1">
      <alignment horizontal="center" vertical="center"/>
    </xf>
    <xf borderId="791" fillId="86" fontId="54" numFmtId="0" xfId="0" applyAlignment="1" applyBorder="1" applyFont="1">
      <alignment horizontal="center" vertical="center"/>
    </xf>
    <xf borderId="246" fillId="86" fontId="96" numFmtId="0" xfId="0" applyAlignment="1" applyBorder="1" applyFont="1">
      <alignment horizontal="center" vertical="center"/>
    </xf>
    <xf borderId="249" fillId="86" fontId="54" numFmtId="0" xfId="0" applyAlignment="1" applyBorder="1" applyFont="1">
      <alignment horizontal="center" readingOrder="0" vertical="center"/>
    </xf>
    <xf borderId="792" fillId="87" fontId="54" numFmtId="0" xfId="0" applyAlignment="1" applyBorder="1" applyFill="1" applyFont="1">
      <alignment horizontal="center" vertical="center"/>
    </xf>
    <xf borderId="793" fillId="87" fontId="54" numFmtId="0" xfId="0" applyAlignment="1" applyBorder="1" applyFont="1">
      <alignment horizontal="center" vertical="center"/>
    </xf>
    <xf borderId="246" fillId="87" fontId="96" numFmtId="0" xfId="0" applyAlignment="1" applyBorder="1" applyFont="1">
      <alignment horizontal="center" vertical="center"/>
    </xf>
    <xf borderId="249" fillId="87" fontId="54" numFmtId="0" xfId="0" applyAlignment="1" applyBorder="1" applyFont="1">
      <alignment horizontal="center" vertical="center"/>
    </xf>
    <xf borderId="307" fillId="42" fontId="54" numFmtId="0" xfId="0" applyAlignment="1" applyBorder="1" applyFont="1">
      <alignment horizontal="center" vertical="center"/>
    </xf>
    <xf borderId="308" fillId="42" fontId="54" numFmtId="49" xfId="0" applyAlignment="1" applyBorder="1" applyFont="1" applyNumberFormat="1">
      <alignment horizontal="center" vertical="center"/>
    </xf>
    <xf borderId="246" fillId="42" fontId="96" numFmtId="0" xfId="0" applyAlignment="1" applyBorder="1" applyFont="1">
      <alignment horizontal="center" vertical="center"/>
    </xf>
    <xf borderId="249" fillId="42" fontId="54" numFmtId="0" xfId="0" applyAlignment="1" applyBorder="1" applyFont="1">
      <alignment horizontal="center" vertical="center"/>
    </xf>
    <xf borderId="257" fillId="27" fontId="54" numFmtId="0" xfId="0" applyAlignment="1" applyBorder="1" applyFont="1">
      <alignment horizontal="center" vertical="center"/>
    </xf>
    <xf borderId="258" fillId="27" fontId="54" numFmtId="49" xfId="0" applyAlignment="1" applyBorder="1" applyFont="1" applyNumberFormat="1">
      <alignment horizontal="center" vertical="center"/>
    </xf>
    <xf borderId="246" fillId="27" fontId="96" numFmtId="0" xfId="0" applyAlignment="1" applyBorder="1" applyFont="1">
      <alignment horizontal="center" vertical="center"/>
    </xf>
    <xf borderId="249" fillId="27" fontId="54" numFmtId="0" xfId="0" applyAlignment="1" applyBorder="1" applyFont="1">
      <alignment horizontal="center" vertical="center"/>
    </xf>
    <xf borderId="247" fillId="25" fontId="54" numFmtId="0" xfId="0" applyAlignment="1" applyBorder="1" applyFont="1">
      <alignment horizontal="center" vertical="center"/>
    </xf>
    <xf borderId="248" fillId="25" fontId="54" numFmtId="49" xfId="0" applyAlignment="1" applyBorder="1" applyFont="1" applyNumberFormat="1">
      <alignment horizontal="center" vertical="center"/>
    </xf>
    <xf borderId="246" fillId="25" fontId="96" numFmtId="0" xfId="0" applyAlignment="1" applyBorder="1" applyFont="1">
      <alignment horizontal="center" vertical="center"/>
    </xf>
    <xf borderId="249" fillId="25" fontId="54" numFmtId="0" xfId="0" applyAlignment="1" applyBorder="1" applyFont="1">
      <alignment horizontal="center" vertical="center"/>
    </xf>
    <xf borderId="794" fillId="88" fontId="54" numFmtId="0" xfId="0" applyAlignment="1" applyBorder="1" applyFill="1" applyFont="1">
      <alignment horizontal="center" vertical="center"/>
    </xf>
    <xf borderId="795" fillId="88" fontId="54" numFmtId="49" xfId="0" applyAlignment="1" applyBorder="1" applyFont="1" applyNumberFormat="1">
      <alignment horizontal="center" vertical="center"/>
    </xf>
    <xf borderId="246" fillId="88" fontId="96" numFmtId="0" xfId="0" applyAlignment="1" applyBorder="1" applyFont="1">
      <alignment horizontal="center" vertical="center"/>
    </xf>
    <xf borderId="249" fillId="88" fontId="54" numFmtId="0" xfId="0" applyAlignment="1" applyBorder="1" applyFont="1">
      <alignment horizontal="center" vertical="center"/>
    </xf>
    <xf borderId="796" fillId="89" fontId="54" numFmtId="0" xfId="0" applyAlignment="1" applyBorder="1" applyFill="1" applyFont="1">
      <alignment horizontal="center" vertical="center"/>
    </xf>
    <xf borderId="797" fillId="89" fontId="54" numFmtId="49" xfId="0" applyAlignment="1" applyBorder="1" applyFont="1" applyNumberFormat="1">
      <alignment horizontal="center" vertical="center"/>
    </xf>
    <xf borderId="246" fillId="89" fontId="96" numFmtId="0" xfId="0" applyAlignment="1" applyBorder="1" applyFont="1">
      <alignment horizontal="center" readingOrder="0" vertical="center"/>
    </xf>
    <xf borderId="249" fillId="89" fontId="54" numFmtId="0" xfId="0" applyAlignment="1" applyBorder="1" applyFont="1">
      <alignment horizontal="center" vertical="center"/>
    </xf>
    <xf borderId="798" fillId="90" fontId="54" numFmtId="0" xfId="0" applyAlignment="1" applyBorder="1" applyFill="1" applyFont="1">
      <alignment horizontal="center" vertical="center"/>
    </xf>
    <xf borderId="799" fillId="90" fontId="54" numFmtId="49" xfId="0" applyAlignment="1" applyBorder="1" applyFont="1" applyNumberFormat="1">
      <alignment horizontal="center" vertical="center"/>
    </xf>
    <xf borderId="246" fillId="90" fontId="96" numFmtId="0" xfId="0" applyAlignment="1" applyBorder="1" applyFont="1">
      <alignment horizontal="center" vertical="center"/>
    </xf>
    <xf borderId="249" fillId="90" fontId="54" numFmtId="0" xfId="0" applyAlignment="1" applyBorder="1" applyFont="1">
      <alignment horizontal="center" vertical="center"/>
    </xf>
    <xf borderId="800" fillId="91" fontId="54" numFmtId="0" xfId="0" applyAlignment="1" applyBorder="1" applyFill="1" applyFont="1">
      <alignment horizontal="center" vertical="center"/>
    </xf>
    <xf borderId="801" fillId="91" fontId="54" numFmtId="0" xfId="0" applyAlignment="1" applyBorder="1" applyFont="1">
      <alignment horizontal="center" vertical="center"/>
    </xf>
    <xf borderId="246" fillId="91" fontId="96" numFmtId="0" xfId="0" applyAlignment="1" applyBorder="1" applyFont="1">
      <alignment horizontal="center" vertical="center"/>
    </xf>
    <xf borderId="249" fillId="91" fontId="54" numFmtId="0" xfId="0" applyAlignment="1" applyBorder="1" applyFont="1">
      <alignment horizontal="center" vertical="center"/>
    </xf>
    <xf borderId="802" fillId="92" fontId="54" numFmtId="0" xfId="0" applyAlignment="1" applyBorder="1" applyFill="1" applyFont="1">
      <alignment horizontal="center" vertical="center"/>
    </xf>
    <xf borderId="803" fillId="92" fontId="54" numFmtId="0" xfId="0" applyAlignment="1" applyBorder="1" applyFont="1">
      <alignment horizontal="center" vertical="center"/>
    </xf>
    <xf borderId="246" fillId="92" fontId="96" numFmtId="0" xfId="0" applyAlignment="1" applyBorder="1" applyFont="1">
      <alignment horizontal="center" vertical="center"/>
    </xf>
    <xf borderId="249" fillId="92" fontId="54" numFmtId="0" xfId="0" applyAlignment="1" applyBorder="1" applyFont="1">
      <alignment horizontal="center" vertical="center"/>
    </xf>
    <xf borderId="804" fillId="93" fontId="54" numFmtId="0" xfId="0" applyAlignment="1" applyBorder="1" applyFill="1" applyFont="1">
      <alignment horizontal="center" vertical="center"/>
    </xf>
    <xf borderId="805" fillId="93" fontId="54" numFmtId="0" xfId="0" applyAlignment="1" applyBorder="1" applyFont="1">
      <alignment horizontal="center" vertical="center"/>
    </xf>
    <xf borderId="246" fillId="93" fontId="96" numFmtId="0" xfId="0" applyAlignment="1" applyBorder="1" applyFont="1">
      <alignment horizontal="center" vertical="center"/>
    </xf>
    <xf borderId="249" fillId="93" fontId="54" numFmtId="0" xfId="0" applyAlignment="1" applyBorder="1" applyFont="1">
      <alignment horizontal="center" vertical="center"/>
    </xf>
    <xf borderId="249" fillId="93" fontId="54" numFmtId="0" xfId="0" applyAlignment="1" applyBorder="1" applyFont="1">
      <alignment horizontal="center" shrinkToFit="0" vertical="center" wrapText="1"/>
    </xf>
    <xf borderId="806" fillId="94" fontId="54" numFmtId="0" xfId="0" applyAlignment="1" applyBorder="1" applyFill="1" applyFont="1">
      <alignment horizontal="center" vertical="center"/>
    </xf>
    <xf borderId="807" fillId="94" fontId="54" numFmtId="0" xfId="0" applyAlignment="1" applyBorder="1" applyFont="1">
      <alignment horizontal="center" vertical="center"/>
    </xf>
    <xf borderId="246" fillId="94" fontId="96" numFmtId="0" xfId="0" applyAlignment="1" applyBorder="1" applyFont="1">
      <alignment horizontal="center" vertical="center"/>
    </xf>
    <xf borderId="249" fillId="94" fontId="54" numFmtId="0" xfId="0" applyAlignment="1" applyBorder="1" applyFont="1">
      <alignment horizontal="center" vertical="center"/>
    </xf>
    <xf borderId="808" fillId="95" fontId="54" numFmtId="0" xfId="0" applyAlignment="1" applyBorder="1" applyFill="1" applyFont="1">
      <alignment horizontal="center" vertical="center"/>
    </xf>
    <xf borderId="809" fillId="95" fontId="54" numFmtId="0" xfId="0" applyAlignment="1" applyBorder="1" applyFont="1">
      <alignment horizontal="center" vertical="center"/>
    </xf>
    <xf borderId="246" fillId="95" fontId="96" numFmtId="0" xfId="0" applyAlignment="1" applyBorder="1" applyFont="1">
      <alignment horizontal="center" vertical="center"/>
    </xf>
    <xf borderId="249" fillId="95" fontId="54" numFmtId="0" xfId="0" applyAlignment="1" applyBorder="1" applyFont="1">
      <alignment horizontal="center" vertical="center"/>
    </xf>
    <xf borderId="810" fillId="96" fontId="54" numFmtId="0" xfId="0" applyAlignment="1" applyBorder="1" applyFill="1" applyFont="1">
      <alignment horizontal="center" vertical="center"/>
    </xf>
    <xf borderId="811" fillId="96" fontId="54" numFmtId="0" xfId="0" applyAlignment="1" applyBorder="1" applyFont="1">
      <alignment horizontal="center" vertical="center"/>
    </xf>
    <xf borderId="812" fillId="96" fontId="96" numFmtId="0" xfId="0" applyAlignment="1" applyBorder="1" applyFont="1">
      <alignment horizontal="center" vertical="center"/>
    </xf>
    <xf borderId="313" fillId="96" fontId="54" numFmtId="0" xfId="0" applyAlignment="1" applyBorder="1" applyFont="1">
      <alignment horizontal="center" vertical="center"/>
    </xf>
    <xf borderId="314" fillId="0" fontId="2" numFmtId="0" xfId="0" applyBorder="1" applyFont="1"/>
    <xf borderId="813" fillId="4" fontId="8" numFmtId="0" xfId="0" applyAlignment="1" applyBorder="1" applyFont="1">
      <alignment vertical="center"/>
    </xf>
    <xf borderId="814" fillId="4" fontId="8" numFmtId="0" xfId="0" applyAlignment="1" applyBorder="1" applyFont="1">
      <alignment horizontal="center" vertical="center"/>
    </xf>
    <xf borderId="815" fillId="0" fontId="2" numFmtId="0" xfId="0" applyBorder="1" applyFont="1"/>
    <xf borderId="816" fillId="4" fontId="8" numFmtId="0" xfId="0" applyAlignment="1" applyBorder="1" applyFont="1">
      <alignment horizontal="center" vertical="center"/>
    </xf>
    <xf borderId="817" fillId="4" fontId="8" numFmtId="0" xfId="0" applyAlignment="1" applyBorder="1" applyFont="1">
      <alignment horizontal="center" vertical="center"/>
    </xf>
    <xf borderId="818" fillId="4" fontId="8" numFmtId="0" xfId="0" applyAlignment="1" applyBorder="1" applyFont="1">
      <alignment vertical="center"/>
    </xf>
    <xf borderId="75" fillId="3" fontId="8" numFmtId="0" xfId="0" applyAlignment="1" applyBorder="1" applyFont="1">
      <alignment horizontal="center" vertical="center"/>
    </xf>
    <xf borderId="75" fillId="3" fontId="8" numFmtId="0" xfId="0" applyAlignment="1" applyBorder="1" applyFont="1">
      <alignment horizontal="center" vertical="center"/>
    </xf>
    <xf borderId="235" fillId="4" fontId="128" numFmtId="0" xfId="0" applyAlignment="1" applyBorder="1" applyFont="1">
      <alignment horizontal="center" readingOrder="0" vertical="center"/>
    </xf>
    <xf borderId="819" fillId="0" fontId="52" numFmtId="0" xfId="0" applyAlignment="1" applyBorder="1" applyFont="1">
      <alignment vertical="center"/>
    </xf>
    <xf borderId="131" fillId="0" fontId="52" numFmtId="0" xfId="0" applyAlignment="1" applyBorder="1" applyFont="1">
      <alignment vertical="center"/>
    </xf>
    <xf borderId="35" fillId="0" fontId="52" numFmtId="0" xfId="0" applyAlignment="1" applyBorder="1" applyFont="1">
      <alignment vertical="center"/>
    </xf>
    <xf borderId="820" fillId="0" fontId="52" numFmtId="0" xfId="0" applyAlignment="1" applyBorder="1" applyFont="1">
      <alignment vertical="center"/>
    </xf>
    <xf borderId="821" fillId="0" fontId="52" numFmtId="0" xfId="0" applyAlignment="1" applyBorder="1" applyFont="1">
      <alignment vertical="center"/>
    </xf>
    <xf borderId="822" fillId="0" fontId="52" numFmtId="0" xfId="0" applyAlignment="1" applyBorder="1" applyFont="1">
      <alignment horizontal="center" vertical="center"/>
    </xf>
    <xf borderId="823" fillId="28" fontId="54" numFmtId="0" xfId="0" applyAlignment="1" applyBorder="1" applyFont="1">
      <alignment readingOrder="0" vertical="center"/>
    </xf>
    <xf borderId="339" fillId="0" fontId="52" numFmtId="0" xfId="0" applyAlignment="1" applyBorder="1" applyFont="1">
      <alignment vertical="center"/>
    </xf>
    <xf borderId="824" fillId="4" fontId="60" numFmtId="0" xfId="0" applyAlignment="1" applyBorder="1" applyFont="1">
      <alignment horizontal="center" readingOrder="0" shrinkToFit="0" vertical="center" wrapText="1"/>
    </xf>
    <xf borderId="825" fillId="0" fontId="2" numFmtId="0" xfId="0" applyBorder="1" applyFont="1"/>
    <xf borderId="826" fillId="0" fontId="52" numFmtId="0" xfId="0" applyAlignment="1" applyBorder="1" applyFont="1">
      <alignment vertical="center"/>
    </xf>
    <xf borderId="132" fillId="4" fontId="52" numFmtId="0" xfId="0" applyAlignment="1" applyBorder="1" applyFont="1">
      <alignment horizontal="center" vertical="center"/>
    </xf>
    <xf borderId="135" fillId="4" fontId="54" numFmtId="0" xfId="0" applyAlignment="1" applyBorder="1" applyFont="1">
      <alignment horizontal="left" readingOrder="0" vertical="center"/>
    </xf>
    <xf borderId="827" fillId="0" fontId="2" numFmtId="0" xfId="0" applyBorder="1" applyFont="1"/>
    <xf borderId="828" fillId="0" fontId="2" numFmtId="0" xfId="0" applyBorder="1" applyFont="1"/>
    <xf borderId="120" fillId="0" fontId="52" numFmtId="0" xfId="0" applyAlignment="1" applyBorder="1" applyFont="1">
      <alignment horizontal="center" vertical="center"/>
    </xf>
    <xf borderId="123" fillId="28" fontId="54" numFmtId="0" xfId="0" applyAlignment="1" applyBorder="1" applyFont="1">
      <alignment readingOrder="0" vertical="center"/>
    </xf>
    <xf borderId="261" fillId="4" fontId="70" numFmtId="0" xfId="0" applyAlignment="1" applyBorder="1" applyFont="1">
      <alignment horizontal="center" readingOrder="0" vertical="center"/>
    </xf>
    <xf borderId="262" fillId="0" fontId="2" numFmtId="0" xfId="0" applyBorder="1" applyFont="1"/>
    <xf borderId="120" fillId="4" fontId="52" numFmtId="0" xfId="0" applyAlignment="1" applyBorder="1" applyFont="1">
      <alignment horizontal="center" vertical="center"/>
    </xf>
    <xf borderId="123" fillId="4" fontId="54" numFmtId="0" xfId="0" applyAlignment="1" applyBorder="1" applyFont="1">
      <alignment horizontal="left" readingOrder="0" vertical="center"/>
    </xf>
    <xf borderId="829" fillId="0" fontId="2" numFmtId="0" xfId="0" applyBorder="1" applyFont="1"/>
    <xf borderId="165" fillId="0" fontId="8" numFmtId="0" xfId="0" applyAlignment="1" applyBorder="1" applyFont="1">
      <alignment horizontal="center" vertical="center"/>
    </xf>
    <xf borderId="403" fillId="28" fontId="54" numFmtId="0" xfId="0" applyAlignment="1" applyBorder="1" applyFont="1">
      <alignment readingOrder="0"/>
    </xf>
    <xf borderId="0" fillId="0" fontId="52" numFmtId="0" xfId="0" applyAlignment="1" applyFont="1">
      <alignment vertical="center"/>
    </xf>
    <xf borderId="50" fillId="0" fontId="52" numFmtId="0" xfId="0" applyAlignment="1" applyBorder="1" applyFont="1">
      <alignment horizontal="left" vertical="center"/>
    </xf>
    <xf borderId="50" fillId="0" fontId="54" numFmtId="0" xfId="0" applyAlignment="1" applyBorder="1" applyFont="1">
      <alignment readingOrder="0" vertical="center"/>
    </xf>
    <xf borderId="830" fillId="28" fontId="52" numFmtId="0" xfId="0" applyAlignment="1" applyBorder="1" applyFont="1">
      <alignment vertical="center"/>
    </xf>
    <xf borderId="390" fillId="28" fontId="70" numFmtId="0" xfId="0" applyAlignment="1" applyBorder="1" applyFont="1">
      <alignment horizontal="center" readingOrder="0" vertical="center"/>
    </xf>
    <xf borderId="166" fillId="0" fontId="2" numFmtId="0" xfId="0" applyBorder="1" applyFont="1"/>
    <xf borderId="115" fillId="28" fontId="52" numFmtId="0" xfId="0" applyAlignment="1" applyBorder="1" applyFont="1">
      <alignment vertical="center"/>
    </xf>
    <xf borderId="831" fillId="28" fontId="52" numFmtId="0" xfId="0" applyAlignment="1" applyBorder="1" applyFont="1">
      <alignment vertical="center"/>
    </xf>
    <xf borderId="50" fillId="0" fontId="129" numFmtId="0" xfId="0" applyBorder="1" applyFont="1"/>
    <xf borderId="377" fillId="0" fontId="129" numFmtId="0" xfId="0" applyBorder="1" applyFont="1"/>
    <xf borderId="340" fillId="0" fontId="129" numFmtId="0" xfId="0" applyBorder="1" applyFont="1"/>
    <xf borderId="832" fillId="0" fontId="130" numFmtId="0" xfId="0" applyAlignment="1" applyBorder="1" applyFont="1">
      <alignment horizontal="center" readingOrder="0" vertical="center"/>
    </xf>
    <xf borderId="833" fillId="0" fontId="2" numFmtId="0" xfId="0" applyBorder="1" applyFont="1"/>
    <xf borderId="834" fillId="0" fontId="2" numFmtId="0" xfId="0" applyBorder="1" applyFont="1"/>
    <xf borderId="49" fillId="0" fontId="129" numFmtId="0" xfId="0" applyBorder="1" applyFont="1"/>
    <xf borderId="835" fillId="0" fontId="2" numFmtId="0" xfId="0" applyBorder="1" applyFont="1"/>
    <xf borderId="836" fillId="0" fontId="2" numFmtId="0" xfId="0" applyBorder="1" applyFont="1"/>
    <xf borderId="837" fillId="0" fontId="2" numFmtId="0" xfId="0" applyBorder="1" applyFont="1"/>
    <xf borderId="838" fillId="0" fontId="129" numFmtId="0" xfId="0" applyBorder="1" applyFont="1"/>
    <xf borderId="50" fillId="0" fontId="131" numFmtId="0" xfId="0" applyAlignment="1" applyBorder="1" applyFont="1">
      <alignment horizontal="center" readingOrder="0"/>
    </xf>
    <xf borderId="839" fillId="0" fontId="129" numFmtId="0" xfId="0" applyBorder="1" applyFont="1"/>
    <xf borderId="377" fillId="0" fontId="129" numFmtId="0" xfId="0" applyAlignment="1" applyBorder="1" applyFont="1">
      <alignment horizontal="center" vertical="center"/>
    </xf>
    <xf borderId="131" fillId="0" fontId="2" numFmtId="0" xfId="0" applyBorder="1" applyFont="1"/>
    <xf borderId="35" fillId="0" fontId="2" numFmtId="0" xfId="0" applyBorder="1" applyFont="1"/>
    <xf borderId="840" fillId="0" fontId="129" numFmtId="0" xfId="0" applyBorder="1" applyFont="1"/>
    <xf borderId="841" fillId="0" fontId="129" numFmtId="0" xfId="0" applyBorder="1" applyFont="1"/>
    <xf borderId="842" fillId="0" fontId="129" numFmtId="0" xfId="0" applyBorder="1" applyFont="1"/>
    <xf borderId="843" fillId="0" fontId="129" numFmtId="0" xfId="0" applyBorder="1" applyFont="1"/>
    <xf borderId="844" fillId="0" fontId="129" numFmtId="0" xfId="0" applyBorder="1" applyFont="1"/>
    <xf borderId="845" fillId="0" fontId="129" numFmtId="0" xfId="0" applyBorder="1" applyFont="1"/>
    <xf borderId="846" fillId="0" fontId="129" numFmtId="0" xfId="0" applyBorder="1" applyFont="1"/>
    <xf borderId="35" fillId="0" fontId="129" numFmtId="0" xfId="0" applyBorder="1" applyFont="1"/>
    <xf borderId="847" fillId="7" fontId="132" numFmtId="1" xfId="0" applyAlignment="1" applyBorder="1" applyFont="1" applyNumberFormat="1">
      <alignment horizontal="center" readingOrder="0" vertical="center"/>
    </xf>
    <xf borderId="847" fillId="7" fontId="133" numFmtId="49" xfId="0" applyAlignment="1" applyBorder="1" applyFont="1" applyNumberFormat="1">
      <alignment horizontal="center" readingOrder="0" vertical="center"/>
    </xf>
    <xf borderId="847" fillId="7" fontId="133" numFmtId="1" xfId="0" applyAlignment="1" applyBorder="1" applyFont="1" applyNumberFormat="1">
      <alignment horizontal="center" readingOrder="0" vertical="center"/>
    </xf>
    <xf borderId="832" fillId="7" fontId="133" numFmtId="1" xfId="0" applyAlignment="1" applyBorder="1" applyFont="1" applyNumberFormat="1">
      <alignment horizontal="center" readingOrder="0" vertical="center"/>
    </xf>
    <xf borderId="834" fillId="97" fontId="2" numFmtId="0" xfId="0" applyBorder="1" applyFill="1" applyFont="1"/>
    <xf borderId="848" fillId="28" fontId="2" numFmtId="0" xfId="0" applyBorder="1" applyFont="1"/>
    <xf borderId="849" fillId="28" fontId="2" numFmtId="0" xfId="0" applyBorder="1" applyFont="1"/>
    <xf borderId="404" fillId="28" fontId="2" numFmtId="0" xfId="0" applyBorder="1" applyFont="1"/>
    <xf borderId="850" fillId="7" fontId="132" numFmtId="1" xfId="0" applyAlignment="1" applyBorder="1" applyFont="1" applyNumberFormat="1">
      <alignment horizontal="center" readingOrder="0" vertical="center"/>
    </xf>
    <xf borderId="850" fillId="7" fontId="134" numFmtId="49" xfId="0" applyAlignment="1" applyBorder="1" applyFont="1" applyNumberFormat="1">
      <alignment horizontal="center" readingOrder="0" vertical="center"/>
    </xf>
    <xf borderId="850" fillId="7" fontId="135" numFmtId="1" xfId="0" applyAlignment="1" applyBorder="1" applyFont="1" applyNumberFormat="1">
      <alignment horizontal="center" readingOrder="0" vertical="center"/>
    </xf>
    <xf borderId="850" fillId="7" fontId="134" numFmtId="1" xfId="0" applyAlignment="1" applyBorder="1" applyFont="1" applyNumberFormat="1">
      <alignment horizontal="center" readingOrder="0" vertical="center"/>
    </xf>
    <xf borderId="850" fillId="28" fontId="132" numFmtId="1" xfId="0" applyAlignment="1" applyBorder="1" applyFont="1" applyNumberFormat="1">
      <alignment horizontal="center" readingOrder="0" vertical="center"/>
    </xf>
    <xf borderId="850" fillId="28" fontId="134" numFmtId="49" xfId="0" applyAlignment="1" applyBorder="1" applyFont="1" applyNumberFormat="1">
      <alignment horizontal="center" vertical="center"/>
    </xf>
    <xf borderId="850" fillId="28" fontId="134" numFmtId="1" xfId="0" applyAlignment="1" applyBorder="1" applyFont="1" applyNumberFormat="1">
      <alignment horizontal="center" vertical="center"/>
    </xf>
    <xf borderId="850" fillId="28" fontId="134" numFmtId="1" xfId="0" applyAlignment="1" applyBorder="1" applyFont="1" applyNumberFormat="1">
      <alignment horizontal="center" readingOrder="0" vertical="center"/>
    </xf>
    <xf borderId="850" fillId="7" fontId="132" numFmtId="1" xfId="0" applyAlignment="1" applyBorder="1" applyFont="1" applyNumberFormat="1">
      <alignment horizontal="center" readingOrder="0" vertical="center"/>
    </xf>
    <xf borderId="850" fillId="7" fontId="134" numFmtId="49" xfId="0" applyAlignment="1" applyBorder="1" applyFont="1" applyNumberFormat="1">
      <alignment horizontal="center" vertical="center"/>
    </xf>
    <xf borderId="850" fillId="7" fontId="134" numFmtId="1" xfId="0" applyAlignment="1" applyBorder="1" applyFont="1" applyNumberFormat="1">
      <alignment horizontal="center" vertical="center"/>
    </xf>
    <xf borderId="850" fillId="28" fontId="132" numFmtId="1" xfId="0" applyAlignment="1" applyBorder="1" applyFont="1" applyNumberFormat="1">
      <alignment horizontal="center" readingOrder="0" vertical="center"/>
    </xf>
    <xf borderId="850" fillId="28" fontId="134" numFmtId="49" xfId="0" applyAlignment="1" applyBorder="1" applyFont="1" applyNumberFormat="1">
      <alignment horizontal="center" readingOrder="0" vertical="center"/>
    </xf>
    <xf borderId="850" fillId="28" fontId="136" numFmtId="1" xfId="0" applyAlignment="1" applyBorder="1" applyFont="1" applyNumberFormat="1">
      <alignment horizontal="center" readingOrder="0" vertical="center"/>
    </xf>
    <xf borderId="0" fillId="28" fontId="134" numFmtId="49" xfId="0" applyAlignment="1" applyFont="1" applyNumberFormat="1">
      <alignment horizontal="center" readingOrder="0" vertical="center"/>
    </xf>
    <xf borderId="0" fillId="7" fontId="137" numFmtId="1" xfId="0" applyAlignment="1" applyFont="1" applyNumberFormat="1">
      <alignment horizontal="center" vertical="center"/>
    </xf>
    <xf borderId="850" fillId="7" fontId="134" numFmtId="1" xfId="0" applyAlignment="1" applyBorder="1" applyFont="1" applyNumberFormat="1">
      <alignment horizontal="center" vertical="bottom"/>
    </xf>
    <xf borderId="0" fillId="28" fontId="138" numFmtId="1" xfId="0" applyAlignment="1" applyFont="1" applyNumberFormat="1">
      <alignment horizontal="center" vertical="center"/>
    </xf>
    <xf borderId="850" fillId="28" fontId="134" numFmtId="1" xfId="0" applyAlignment="1" applyBorder="1" applyFont="1" applyNumberFormat="1">
      <alignment horizontal="center" vertical="bottom"/>
    </xf>
    <xf borderId="850" fillId="28" fontId="139" numFmtId="1" xfId="0" applyAlignment="1" applyBorder="1" applyFont="1" applyNumberFormat="1">
      <alignment horizontal="center" vertical="center"/>
    </xf>
    <xf borderId="850" fillId="7" fontId="140" numFmtId="1" xfId="0" applyAlignment="1" applyBorder="1" applyFont="1" applyNumberFormat="1">
      <alignment horizontal="center" vertical="center"/>
    </xf>
    <xf borderId="850" fillId="28" fontId="141" numFmtId="1" xfId="0" applyAlignment="1" applyBorder="1" applyFont="1" applyNumberFormat="1">
      <alignment horizontal="center" readingOrder="0" vertical="center"/>
    </xf>
    <xf borderId="850" fillId="7" fontId="142" numFmtId="1" xfId="0" applyAlignment="1" applyBorder="1" applyFont="1" applyNumberFormat="1">
      <alignment horizontal="center" readingOrder="0" vertical="center"/>
    </xf>
    <xf borderId="850" fillId="28" fontId="143" numFmtId="1" xfId="0" applyAlignment="1" applyBorder="1" applyFont="1" applyNumberFormat="1">
      <alignment horizontal="center" readingOrder="0" vertical="center"/>
    </xf>
    <xf borderId="850" fillId="7" fontId="144" numFmtId="1" xfId="0" applyAlignment="1" applyBorder="1" applyFont="1" applyNumberFormat="1">
      <alignment horizontal="center" readingOrder="0" vertical="center"/>
    </xf>
    <xf borderId="850" fillId="28" fontId="145" numFmtId="1" xfId="0" applyAlignment="1" applyBorder="1" applyFont="1" applyNumberFormat="1">
      <alignment horizontal="center" readingOrder="0" vertical="center"/>
    </xf>
  </cellXfs>
  <cellStyles count="1">
    <cellStyle xfId="0" name="Normal" builtinId="0"/>
  </cellStyles>
  <dxfs count="3">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s>
  <tableStyles count="1">
    <tableStyle count="3" pivot="0" name="Statics &amp; Special Pokemon-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142875" cy="1428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142875" cy="1428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12</xdr:row>
      <xdr:rowOff>0</xdr:rowOff>
    </xdr:from>
    <xdr:ext cx="161925" cy="1428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16</xdr:row>
      <xdr:rowOff>0</xdr:rowOff>
    </xdr:from>
    <xdr:ext cx="142875" cy="1428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20</xdr:row>
      <xdr:rowOff>0</xdr:rowOff>
    </xdr:from>
    <xdr:ext cx="142875" cy="1428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24</xdr:row>
      <xdr:rowOff>0</xdr:rowOff>
    </xdr:from>
    <xdr:ext cx="142875" cy="1428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28</xdr:row>
      <xdr:rowOff>0</xdr:rowOff>
    </xdr:from>
    <xdr:ext cx="142875" cy="1428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32</xdr:row>
      <xdr:rowOff>0</xdr:rowOff>
    </xdr:from>
    <xdr:ext cx="142875" cy="14287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5:D163" displayName="Table_1" name="Table_1" id="1">
  <tableColumns count="2">
    <tableColumn name="Column1" id="1"/>
    <tableColumn name="Column2" id="2"/>
  </tableColumns>
  <tableStyleInfo name="Statics &amp; Special Pokemon-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i.ibb.co/wL4cSTF/noivern.png" TargetMode="External"/><Relationship Id="rId22" Type="http://schemas.openxmlformats.org/officeDocument/2006/relationships/hyperlink" Target="https://i.ibb.co/y82vzrm/lokix.png" TargetMode="External"/><Relationship Id="rId21" Type="http://schemas.openxmlformats.org/officeDocument/2006/relationships/hyperlink" Target="https://i.ibb.co/5F4PCgs/nymble.png" TargetMode="External"/><Relationship Id="rId24" Type="http://schemas.openxmlformats.org/officeDocument/2006/relationships/hyperlink" Target="https://raw.githubusercontent.com/msikma/pokesprite/master/icons/pokemon/regular/pikachu-A-cap.png" TargetMode="External"/><Relationship Id="rId23" Type="http://schemas.openxmlformats.org/officeDocument/2006/relationships/hyperlink" Target="https://raw.githubusercontent.com/msikma/pokesprite/master/icons/pokemon/regular/pikachu-cosplay.png" TargetMode="External"/><Relationship Id="rId1" Type="http://schemas.openxmlformats.org/officeDocument/2006/relationships/hyperlink" Target="https://i.ibb.co/YfJK75p/blitzle.png" TargetMode="External"/><Relationship Id="rId2" Type="http://schemas.openxmlformats.org/officeDocument/2006/relationships/hyperlink" Target="https://i.ibb.co/L9cQ1C9/zebstrika.png" TargetMode="External"/><Relationship Id="rId3" Type="http://schemas.openxmlformats.org/officeDocument/2006/relationships/hyperlink" Target="https://i.ibb.co/7nn1kwY/sizzli.png" TargetMode="External"/><Relationship Id="rId4" Type="http://schemas.openxmlformats.org/officeDocument/2006/relationships/hyperlink" Target="https://i.ibb.co/DRYBrLP/centi.png" TargetMode="External"/><Relationship Id="rId9" Type="http://schemas.openxmlformats.org/officeDocument/2006/relationships/hyperlink" Target="https://i.ibb.co/h1HJKdf/clawitzer.png" TargetMode="External"/><Relationship Id="rId26" Type="http://schemas.openxmlformats.org/officeDocument/2006/relationships/hyperlink" Target="https://i.ibb.co/WHKZ3hL/pikachu-flying.png" TargetMode="External"/><Relationship Id="rId25" Type="http://schemas.openxmlformats.org/officeDocument/2006/relationships/hyperlink" Target="https://raw.githubusercontent.com/msikma/pokesprite/master/icons/pokemon/regular/pikachu-A-cap.png" TargetMode="External"/><Relationship Id="rId28" Type="http://schemas.openxmlformats.org/officeDocument/2006/relationships/hyperlink" Target="https://img.pokemondb.net/sprites/scarlet-violet/normal/ursaluna-bloodmoon.png" TargetMode="External"/><Relationship Id="rId27" Type="http://schemas.openxmlformats.org/officeDocument/2006/relationships/hyperlink" Target="https://i.ibb.co/HNrK2Xh/pikachu-surfing.png" TargetMode="External"/><Relationship Id="rId5" Type="http://schemas.openxmlformats.org/officeDocument/2006/relationships/hyperlink" Target="https://i.ibb.co/p6q42b6/dhelmise.png" TargetMode="External"/><Relationship Id="rId6" Type="http://schemas.openxmlformats.org/officeDocument/2006/relationships/hyperlink" Target="https://i.ibb.co/Qb9rXzq/wishismall.png" TargetMode="External"/><Relationship Id="rId29" Type="http://schemas.openxmlformats.org/officeDocument/2006/relationships/drawing" Target="../drawings/drawing14.xml"/><Relationship Id="rId7" Type="http://schemas.openxmlformats.org/officeDocument/2006/relationships/hyperlink" Target="https://i.ibb.co/8MLW6ZL/wishibig.png" TargetMode="External"/><Relationship Id="rId8" Type="http://schemas.openxmlformats.org/officeDocument/2006/relationships/hyperlink" Target="https://i.ibb.co/7zF1Xb9/clauncher.png" TargetMode="External"/><Relationship Id="rId11" Type="http://schemas.openxmlformats.org/officeDocument/2006/relationships/hyperlink" Target="https://i.ibb.co/bdr5Wkf/milotic.png" TargetMode="External"/><Relationship Id="rId10" Type="http://schemas.openxmlformats.org/officeDocument/2006/relationships/hyperlink" Target="https://i.ibb.co/JvcPpPk/feebas.png" TargetMode="External"/><Relationship Id="rId13" Type="http://schemas.openxmlformats.org/officeDocument/2006/relationships/hyperlink" Target="https://i.ibb.co/dMd6QqS/Doduo.png" TargetMode="External"/><Relationship Id="rId12" Type="http://schemas.openxmlformats.org/officeDocument/2006/relationships/hyperlink" Target="https://i.ibb.co/44gwSdt/carnivine.png" TargetMode="External"/><Relationship Id="rId15" Type="http://schemas.openxmlformats.org/officeDocument/2006/relationships/hyperlink" Target="https://i.ibb.co/x532jKD/mantyke.png" TargetMode="External"/><Relationship Id="rId14" Type="http://schemas.openxmlformats.org/officeDocument/2006/relationships/hyperlink" Target="https://i.ibb.co/tB3McC4/Dodrio.png" TargetMode="External"/><Relationship Id="rId17" Type="http://schemas.openxmlformats.org/officeDocument/2006/relationships/hyperlink" Target="https://i.ibb.co/3yGyb11/teddi.png" TargetMode="External"/><Relationship Id="rId16" Type="http://schemas.openxmlformats.org/officeDocument/2006/relationships/hyperlink" Target="https://i.ibb.co/TvMpZXK/mantine.png" TargetMode="External"/><Relationship Id="rId19" Type="http://schemas.openxmlformats.org/officeDocument/2006/relationships/hyperlink" Target="https://i.ibb.co/t8b3wR3/noibat.png" TargetMode="External"/><Relationship Id="rId18" Type="http://schemas.openxmlformats.org/officeDocument/2006/relationships/hyperlink" Target="https://i.ibb.co/mT2SprD/ursaring.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027A"/>
    <outlinePr summaryBelow="0" summaryRight="0"/>
  </sheetPr>
  <sheetViews>
    <sheetView workbookViewId="0"/>
  </sheetViews>
  <sheetFormatPr customHeight="1" defaultColWidth="12.63" defaultRowHeight="15.75"/>
  <cols>
    <col customWidth="1" min="1" max="1" width="0.75"/>
    <col customWidth="1" min="2" max="7" width="15.13"/>
    <col customWidth="1" min="8" max="8" width="0.75"/>
  </cols>
  <sheetData>
    <row r="1" ht="3.75" customHeight="1">
      <c r="A1" s="1"/>
    </row>
    <row r="2" ht="90.0" customHeight="1">
      <c r="A2" s="2"/>
      <c r="B2" s="3" t="s">
        <v>0</v>
      </c>
      <c r="C2" s="4"/>
      <c r="D2" s="5" t="s">
        <v>1</v>
      </c>
      <c r="E2" s="6" t="s">
        <v>2</v>
      </c>
      <c r="F2" s="6" t="s">
        <v>3</v>
      </c>
      <c r="G2" s="7" t="s">
        <v>4</v>
      </c>
      <c r="H2" s="8"/>
    </row>
    <row r="3" ht="90.0" customHeight="1">
      <c r="B3" s="9"/>
      <c r="D3" s="10" t="s">
        <v>5</v>
      </c>
      <c r="E3" s="11" t="s">
        <v>6</v>
      </c>
      <c r="F3" s="10" t="s">
        <v>7</v>
      </c>
      <c r="G3" s="12" t="s">
        <v>8</v>
      </c>
    </row>
    <row r="4" ht="90.0" customHeight="1">
      <c r="A4" s="13"/>
      <c r="B4" s="14"/>
      <c r="C4" s="15"/>
      <c r="D4" s="16" t="s">
        <v>9</v>
      </c>
      <c r="E4" s="17" t="s">
        <v>10</v>
      </c>
      <c r="F4" s="16" t="s">
        <v>11</v>
      </c>
      <c r="G4" s="18"/>
      <c r="H4" s="13"/>
    </row>
    <row r="5" ht="3.75" customHeight="1">
      <c r="A5" s="1"/>
    </row>
  </sheetData>
  <mergeCells count="5">
    <mergeCell ref="A1:H1"/>
    <mergeCell ref="A2:A4"/>
    <mergeCell ref="B2:C4"/>
    <mergeCell ref="H2:H4"/>
    <mergeCell ref="A5:H5"/>
  </mergeCells>
  <hyperlinks>
    <hyperlink display="Grass &amp; Caves" location="'Grass &amp; Caves'!A1" ref="D2"/>
    <hyperlink display="Fishing &amp; Surfing" location="'Fishing &amp; Surfing'!A1" ref="E2"/>
    <hyperlink display="Safari Zone" location="'Safari Zone'!A1" ref="F2"/>
    <hyperlink display="Fossils" location="Fossils!A1" ref="G2"/>
    <hyperlink display="Statics &amp; Special Pokémon" location="'Statics &amp; Special Pokemon'!A1" ref="D3"/>
    <hyperlink display="Raid Dens" location="'Raid Dens'!A1" ref="E3"/>
    <hyperlink display="Egg Vendor &amp; Game Corner" location="'Egg Vendor &amp; Game Corner'!A1" ref="F3"/>
    <hyperlink display="Trades" location="Trades!A1" ref="G3"/>
    <hyperlink display="Gifts" location="Gifts!A1" ref="D4"/>
    <hyperlink display="Mystery Gifts" location="'Mystery Gifts'!A1" ref="E4"/>
    <hyperlink display="Unobtainables" location="Unobtainables!A1" ref="F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2" width="1.38"/>
    <col customWidth="1" min="3" max="3" width="6.38"/>
    <col customWidth="1" min="4" max="4" width="5.13"/>
    <col customWidth="1" min="5" max="5" width="15.13"/>
    <col customWidth="1" min="6" max="6" width="6.38"/>
    <col customWidth="1" min="7" max="7" width="1.38"/>
    <col customWidth="1" min="8" max="8" width="6.38"/>
    <col customWidth="1" min="9" max="9" width="5.13"/>
    <col customWidth="1" min="10" max="10" width="15.13"/>
    <col customWidth="1" min="11" max="11" width="6.38"/>
    <col customWidth="1" min="12" max="12" width="1.38"/>
    <col customWidth="1" min="13" max="13" width="6.38"/>
    <col customWidth="1" min="14" max="14" width="5.13"/>
    <col customWidth="1" min="15" max="15" width="15.13"/>
    <col customWidth="1" min="16" max="16" width="6.38"/>
    <col customWidth="1" min="17" max="17" width="1.38"/>
    <col customWidth="1" min="18" max="18" width="6.38"/>
    <col customWidth="1" min="19" max="19" width="5.13"/>
    <col customWidth="1" min="20" max="20" width="15.13"/>
    <col customWidth="1" min="21" max="21" width="6.38"/>
    <col customWidth="1" min="22" max="22" width="1.38"/>
    <col customWidth="1" min="23" max="23" width="6.38"/>
    <col customWidth="1" min="24" max="24" width="5.13"/>
    <col customWidth="1" min="25" max="25" width="15.13"/>
    <col customWidth="1" min="26" max="26" width="6.38"/>
    <col customWidth="1" min="27" max="27" width="1.38"/>
    <col customWidth="1" min="28" max="28" width="6.38"/>
    <col customWidth="1" min="29" max="29" width="5.13"/>
    <col customWidth="1" min="30" max="30" width="15.13"/>
    <col customWidth="1" min="31" max="31" width="6.38"/>
    <col customWidth="1" min="32" max="32" width="1.38"/>
    <col customWidth="1" min="33" max="33" width="6.38"/>
    <col customWidth="1" min="34" max="34" width="5.13"/>
    <col customWidth="1" min="35" max="35" width="15.13"/>
    <col customWidth="1" min="36" max="36" width="6.38"/>
    <col customWidth="1" min="37" max="37" width="1.38"/>
    <col customWidth="1" min="38" max="38" width="6.38"/>
    <col customWidth="1" min="39" max="39" width="5.13"/>
    <col customWidth="1" min="40" max="40" width="15.13"/>
    <col customWidth="1" min="41" max="41" width="6.38"/>
    <col customWidth="1" min="42" max="42" width="1.38"/>
    <col customWidth="1" min="43" max="43" width="6.38"/>
    <col customWidth="1" min="44" max="44" width="5.13"/>
    <col customWidth="1" min="45" max="45" width="15.13"/>
    <col customWidth="1" min="46" max="46" width="6.38"/>
    <col customWidth="1" min="47" max="47" width="1.38"/>
    <col customWidth="1" min="48" max="48" width="6.38"/>
    <col customWidth="1" min="49" max="49" width="5.13"/>
    <col customWidth="1" min="50" max="50" width="15.13"/>
    <col customWidth="1" min="51" max="51" width="6.38"/>
    <col customWidth="1" min="52" max="52" width="1.38"/>
    <col customWidth="1" min="53" max="53" width="6.38"/>
    <col customWidth="1" min="54" max="54" width="5.13"/>
    <col customWidth="1" min="55" max="55" width="15.13"/>
    <col customWidth="1" min="56" max="56" width="6.38"/>
    <col customWidth="1" min="57" max="57" width="1.38"/>
    <col customWidth="1" min="58" max="58" width="6.38"/>
    <col customWidth="1" min="59" max="59" width="5.13"/>
    <col customWidth="1" min="60" max="60" width="15.13"/>
    <col customWidth="1" min="61" max="61" width="6.38"/>
    <col customWidth="1" min="62" max="62" width="1.38"/>
    <col customWidth="1" min="63" max="63" width="6.38"/>
    <col customWidth="1" min="64" max="64" width="5.13"/>
    <col customWidth="1" min="65" max="65" width="15.13"/>
    <col customWidth="1" min="66" max="66" width="6.38"/>
    <col customWidth="1" min="67" max="67" width="1.38"/>
    <col customWidth="1" min="68" max="68" width="6.38"/>
    <col customWidth="1" min="69" max="69" width="5.13"/>
    <col customWidth="1" min="70" max="70" width="15.13"/>
    <col customWidth="1" min="71" max="71" width="6.38"/>
    <col customWidth="1" min="72" max="72" width="1.38"/>
    <col customWidth="1" min="73" max="73" width="6.38"/>
    <col customWidth="1" min="74" max="74" width="5.13"/>
    <col customWidth="1" min="75" max="75" width="15.13"/>
    <col customWidth="1" min="76" max="76" width="6.38"/>
    <col customWidth="1" min="77" max="77" width="1.38"/>
    <col customWidth="1" min="78" max="78" width="6.38"/>
    <col customWidth="1" min="79" max="79" width="5.13"/>
    <col customWidth="1" min="80" max="80" width="15.13"/>
    <col customWidth="1" min="81" max="81" width="6.38"/>
    <col customWidth="1" min="82" max="82" width="1.38"/>
    <col customWidth="1" min="83" max="83" width="6.38"/>
    <col customWidth="1" min="84" max="84" width="5.13"/>
    <col customWidth="1" min="85" max="85" width="15.13"/>
    <col customWidth="1" min="86" max="86" width="6.38"/>
    <col customWidth="1" min="87" max="87" width="1.38"/>
    <col customWidth="1" min="88" max="88" width="6.38"/>
    <col customWidth="1" min="89" max="89" width="5.13"/>
    <col customWidth="1" min="90" max="90" width="15.13"/>
    <col customWidth="1" min="91" max="91" width="6.38"/>
    <col customWidth="1" min="92" max="92" width="1.38"/>
    <col customWidth="1" min="93" max="93" width="6.38"/>
    <col customWidth="1" min="94" max="94" width="5.13"/>
    <col customWidth="1" min="95" max="95" width="15.13"/>
    <col customWidth="1" min="96" max="96" width="6.38"/>
    <col customWidth="1" min="97" max="97" width="1.38"/>
    <col customWidth="1" min="98" max="98" width="6.38"/>
    <col customWidth="1" min="99" max="99" width="5.13"/>
    <col customWidth="1" min="100" max="100" width="15.13"/>
    <col customWidth="1" min="101" max="101" width="6.38"/>
    <col customWidth="1" min="102" max="102" width="1.38"/>
    <col customWidth="1" min="103" max="103" width="6.38"/>
    <col customWidth="1" min="104" max="104" width="5.13"/>
    <col customWidth="1" min="105" max="105" width="15.13"/>
    <col customWidth="1" min="106" max="106" width="6.38"/>
    <col customWidth="1" min="107" max="107" width="1.38"/>
    <col customWidth="1" min="108" max="108" width="6.38"/>
    <col customWidth="1" min="109" max="109" width="5.13"/>
    <col customWidth="1" min="110" max="110" width="15.13"/>
    <col customWidth="1" min="111" max="111" width="6.38"/>
    <col customWidth="1" min="112" max="112" width="1.38"/>
    <col customWidth="1" min="113" max="113" width="6.38"/>
    <col customWidth="1" min="114" max="114" width="5.13"/>
    <col customWidth="1" min="115" max="115" width="15.13"/>
    <col customWidth="1" min="116" max="116" width="6.38"/>
    <col customWidth="1" min="117" max="117" width="1.38"/>
    <col customWidth="1" min="118" max="118" width="6.38"/>
    <col customWidth="1" min="119" max="119" width="5.13"/>
    <col customWidth="1" min="120" max="120" width="15.13"/>
    <col customWidth="1" min="121" max="121" width="6.38"/>
    <col customWidth="1" min="122" max="122" width="1.38"/>
    <col customWidth="1" min="123" max="123" width="6.38"/>
    <col customWidth="1" min="124" max="124" width="5.13"/>
    <col customWidth="1" min="125" max="125" width="15.13"/>
    <col customWidth="1" min="126" max="126" width="6.38"/>
    <col customWidth="1" min="127" max="127" width="1.38"/>
    <col customWidth="1" min="128" max="128" width="6.38"/>
    <col customWidth="1" min="129" max="129" width="5.13"/>
    <col customWidth="1" min="130" max="130" width="15.13"/>
    <col customWidth="1" min="131" max="131" width="6.38"/>
    <col customWidth="1" min="132" max="132" width="1.38"/>
    <col customWidth="1" min="133" max="133" width="6.38"/>
    <col customWidth="1" min="134" max="134" width="5.13"/>
    <col customWidth="1" min="135" max="135" width="15.13"/>
    <col customWidth="1" min="136" max="136" width="6.38"/>
    <col customWidth="1" min="137" max="137" width="1.38"/>
    <col customWidth="1" min="138" max="138" width="6.38"/>
    <col customWidth="1" min="139" max="139" width="5.13"/>
    <col customWidth="1" min="140" max="140" width="15.13"/>
    <col customWidth="1" min="141" max="141" width="6.38"/>
    <col customWidth="1" min="142" max="142" width="1.38"/>
    <col customWidth="1" min="143" max="143" width="6.38"/>
    <col customWidth="1" min="144" max="144" width="5.13"/>
    <col customWidth="1" min="145" max="145" width="15.13"/>
    <col customWidth="1" min="146" max="146" width="6.38"/>
    <col customWidth="1" min="147" max="147" width="1.38"/>
    <col customWidth="1" min="148" max="148" width="6.38"/>
    <col customWidth="1" min="149" max="149" width="5.13"/>
    <col customWidth="1" min="150" max="150" width="15.13"/>
    <col customWidth="1" min="151" max="151" width="6.38"/>
    <col customWidth="1" min="152" max="152" width="1.38"/>
    <col customWidth="1" min="153" max="153" width="6.38"/>
    <col customWidth="1" min="154" max="154" width="5.13"/>
    <col customWidth="1" min="155" max="155" width="15.13"/>
    <col customWidth="1" min="156" max="156" width="6.38"/>
    <col customWidth="1" min="157" max="157" width="1.38"/>
    <col customWidth="1" min="158" max="158" width="6.38"/>
    <col customWidth="1" min="159" max="159" width="5.13"/>
    <col customWidth="1" min="160" max="160" width="15.13"/>
    <col customWidth="1" min="161" max="161" width="6.38"/>
    <col customWidth="1" min="162" max="162" width="1.38"/>
    <col customWidth="1" min="163" max="163" width="6.38"/>
    <col customWidth="1" min="164" max="164" width="5.13"/>
    <col customWidth="1" min="165" max="165" width="15.13"/>
    <col customWidth="1" min="166" max="166" width="6.38"/>
    <col customWidth="1" min="167" max="167" width="1.38"/>
    <col customWidth="1" min="168" max="168" width="6.38"/>
    <col customWidth="1" min="169" max="169" width="5.13"/>
    <col customWidth="1" min="170" max="170" width="15.13"/>
    <col customWidth="1" min="171" max="171" width="6.38"/>
    <col customWidth="1" min="172" max="172" width="1.38"/>
    <col customWidth="1" min="173" max="173" width="6.38"/>
    <col customWidth="1" min="174" max="174" width="5.13"/>
    <col customWidth="1" min="175" max="175" width="15.13"/>
    <col customWidth="1" min="176" max="176" width="6.38"/>
    <col customWidth="1" min="177" max="177" width="1.38"/>
    <col customWidth="1" min="178" max="178" width="6.38"/>
    <col customWidth="1" min="179" max="179" width="5.13"/>
    <col customWidth="1" min="180" max="180" width="15.13"/>
    <col customWidth="1" min="181" max="181" width="6.38"/>
    <col customWidth="1" min="182" max="182" width="1.38"/>
    <col customWidth="1" min="183" max="183" width="6.38"/>
    <col customWidth="1" min="184" max="184" width="5.13"/>
    <col customWidth="1" min="185" max="185" width="15.13"/>
    <col customWidth="1" min="186" max="186" width="6.38"/>
    <col customWidth="1" min="187" max="187" width="1.38"/>
    <col customWidth="1" min="188" max="188" width="6.38"/>
    <col customWidth="1" min="189" max="189" width="5.13"/>
    <col customWidth="1" min="190" max="190" width="15.13"/>
    <col customWidth="1" min="191" max="191" width="6.38"/>
    <col customWidth="1" min="192" max="192" width="1.38"/>
    <col customWidth="1" min="193" max="193" width="6.38"/>
    <col customWidth="1" min="194" max="194" width="5.13"/>
    <col customWidth="1" min="195" max="195" width="15.13"/>
    <col customWidth="1" min="196" max="196" width="6.38"/>
    <col customWidth="1" min="197" max="197" width="1.38"/>
    <col customWidth="1" min="198" max="198" width="6.38"/>
    <col customWidth="1" min="199" max="199" width="5.13"/>
    <col customWidth="1" min="200" max="200" width="15.13"/>
    <col customWidth="1" min="201" max="201" width="6.38"/>
    <col customWidth="1" min="202" max="202" width="1.38"/>
    <col customWidth="1" min="203" max="203" width="6.38"/>
    <col customWidth="1" min="204" max="204" width="5.13"/>
    <col customWidth="1" min="205" max="205" width="15.13"/>
    <col customWidth="1" min="206" max="206" width="6.38"/>
    <col customWidth="1" min="207" max="207" width="1.38"/>
    <col customWidth="1" min="208" max="208" width="6.38"/>
    <col customWidth="1" min="209" max="209" width="5.13"/>
    <col customWidth="1" min="210" max="210" width="15.13"/>
    <col customWidth="1" min="211" max="211" width="6.38"/>
    <col customWidth="1" min="212" max="212" width="1.38"/>
    <col customWidth="1" min="213" max="213" width="6.38"/>
    <col customWidth="1" min="214" max="214" width="5.13"/>
    <col customWidth="1" min="215" max="215" width="15.13"/>
    <col customWidth="1" min="216" max="216" width="6.38"/>
    <col customWidth="1" min="217" max="217" width="1.38"/>
    <col customWidth="1" min="218" max="218" width="6.38"/>
    <col customWidth="1" min="219" max="219" width="5.13"/>
    <col customWidth="1" min="220" max="220" width="15.13"/>
    <col customWidth="1" min="221" max="221" width="6.38"/>
    <col customWidth="1" min="222" max="222" width="1.38"/>
    <col customWidth="1" min="223" max="223" width="6.38"/>
    <col customWidth="1" min="224" max="224" width="5.13"/>
    <col customWidth="1" min="225" max="225" width="15.13"/>
    <col customWidth="1" min="226" max="226" width="6.38"/>
    <col customWidth="1" min="227" max="227" width="1.38"/>
    <col customWidth="1" min="228" max="228" width="6.38"/>
    <col customWidth="1" min="229" max="229" width="5.13"/>
    <col customWidth="1" min="230" max="230" width="15.13"/>
    <col customWidth="1" min="231" max="231" width="6.38"/>
    <col customWidth="1" min="232" max="232" width="1.38"/>
    <col customWidth="1" min="233" max="233" width="6.38"/>
    <col customWidth="1" min="234" max="234" width="5.13"/>
    <col customWidth="1" min="235" max="235" width="15.13"/>
    <col customWidth="1" min="236" max="236" width="6.38"/>
    <col customWidth="1" min="237" max="237" width="1.38"/>
    <col customWidth="1" min="238" max="238" width="6.38"/>
    <col customWidth="1" min="239" max="239" width="5.13"/>
    <col customWidth="1" min="240" max="240" width="15.13"/>
    <col customWidth="1" min="241" max="241" width="6.38"/>
    <col customWidth="1" min="242" max="242" width="1.38"/>
    <col customWidth="1" min="243" max="243" width="6.38"/>
    <col customWidth="1" min="244" max="244" width="5.13"/>
    <col customWidth="1" min="245" max="245" width="15.13"/>
    <col customWidth="1" min="246" max="246" width="6.38"/>
    <col customWidth="1" min="247" max="247" width="1.38"/>
    <col customWidth="1" min="248" max="248" width="6.38"/>
    <col customWidth="1" min="249" max="249" width="5.13"/>
    <col customWidth="1" min="250" max="250" width="15.13"/>
    <col customWidth="1" min="251" max="251" width="6.38"/>
    <col customWidth="1" min="252" max="252" width="1.38"/>
    <col customWidth="1" min="253" max="253" width="6.38"/>
    <col customWidth="1" min="254" max="254" width="5.13"/>
    <col customWidth="1" min="255" max="255" width="15.13"/>
    <col customWidth="1" min="256" max="256" width="6.38"/>
    <col customWidth="1" min="257" max="257" width="1.38"/>
    <col customWidth="1" min="258" max="258" width="6.38"/>
    <col customWidth="1" min="259" max="259" width="5.13"/>
    <col customWidth="1" min="260" max="260" width="15.13"/>
    <col customWidth="1" min="261" max="261" width="6.38"/>
    <col customWidth="1" min="262" max="262" width="1.38"/>
    <col customWidth="1" min="263" max="263" width="6.38"/>
    <col customWidth="1" min="264" max="264" width="5.13"/>
    <col customWidth="1" min="265" max="265" width="15.13"/>
    <col customWidth="1" min="266" max="266" width="6.38"/>
    <col customWidth="1" min="267" max="267" width="1.38"/>
    <col customWidth="1" min="268" max="268" width="6.38"/>
    <col customWidth="1" min="269" max="269" width="5.13"/>
    <col customWidth="1" min="270" max="270" width="15.13"/>
    <col customWidth="1" min="271" max="271" width="6.38"/>
    <col customWidth="1" min="272" max="272" width="1.38"/>
    <col customWidth="1" min="273" max="273" width="6.38"/>
    <col customWidth="1" min="274" max="274" width="5.13"/>
    <col customWidth="1" min="275" max="275" width="15.13"/>
    <col customWidth="1" min="276" max="276" width="6.38"/>
    <col customWidth="1" min="277" max="277" width="1.38"/>
    <col customWidth="1" min="278" max="278" width="6.38"/>
    <col customWidth="1" min="279" max="279" width="5.13"/>
    <col customWidth="1" min="280" max="280" width="15.13"/>
    <col customWidth="1" min="281" max="281" width="6.38"/>
    <col customWidth="1" min="282" max="282" width="1.38"/>
    <col customWidth="1" min="283" max="283" width="7.63"/>
    <col customWidth="1" min="284" max="284" width="1.38"/>
    <col customWidth="1" min="285" max="285" width="6.38"/>
    <col customWidth="1" min="286" max="286" width="5.13"/>
    <col customWidth="1" min="287" max="287" width="15.13"/>
    <col customWidth="1" min="288" max="288" width="6.38"/>
    <col customWidth="1" min="289" max="289" width="1.38"/>
    <col customWidth="1" min="290" max="290" width="6.38"/>
    <col customWidth="1" min="291" max="291" width="5.13"/>
    <col customWidth="1" min="292" max="292" width="15.13"/>
    <col customWidth="1" min="293" max="293" width="6.38"/>
    <col customWidth="1" min="294" max="294" width="1.38"/>
    <col customWidth="1" min="295" max="295" width="6.38"/>
    <col customWidth="1" min="296" max="296" width="5.13"/>
    <col customWidth="1" min="297" max="297" width="15.13"/>
    <col customWidth="1" min="298" max="298" width="6.38"/>
    <col customWidth="1" min="299" max="299" width="1.38"/>
    <col customWidth="1" min="300" max="300" width="6.38"/>
    <col customWidth="1" min="301" max="301" width="5.13"/>
    <col customWidth="1" min="302" max="302" width="15.13"/>
    <col customWidth="1" min="303" max="303" width="6.38"/>
    <col customWidth="1" min="304" max="304" width="1.38"/>
    <col customWidth="1" min="305" max="305" width="6.38"/>
    <col customWidth="1" min="306" max="306" width="5.13"/>
    <col customWidth="1" min="307" max="307" width="15.13"/>
    <col customWidth="1" min="308" max="308" width="6.38"/>
    <col customWidth="1" min="309" max="309" width="1.38"/>
    <col customWidth="1" min="310" max="310" width="6.38"/>
    <col customWidth="1" min="311" max="311" width="5.13"/>
    <col customWidth="1" min="312" max="312" width="15.13"/>
    <col customWidth="1" min="313" max="313" width="6.38"/>
    <col customWidth="1" min="314" max="314" width="1.38"/>
    <col customWidth="1" min="315" max="315" width="6.38"/>
    <col customWidth="1" min="316" max="316" width="5.13"/>
    <col customWidth="1" min="317" max="317" width="15.13"/>
    <col customWidth="1" min="318" max="318" width="6.38"/>
    <col customWidth="1" min="319" max="319" width="1.38"/>
    <col customWidth="1" min="320" max="320" width="6.38"/>
    <col customWidth="1" min="321" max="321" width="5.13"/>
    <col customWidth="1" min="322" max="322" width="15.13"/>
    <col customWidth="1" min="323" max="323" width="6.38"/>
    <col customWidth="1" min="324" max="324" width="1.38"/>
    <col customWidth="1" min="325" max="325" width="6.38"/>
    <col customWidth="1" min="326" max="326" width="5.13"/>
    <col customWidth="1" min="327" max="327" width="15.13"/>
    <col customWidth="1" min="328" max="328" width="6.38"/>
    <col customWidth="1" min="329" max="329" width="1.38"/>
    <col customWidth="1" min="330" max="330" width="6.38"/>
    <col customWidth="1" min="331" max="331" width="5.13"/>
    <col customWidth="1" min="332" max="332" width="15.13"/>
    <col customWidth="1" min="333" max="333" width="6.38"/>
    <col customWidth="1" min="334" max="334" width="1.38"/>
    <col customWidth="1" min="335" max="335" width="6.38"/>
    <col customWidth="1" min="336" max="336" width="5.13"/>
    <col customWidth="1" min="337" max="337" width="15.13"/>
    <col customWidth="1" min="338" max="338" width="6.38"/>
    <col customWidth="1" min="339" max="340" width="1.38"/>
  </cols>
  <sheetData>
    <row r="1" ht="7.5" customHeight="1">
      <c r="A1" s="19"/>
      <c r="B1" s="20"/>
      <c r="C1" s="20"/>
      <c r="D1" s="20"/>
      <c r="E1" s="20"/>
      <c r="F1" s="20"/>
      <c r="G1" s="20"/>
      <c r="H1" s="20"/>
      <c r="I1" s="20"/>
      <c r="J1" s="20"/>
      <c r="K1" s="20"/>
      <c r="L1" s="20"/>
      <c r="M1" s="20"/>
      <c r="N1" s="20"/>
      <c r="O1" s="20"/>
      <c r="P1" s="20"/>
      <c r="Q1" s="20"/>
      <c r="R1" s="21"/>
      <c r="S1" s="22"/>
      <c r="T1" s="22"/>
      <c r="U1" s="21"/>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1"/>
      <c r="CP1" s="22"/>
      <c r="CQ1" s="22"/>
      <c r="CR1" s="21"/>
      <c r="CS1" s="20"/>
      <c r="CT1" s="21"/>
      <c r="CU1" s="22"/>
      <c r="CV1" s="22"/>
      <c r="CW1" s="21"/>
      <c r="CX1" s="20"/>
      <c r="CY1" s="21"/>
      <c r="CZ1" s="22"/>
      <c r="DA1" s="22"/>
      <c r="DB1" s="21"/>
      <c r="DC1" s="20"/>
      <c r="DD1" s="21"/>
      <c r="DE1" s="22"/>
      <c r="DF1" s="22"/>
      <c r="DG1" s="21"/>
      <c r="DH1" s="20"/>
      <c r="DI1" s="21"/>
      <c r="DJ1" s="22"/>
      <c r="DK1" s="22"/>
      <c r="DL1" s="21"/>
      <c r="DM1" s="20"/>
      <c r="DN1" s="21"/>
      <c r="DO1" s="22"/>
      <c r="DP1" s="22"/>
      <c r="DQ1" s="21"/>
      <c r="DR1" s="20"/>
      <c r="DS1" s="21"/>
      <c r="DT1" s="22"/>
      <c r="DU1" s="22"/>
      <c r="DV1" s="21"/>
      <c r="DW1" s="20"/>
      <c r="DX1" s="21"/>
      <c r="DY1" s="22"/>
      <c r="DZ1" s="22"/>
      <c r="EA1" s="21"/>
      <c r="EB1" s="20"/>
      <c r="EC1" s="21"/>
      <c r="ED1" s="22"/>
      <c r="EE1" s="22"/>
      <c r="EF1" s="21"/>
      <c r="EG1" s="20"/>
      <c r="EH1" s="21"/>
      <c r="EI1" s="22"/>
      <c r="EJ1" s="22"/>
      <c r="EK1" s="21"/>
      <c r="EL1" s="20"/>
      <c r="EM1" s="21"/>
      <c r="EN1" s="22"/>
      <c r="EO1" s="22"/>
      <c r="EP1" s="21"/>
      <c r="EQ1" s="20"/>
      <c r="ER1" s="21"/>
      <c r="ES1" s="22"/>
      <c r="ET1" s="22"/>
      <c r="EU1" s="21"/>
      <c r="EV1" s="20"/>
      <c r="EW1" s="21"/>
      <c r="EX1" s="22"/>
      <c r="EY1" s="22"/>
      <c r="EZ1" s="21"/>
      <c r="FA1" s="20"/>
      <c r="FB1" s="21"/>
      <c r="FC1" s="22"/>
      <c r="FD1" s="22"/>
      <c r="FE1" s="21"/>
      <c r="FF1" s="20"/>
      <c r="FG1" s="21"/>
      <c r="FH1" s="22"/>
      <c r="FI1" s="22"/>
      <c r="FJ1" s="21"/>
      <c r="FK1" s="20"/>
      <c r="FL1" s="21"/>
      <c r="FM1" s="22"/>
      <c r="FN1" s="22"/>
      <c r="FO1" s="21"/>
      <c r="FP1" s="20"/>
      <c r="FQ1" s="21"/>
      <c r="FR1" s="22"/>
      <c r="FS1" s="22"/>
      <c r="FT1" s="21"/>
      <c r="FU1" s="20"/>
      <c r="FV1" s="21"/>
      <c r="FW1" s="22"/>
      <c r="FX1" s="22"/>
      <c r="FY1" s="21"/>
      <c r="FZ1" s="20"/>
      <c r="GA1" s="21"/>
      <c r="GB1" s="22"/>
      <c r="GC1" s="22"/>
      <c r="GD1" s="21"/>
      <c r="GE1" s="20"/>
      <c r="GF1" s="21"/>
      <c r="GG1" s="22"/>
      <c r="GH1" s="22"/>
      <c r="GI1" s="21"/>
      <c r="GJ1" s="20"/>
      <c r="GK1" s="21"/>
      <c r="GL1" s="22"/>
      <c r="GM1" s="22"/>
      <c r="GN1" s="22"/>
      <c r="GO1" s="20"/>
      <c r="GP1" s="21"/>
      <c r="GQ1" s="22"/>
      <c r="GR1" s="22"/>
      <c r="GS1" s="22"/>
      <c r="GT1" s="20"/>
      <c r="GU1" s="21"/>
      <c r="GV1" s="22"/>
      <c r="GW1" s="22"/>
      <c r="GX1" s="22"/>
      <c r="GY1" s="20"/>
      <c r="GZ1" s="21"/>
      <c r="HA1" s="22"/>
      <c r="HB1" s="22"/>
      <c r="HC1" s="22"/>
      <c r="HD1" s="20"/>
      <c r="HE1" s="21"/>
      <c r="HF1" s="22"/>
      <c r="HG1" s="22"/>
      <c r="HH1" s="22"/>
      <c r="HI1" s="20"/>
      <c r="HJ1" s="21"/>
      <c r="HK1" s="22"/>
      <c r="HL1" s="22"/>
      <c r="HM1" s="21"/>
      <c r="HN1" s="20"/>
      <c r="HO1" s="21"/>
      <c r="HP1" s="22"/>
      <c r="HQ1" s="22"/>
      <c r="HR1" s="21"/>
      <c r="HS1" s="20"/>
      <c r="HT1" s="21"/>
      <c r="HU1" s="22"/>
      <c r="HV1" s="22"/>
      <c r="HW1" s="21"/>
      <c r="HX1" s="20"/>
      <c r="HY1" s="21"/>
      <c r="HZ1" s="22"/>
      <c r="IA1" s="22"/>
      <c r="IB1" s="21"/>
      <c r="IC1" s="20"/>
      <c r="ID1" s="21"/>
      <c r="IE1" s="22"/>
      <c r="IF1" s="22"/>
      <c r="IG1" s="21"/>
      <c r="IH1" s="20"/>
      <c r="II1" s="21"/>
      <c r="IJ1" s="22"/>
      <c r="IK1" s="22"/>
      <c r="IL1" s="21"/>
      <c r="IM1" s="20"/>
      <c r="IN1" s="21"/>
      <c r="IO1" s="22"/>
      <c r="IP1" s="22"/>
      <c r="IQ1" s="21"/>
      <c r="IR1" s="20"/>
      <c r="IS1" s="21"/>
      <c r="IT1" s="22"/>
      <c r="IU1" s="22"/>
      <c r="IV1" s="21"/>
      <c r="IW1" s="20"/>
      <c r="IX1" s="21"/>
      <c r="IY1" s="22"/>
      <c r="IZ1" s="22"/>
      <c r="JA1" s="21"/>
      <c r="JB1" s="20"/>
      <c r="JC1" s="21"/>
      <c r="JD1" s="22"/>
      <c r="JE1" s="22"/>
      <c r="JF1" s="21"/>
      <c r="JG1" s="20"/>
      <c r="JH1" s="21"/>
      <c r="JI1" s="22"/>
      <c r="JJ1" s="22"/>
      <c r="JK1" s="21"/>
      <c r="JL1" s="20"/>
      <c r="JM1" s="21"/>
      <c r="JN1" s="22"/>
      <c r="JO1" s="22"/>
      <c r="JP1" s="21"/>
      <c r="JQ1" s="20"/>
      <c r="JR1" s="21"/>
      <c r="JS1" s="22"/>
      <c r="JT1" s="22"/>
      <c r="JU1" s="21"/>
      <c r="JV1" s="20"/>
      <c r="JW1" s="22"/>
      <c r="JX1" s="20"/>
      <c r="JY1" s="21"/>
      <c r="JZ1" s="22"/>
      <c r="KA1" s="22"/>
      <c r="KB1" s="21"/>
      <c r="KC1" s="20"/>
      <c r="KD1" s="21"/>
      <c r="KE1" s="22"/>
      <c r="KF1" s="22"/>
      <c r="KG1" s="21"/>
      <c r="KH1" s="20"/>
      <c r="KI1" s="21"/>
      <c r="KJ1" s="22"/>
      <c r="KK1" s="22"/>
      <c r="KL1" s="21"/>
      <c r="KM1" s="20"/>
      <c r="KN1" s="21"/>
      <c r="KO1" s="22"/>
      <c r="KP1" s="22"/>
      <c r="KQ1" s="21"/>
      <c r="KR1" s="20"/>
      <c r="KS1" s="21"/>
      <c r="KT1" s="22"/>
      <c r="KU1" s="22"/>
      <c r="KV1" s="21"/>
      <c r="KW1" s="20"/>
      <c r="KX1" s="21"/>
      <c r="KY1" s="22"/>
      <c r="KZ1" s="22"/>
      <c r="LA1" s="21"/>
      <c r="LB1" s="20"/>
      <c r="LC1" s="21"/>
      <c r="LD1" s="22"/>
      <c r="LE1" s="22"/>
      <c r="LF1" s="21"/>
      <c r="LG1" s="20"/>
      <c r="LH1" s="21"/>
      <c r="LI1" s="22"/>
      <c r="LJ1" s="22"/>
      <c r="LK1" s="21"/>
      <c r="LL1" s="20"/>
      <c r="LM1" s="21"/>
      <c r="LN1" s="22"/>
      <c r="LO1" s="22"/>
      <c r="LP1" s="21"/>
      <c r="LQ1" s="20"/>
      <c r="LR1" s="21"/>
      <c r="LS1" s="22"/>
      <c r="LT1" s="22"/>
      <c r="LU1" s="21"/>
      <c r="LV1" s="20"/>
      <c r="LW1" s="21"/>
      <c r="LX1" s="22"/>
      <c r="LY1" s="22"/>
      <c r="LZ1" s="21"/>
      <c r="MA1" s="20"/>
      <c r="MB1" s="19"/>
    </row>
    <row r="2" ht="7.5" customHeight="1">
      <c r="A2" s="23"/>
      <c r="B2" s="24"/>
      <c r="C2" s="25"/>
      <c r="D2" s="25"/>
      <c r="E2" s="25"/>
      <c r="F2" s="25"/>
      <c r="G2" s="26"/>
      <c r="H2" s="25"/>
      <c r="I2" s="25"/>
      <c r="J2" s="25"/>
      <c r="K2" s="25"/>
      <c r="L2" s="26"/>
      <c r="M2" s="25"/>
      <c r="N2" s="25"/>
      <c r="O2" s="25"/>
      <c r="P2" s="25"/>
      <c r="Q2" s="26"/>
      <c r="R2" s="25"/>
      <c r="S2" s="25"/>
      <c r="T2" s="25"/>
      <c r="U2" s="25"/>
      <c r="V2" s="26"/>
      <c r="W2" s="25"/>
      <c r="X2" s="25"/>
      <c r="Y2" s="25"/>
      <c r="Z2" s="25"/>
      <c r="AA2" s="26"/>
      <c r="AB2" s="25"/>
      <c r="AC2" s="25"/>
      <c r="AD2" s="25"/>
      <c r="AE2" s="25"/>
      <c r="AF2" s="26"/>
      <c r="AG2" s="25"/>
      <c r="AH2" s="25"/>
      <c r="AI2" s="25"/>
      <c r="AJ2" s="25"/>
      <c r="AK2" s="26"/>
      <c r="AL2" s="25"/>
      <c r="AM2" s="25"/>
      <c r="AN2" s="25"/>
      <c r="AO2" s="25"/>
      <c r="AP2" s="26"/>
      <c r="AQ2" s="25"/>
      <c r="AR2" s="25"/>
      <c r="AS2" s="25"/>
      <c r="AT2" s="25"/>
      <c r="AU2" s="26"/>
      <c r="AV2" s="25"/>
      <c r="AW2" s="25"/>
      <c r="AX2" s="25"/>
      <c r="AY2" s="25"/>
      <c r="AZ2" s="26"/>
      <c r="BA2" s="25"/>
      <c r="BB2" s="25"/>
      <c r="BC2" s="25"/>
      <c r="BD2" s="25"/>
      <c r="BE2" s="26"/>
      <c r="BF2" s="25"/>
      <c r="BG2" s="25"/>
      <c r="BH2" s="25"/>
      <c r="BI2" s="25"/>
      <c r="BJ2" s="26"/>
      <c r="BK2" s="25"/>
      <c r="BL2" s="25"/>
      <c r="BM2" s="25"/>
      <c r="BN2" s="25"/>
      <c r="BO2" s="26"/>
      <c r="BP2" s="25"/>
      <c r="BQ2" s="25"/>
      <c r="BR2" s="25"/>
      <c r="BS2" s="25"/>
      <c r="BT2" s="26"/>
      <c r="BU2" s="25"/>
      <c r="BV2" s="25"/>
      <c r="BW2" s="25"/>
      <c r="BX2" s="25"/>
      <c r="BY2" s="26"/>
      <c r="BZ2" s="25"/>
      <c r="CA2" s="25"/>
      <c r="CB2" s="25"/>
      <c r="CC2" s="25"/>
      <c r="CD2" s="26"/>
      <c r="CE2" s="25"/>
      <c r="CF2" s="25"/>
      <c r="CG2" s="25"/>
      <c r="CH2" s="25"/>
      <c r="CI2" s="26"/>
      <c r="CJ2" s="25"/>
      <c r="CK2" s="25"/>
      <c r="CL2" s="25"/>
      <c r="CM2" s="25"/>
      <c r="CN2" s="26"/>
      <c r="CO2" s="25"/>
      <c r="CP2" s="25"/>
      <c r="CQ2" s="25"/>
      <c r="CR2" s="25"/>
      <c r="CS2" s="26"/>
      <c r="CT2" s="25"/>
      <c r="CU2" s="25"/>
      <c r="CV2" s="25"/>
      <c r="CW2" s="25"/>
      <c r="CX2" s="26"/>
      <c r="CY2" s="25"/>
      <c r="CZ2" s="25"/>
      <c r="DA2" s="25"/>
      <c r="DB2" s="25"/>
      <c r="DC2" s="26"/>
      <c r="DD2" s="25"/>
      <c r="DE2" s="25"/>
      <c r="DF2" s="25"/>
      <c r="DG2" s="25"/>
      <c r="DH2" s="26"/>
      <c r="DI2" s="25"/>
      <c r="DJ2" s="25"/>
      <c r="DK2" s="25"/>
      <c r="DL2" s="25"/>
      <c r="DM2" s="26"/>
      <c r="DN2" s="25"/>
      <c r="DO2" s="25"/>
      <c r="DP2" s="25"/>
      <c r="DQ2" s="25"/>
      <c r="DR2" s="26"/>
      <c r="DS2" s="25"/>
      <c r="DT2" s="25"/>
      <c r="DU2" s="25"/>
      <c r="DV2" s="25"/>
      <c r="DW2" s="26"/>
      <c r="DX2" s="25"/>
      <c r="DY2" s="25"/>
      <c r="DZ2" s="25"/>
      <c r="EA2" s="25"/>
      <c r="EB2" s="26"/>
      <c r="EC2" s="25"/>
      <c r="ED2" s="25"/>
      <c r="EE2" s="25"/>
      <c r="EF2" s="25"/>
      <c r="EG2" s="26"/>
      <c r="EH2" s="25"/>
      <c r="EI2" s="25"/>
      <c r="EJ2" s="25"/>
      <c r="EK2" s="25"/>
      <c r="EL2" s="26"/>
      <c r="EM2" s="25"/>
      <c r="EN2" s="25"/>
      <c r="EO2" s="25"/>
      <c r="EP2" s="25"/>
      <c r="EQ2" s="26"/>
      <c r="ER2" s="25"/>
      <c r="ES2" s="25"/>
      <c r="ET2" s="25"/>
      <c r="EU2" s="25"/>
      <c r="EV2" s="26"/>
      <c r="EW2" s="25"/>
      <c r="EX2" s="25"/>
      <c r="EY2" s="25"/>
      <c r="EZ2" s="25"/>
      <c r="FA2" s="26"/>
      <c r="FB2" s="25"/>
      <c r="FC2" s="25"/>
      <c r="FD2" s="25"/>
      <c r="FE2" s="25"/>
      <c r="FF2" s="26"/>
      <c r="FG2" s="25"/>
      <c r="FH2" s="25"/>
      <c r="FI2" s="25"/>
      <c r="FJ2" s="25"/>
      <c r="FK2" s="26"/>
      <c r="FL2" s="25"/>
      <c r="FM2" s="25"/>
      <c r="FN2" s="25"/>
      <c r="FO2" s="25"/>
      <c r="FP2" s="26"/>
      <c r="FQ2" s="25"/>
      <c r="FR2" s="25"/>
      <c r="FS2" s="25"/>
      <c r="FT2" s="25"/>
      <c r="FU2" s="26"/>
      <c r="FV2" s="25"/>
      <c r="FW2" s="25"/>
      <c r="FX2" s="25"/>
      <c r="FY2" s="25"/>
      <c r="FZ2" s="26"/>
      <c r="GA2" s="25"/>
      <c r="GB2" s="25"/>
      <c r="GC2" s="25"/>
      <c r="GD2" s="25"/>
      <c r="GE2" s="26"/>
      <c r="GF2" s="25"/>
      <c r="GG2" s="25"/>
      <c r="GH2" s="25"/>
      <c r="GI2" s="25"/>
      <c r="GJ2" s="26"/>
      <c r="GK2" s="25"/>
      <c r="GL2" s="25"/>
      <c r="GM2" s="25"/>
      <c r="GN2" s="25"/>
      <c r="GO2" s="26"/>
      <c r="GP2" s="25"/>
      <c r="GQ2" s="25"/>
      <c r="GR2" s="25"/>
      <c r="GS2" s="25"/>
      <c r="GT2" s="26"/>
      <c r="GU2" s="25"/>
      <c r="GV2" s="25"/>
      <c r="GW2" s="25"/>
      <c r="GX2" s="25"/>
      <c r="GY2" s="26"/>
      <c r="GZ2" s="25"/>
      <c r="HA2" s="25"/>
      <c r="HB2" s="25"/>
      <c r="HC2" s="25"/>
      <c r="HD2" s="26"/>
      <c r="HE2" s="25"/>
      <c r="HF2" s="25"/>
      <c r="HG2" s="25"/>
      <c r="HH2" s="25"/>
      <c r="HI2" s="26"/>
      <c r="HJ2" s="25"/>
      <c r="HK2" s="25"/>
      <c r="HL2" s="25"/>
      <c r="HM2" s="25"/>
      <c r="HN2" s="26"/>
      <c r="HO2" s="25"/>
      <c r="HP2" s="25"/>
      <c r="HQ2" s="25"/>
      <c r="HR2" s="25"/>
      <c r="HS2" s="26"/>
      <c r="HT2" s="25"/>
      <c r="HU2" s="25"/>
      <c r="HV2" s="25"/>
      <c r="HW2" s="25"/>
      <c r="HX2" s="26"/>
      <c r="HY2" s="25"/>
      <c r="HZ2" s="25"/>
      <c r="IA2" s="25"/>
      <c r="IB2" s="25"/>
      <c r="IC2" s="26"/>
      <c r="ID2" s="25"/>
      <c r="IE2" s="25"/>
      <c r="IF2" s="25"/>
      <c r="IG2" s="25"/>
      <c r="IH2" s="26"/>
      <c r="II2" s="25"/>
      <c r="IJ2" s="25"/>
      <c r="IK2" s="25"/>
      <c r="IL2" s="25"/>
      <c r="IM2" s="26"/>
      <c r="IN2" s="25"/>
      <c r="IO2" s="25"/>
      <c r="IP2" s="25"/>
      <c r="IQ2" s="25"/>
      <c r="IR2" s="26"/>
      <c r="IS2" s="25"/>
      <c r="IT2" s="25"/>
      <c r="IU2" s="25"/>
      <c r="IV2" s="25"/>
      <c r="IW2" s="26"/>
      <c r="IX2" s="25"/>
      <c r="IY2" s="25"/>
      <c r="IZ2" s="25"/>
      <c r="JA2" s="25"/>
      <c r="JB2" s="26"/>
      <c r="JC2" s="25"/>
      <c r="JD2" s="25"/>
      <c r="JE2" s="25"/>
      <c r="JF2" s="25"/>
      <c r="JG2" s="26"/>
      <c r="JH2" s="25"/>
      <c r="JI2" s="25"/>
      <c r="JJ2" s="25"/>
      <c r="JK2" s="25"/>
      <c r="JL2" s="26"/>
      <c r="JM2" s="25"/>
      <c r="JN2" s="25"/>
      <c r="JO2" s="25"/>
      <c r="JP2" s="25"/>
      <c r="JQ2" s="26"/>
      <c r="JR2" s="25"/>
      <c r="JS2" s="25"/>
      <c r="JT2" s="25"/>
      <c r="JU2" s="25"/>
      <c r="JV2" s="26"/>
      <c r="JW2" s="27"/>
      <c r="JX2" s="26"/>
      <c r="JY2" s="25"/>
      <c r="JZ2" s="25"/>
      <c r="KA2" s="25"/>
      <c r="KB2" s="25"/>
      <c r="KC2" s="26"/>
      <c r="KD2" s="25"/>
      <c r="KE2" s="25"/>
      <c r="KF2" s="25"/>
      <c r="KG2" s="25"/>
      <c r="KH2" s="26"/>
      <c r="KI2" s="25"/>
      <c r="KJ2" s="25"/>
      <c r="KK2" s="25"/>
      <c r="KL2" s="25"/>
      <c r="KM2" s="26"/>
      <c r="KN2" s="25"/>
      <c r="KO2" s="25"/>
      <c r="KP2" s="25"/>
      <c r="KQ2" s="25"/>
      <c r="KR2" s="26"/>
      <c r="KS2" s="25"/>
      <c r="KT2" s="25"/>
      <c r="KU2" s="25"/>
      <c r="KV2" s="25"/>
      <c r="KW2" s="26"/>
      <c r="KX2" s="25"/>
      <c r="KY2" s="25"/>
      <c r="KZ2" s="25"/>
      <c r="LA2" s="25"/>
      <c r="LB2" s="26"/>
      <c r="LC2" s="25"/>
      <c r="LD2" s="25"/>
      <c r="LE2" s="25"/>
      <c r="LF2" s="25"/>
      <c r="LG2" s="26"/>
      <c r="LH2" s="25"/>
      <c r="LI2" s="25"/>
      <c r="LJ2" s="25"/>
      <c r="LK2" s="25"/>
      <c r="LL2" s="26"/>
      <c r="LM2" s="25"/>
      <c r="LN2" s="25"/>
      <c r="LO2" s="25"/>
      <c r="LP2" s="25"/>
      <c r="LQ2" s="26"/>
      <c r="LR2" s="25"/>
      <c r="LS2" s="25"/>
      <c r="LT2" s="25"/>
      <c r="LU2" s="25"/>
      <c r="LV2" s="26"/>
      <c r="LW2" s="25"/>
      <c r="LX2" s="25"/>
      <c r="LY2" s="25"/>
      <c r="LZ2" s="25"/>
      <c r="MA2" s="28"/>
      <c r="MB2" s="29"/>
    </row>
    <row r="3" ht="26.25" customHeight="1">
      <c r="A3" s="30"/>
      <c r="B3" s="31"/>
      <c r="C3" s="32" t="str">
        <f>Source!$C5</f>
        <v/>
      </c>
      <c r="D3" s="33" t="s">
        <v>12</v>
      </c>
      <c r="E3" s="34"/>
      <c r="F3" s="35"/>
      <c r="G3" s="36"/>
      <c r="H3" s="32" t="str">
        <f>Source!$C5</f>
        <v/>
      </c>
      <c r="I3" s="33" t="s">
        <v>13</v>
      </c>
      <c r="J3" s="34"/>
      <c r="K3" s="35"/>
      <c r="L3" s="36"/>
      <c r="M3" s="32" t="str">
        <f>Source!$C5</f>
        <v/>
      </c>
      <c r="N3" s="33" t="s">
        <v>14</v>
      </c>
      <c r="O3" s="34"/>
      <c r="P3" s="35"/>
      <c r="Q3" s="36"/>
      <c r="R3" s="32" t="str">
        <f>Source!$C5</f>
        <v/>
      </c>
      <c r="S3" s="33" t="s">
        <v>15</v>
      </c>
      <c r="T3" s="34"/>
      <c r="U3" s="35"/>
      <c r="V3" s="36"/>
      <c r="W3" s="32" t="str">
        <f>Source!$C5</f>
        <v/>
      </c>
      <c r="X3" s="33" t="s">
        <v>16</v>
      </c>
      <c r="Y3" s="34"/>
      <c r="Z3" s="35"/>
      <c r="AA3" s="36"/>
      <c r="AB3" s="32" t="str">
        <f>Source!$C5</f>
        <v/>
      </c>
      <c r="AC3" s="33" t="s">
        <v>17</v>
      </c>
      <c r="AD3" s="34"/>
      <c r="AE3" s="35"/>
      <c r="AF3" s="36"/>
      <c r="AG3" s="32" t="str">
        <f>Source!$C5</f>
        <v/>
      </c>
      <c r="AH3" s="37" t="s">
        <v>18</v>
      </c>
      <c r="AI3" s="34"/>
      <c r="AJ3" s="35"/>
      <c r="AK3" s="36"/>
      <c r="AL3" s="32" t="str">
        <f>Source!$C5</f>
        <v/>
      </c>
      <c r="AM3" s="33" t="s">
        <v>19</v>
      </c>
      <c r="AN3" s="34"/>
      <c r="AO3" s="35"/>
      <c r="AP3" s="36"/>
      <c r="AQ3" s="32" t="str">
        <f>Source!$C5</f>
        <v/>
      </c>
      <c r="AR3" s="33" t="s">
        <v>20</v>
      </c>
      <c r="AS3" s="34"/>
      <c r="AT3" s="35"/>
      <c r="AU3" s="36"/>
      <c r="AV3" s="32" t="str">
        <f>Source!$C5</f>
        <v/>
      </c>
      <c r="AW3" s="33" t="s">
        <v>21</v>
      </c>
      <c r="AX3" s="34"/>
      <c r="AY3" s="35"/>
      <c r="AZ3" s="36"/>
      <c r="BA3" s="32" t="str">
        <f>Source!$C5</f>
        <v/>
      </c>
      <c r="BB3" s="33" t="s">
        <v>22</v>
      </c>
      <c r="BC3" s="34"/>
      <c r="BD3" s="35"/>
      <c r="BE3" s="36"/>
      <c r="BF3" s="32" t="str">
        <f>Source!$C5</f>
        <v/>
      </c>
      <c r="BG3" s="33" t="s">
        <v>23</v>
      </c>
      <c r="BH3" s="34"/>
      <c r="BI3" s="35"/>
      <c r="BJ3" s="36"/>
      <c r="BK3" s="32" t="str">
        <f>Source!$C5</f>
        <v/>
      </c>
      <c r="BL3" s="33" t="s">
        <v>24</v>
      </c>
      <c r="BM3" s="34"/>
      <c r="BN3" s="35"/>
      <c r="BO3" s="36"/>
      <c r="BP3" s="32" t="str">
        <f>Source!$C5</f>
        <v/>
      </c>
      <c r="BQ3" s="33" t="s">
        <v>25</v>
      </c>
      <c r="BR3" s="34"/>
      <c r="BS3" s="35"/>
      <c r="BT3" s="36"/>
      <c r="BU3" s="32" t="str">
        <f>Source!$C5</f>
        <v/>
      </c>
      <c r="BV3" s="33" t="s">
        <v>26</v>
      </c>
      <c r="BW3" s="34"/>
      <c r="BX3" s="35"/>
      <c r="BY3" s="36"/>
      <c r="BZ3" s="32" t="str">
        <f>Source!$C5</f>
        <v/>
      </c>
      <c r="CA3" s="33" t="s">
        <v>27</v>
      </c>
      <c r="CB3" s="34"/>
      <c r="CC3" s="35"/>
      <c r="CD3" s="36"/>
      <c r="CE3" s="32" t="str">
        <f>Source!$C5</f>
        <v/>
      </c>
      <c r="CF3" s="33" t="s">
        <v>28</v>
      </c>
      <c r="CG3" s="34"/>
      <c r="CH3" s="35"/>
      <c r="CI3" s="36"/>
      <c r="CJ3" s="32" t="str">
        <f>Source!$C5</f>
        <v/>
      </c>
      <c r="CK3" s="33" t="s">
        <v>29</v>
      </c>
      <c r="CL3" s="34"/>
      <c r="CM3" s="35"/>
      <c r="CN3" s="36"/>
      <c r="CO3" s="32" t="str">
        <f>Source!$C5</f>
        <v/>
      </c>
      <c r="CP3" s="33" t="s">
        <v>30</v>
      </c>
      <c r="CQ3" s="34"/>
      <c r="CR3" s="35"/>
      <c r="CS3" s="36"/>
      <c r="CT3" s="32" t="str">
        <f>Source!$C5</f>
        <v/>
      </c>
      <c r="CU3" s="33" t="s">
        <v>31</v>
      </c>
      <c r="CV3" s="34"/>
      <c r="CW3" s="35"/>
      <c r="CX3" s="36"/>
      <c r="CY3" s="32" t="str">
        <f>Source!$C5</f>
        <v/>
      </c>
      <c r="CZ3" s="33" t="s">
        <v>32</v>
      </c>
      <c r="DA3" s="34"/>
      <c r="DB3" s="35"/>
      <c r="DC3" s="36"/>
      <c r="DD3" s="32" t="str">
        <f>Source!$C5</f>
        <v/>
      </c>
      <c r="DE3" s="33" t="s">
        <v>33</v>
      </c>
      <c r="DF3" s="34"/>
      <c r="DG3" s="35"/>
      <c r="DH3" s="36"/>
      <c r="DI3" s="32" t="str">
        <f>Source!$C5</f>
        <v/>
      </c>
      <c r="DJ3" s="33" t="s">
        <v>34</v>
      </c>
      <c r="DK3" s="34"/>
      <c r="DL3" s="35"/>
      <c r="DM3" s="36"/>
      <c r="DN3" s="32" t="str">
        <f>Source!$C5</f>
        <v/>
      </c>
      <c r="DO3" s="33" t="s">
        <v>35</v>
      </c>
      <c r="DP3" s="34"/>
      <c r="DQ3" s="35"/>
      <c r="DR3" s="36"/>
      <c r="DS3" s="32" t="str">
        <f>Source!$C5</f>
        <v/>
      </c>
      <c r="DT3" s="33" t="s">
        <v>36</v>
      </c>
      <c r="DU3" s="34"/>
      <c r="DV3" s="35"/>
      <c r="DW3" s="36"/>
      <c r="DX3" s="32" t="str">
        <f>Source!$C5</f>
        <v/>
      </c>
      <c r="DY3" s="33" t="s">
        <v>37</v>
      </c>
      <c r="DZ3" s="34"/>
      <c r="EA3" s="35"/>
      <c r="EB3" s="36"/>
      <c r="EC3" s="32" t="str">
        <f>Source!$C5</f>
        <v/>
      </c>
      <c r="ED3" s="38" t="s">
        <v>38</v>
      </c>
      <c r="EE3" s="34"/>
      <c r="EF3" s="35"/>
      <c r="EG3" s="36"/>
      <c r="EH3" s="32" t="str">
        <f>Source!$C5</f>
        <v/>
      </c>
      <c r="EI3" s="33" t="s">
        <v>39</v>
      </c>
      <c r="EJ3" s="34"/>
      <c r="EK3" s="35"/>
      <c r="EL3" s="36"/>
      <c r="EM3" s="32" t="str">
        <f>Source!$C5</f>
        <v/>
      </c>
      <c r="EN3" s="33" t="s">
        <v>40</v>
      </c>
      <c r="EO3" s="34"/>
      <c r="EP3" s="35"/>
      <c r="EQ3" s="36"/>
      <c r="ER3" s="32" t="str">
        <f>Source!$C5</f>
        <v/>
      </c>
      <c r="ES3" s="33" t="s">
        <v>41</v>
      </c>
      <c r="ET3" s="34"/>
      <c r="EU3" s="35"/>
      <c r="EV3" s="36"/>
      <c r="EW3" s="32" t="str">
        <f>Source!$C5</f>
        <v/>
      </c>
      <c r="EX3" s="33" t="s">
        <v>42</v>
      </c>
      <c r="EY3" s="34"/>
      <c r="EZ3" s="35"/>
      <c r="FA3" s="36"/>
      <c r="FB3" s="32" t="str">
        <f>Source!$C5</f>
        <v/>
      </c>
      <c r="FC3" s="33" t="s">
        <v>43</v>
      </c>
      <c r="FD3" s="34"/>
      <c r="FE3" s="35"/>
      <c r="FF3" s="36"/>
      <c r="FG3" s="32" t="str">
        <f>Source!$C5</f>
        <v/>
      </c>
      <c r="FH3" s="33" t="s">
        <v>44</v>
      </c>
      <c r="FI3" s="34"/>
      <c r="FJ3" s="35"/>
      <c r="FK3" s="36"/>
      <c r="FL3" s="32" t="str">
        <f>Source!$C5</f>
        <v/>
      </c>
      <c r="FM3" s="33" t="s">
        <v>45</v>
      </c>
      <c r="FN3" s="34"/>
      <c r="FO3" s="35"/>
      <c r="FP3" s="36"/>
      <c r="FQ3" s="32" t="str">
        <f>Source!$C5</f>
        <v/>
      </c>
      <c r="FR3" s="33" t="s">
        <v>46</v>
      </c>
      <c r="FS3" s="34"/>
      <c r="FT3" s="35"/>
      <c r="FU3" s="36"/>
      <c r="FV3" s="32" t="str">
        <f>Source!$C5</f>
        <v/>
      </c>
      <c r="FW3" s="33" t="s">
        <v>47</v>
      </c>
      <c r="FX3" s="34"/>
      <c r="FY3" s="35"/>
      <c r="FZ3" s="36"/>
      <c r="GA3" s="32" t="str">
        <f>Source!$C5</f>
        <v/>
      </c>
      <c r="GB3" s="33" t="s">
        <v>48</v>
      </c>
      <c r="GC3" s="34"/>
      <c r="GD3" s="35"/>
      <c r="GE3" s="36"/>
      <c r="GF3" s="32" t="str">
        <f>Source!$C5</f>
        <v/>
      </c>
      <c r="GG3" s="33" t="s">
        <v>49</v>
      </c>
      <c r="GH3" s="34"/>
      <c r="GI3" s="35"/>
      <c r="GJ3" s="36"/>
      <c r="GK3" s="32" t="str">
        <f>Source!$C5</f>
        <v/>
      </c>
      <c r="GL3" s="33" t="s">
        <v>50</v>
      </c>
      <c r="GM3" s="34"/>
      <c r="GN3" s="35"/>
      <c r="GO3" s="36"/>
      <c r="GP3" s="32" t="str">
        <f>Source!$C5</f>
        <v/>
      </c>
      <c r="GQ3" s="33" t="s">
        <v>51</v>
      </c>
      <c r="GR3" s="34"/>
      <c r="GS3" s="35"/>
      <c r="GT3" s="36"/>
      <c r="GU3" s="32" t="str">
        <f>Source!$C5</f>
        <v/>
      </c>
      <c r="GV3" s="33" t="s">
        <v>52</v>
      </c>
      <c r="GW3" s="34"/>
      <c r="GX3" s="35"/>
      <c r="GY3" s="36"/>
      <c r="GZ3" s="32" t="str">
        <f>Source!$C5</f>
        <v/>
      </c>
      <c r="HA3" s="33" t="s">
        <v>53</v>
      </c>
      <c r="HB3" s="34"/>
      <c r="HC3" s="35"/>
      <c r="HD3" s="36"/>
      <c r="HE3" s="32" t="str">
        <f>Source!$C5</f>
        <v/>
      </c>
      <c r="HF3" s="33" t="s">
        <v>54</v>
      </c>
      <c r="HG3" s="34"/>
      <c r="HH3" s="35"/>
      <c r="HI3" s="36"/>
      <c r="HJ3" s="32" t="str">
        <f>Source!$C5</f>
        <v/>
      </c>
      <c r="HK3" s="33" t="s">
        <v>55</v>
      </c>
      <c r="HL3" s="34"/>
      <c r="HM3" s="35"/>
      <c r="HN3" s="36"/>
      <c r="HO3" s="32" t="str">
        <f>Source!$C5</f>
        <v/>
      </c>
      <c r="HP3" s="33" t="s">
        <v>56</v>
      </c>
      <c r="HQ3" s="34"/>
      <c r="HR3" s="35"/>
      <c r="HS3" s="36"/>
      <c r="HT3" s="32" t="str">
        <f>Source!$C5</f>
        <v/>
      </c>
      <c r="HU3" s="33" t="s">
        <v>57</v>
      </c>
      <c r="HV3" s="34"/>
      <c r="HW3" s="35"/>
      <c r="HX3" s="36"/>
      <c r="HY3" s="32" t="str">
        <f>Source!$C5</f>
        <v/>
      </c>
      <c r="HZ3" s="33" t="s">
        <v>58</v>
      </c>
      <c r="IA3" s="34"/>
      <c r="IB3" s="35"/>
      <c r="IC3" s="36"/>
      <c r="ID3" s="32" t="str">
        <f>Source!$C5</f>
        <v/>
      </c>
      <c r="IE3" s="33" t="s">
        <v>59</v>
      </c>
      <c r="IF3" s="34"/>
      <c r="IG3" s="35"/>
      <c r="IH3" s="36"/>
      <c r="II3" s="32" t="str">
        <f>Source!$C5</f>
        <v/>
      </c>
      <c r="IJ3" s="38" t="s">
        <v>60</v>
      </c>
      <c r="IK3" s="34"/>
      <c r="IL3" s="35"/>
      <c r="IM3" s="36"/>
      <c r="IN3" s="32" t="str">
        <f>Source!$C5</f>
        <v/>
      </c>
      <c r="IO3" s="38" t="s">
        <v>61</v>
      </c>
      <c r="IP3" s="34"/>
      <c r="IQ3" s="35"/>
      <c r="IR3" s="36"/>
      <c r="IS3" s="32" t="str">
        <f>Source!$C5</f>
        <v/>
      </c>
      <c r="IT3" s="37" t="s">
        <v>62</v>
      </c>
      <c r="IU3" s="34"/>
      <c r="IV3" s="35"/>
      <c r="IW3" s="36"/>
      <c r="IX3" s="32" t="str">
        <f>Source!$C5</f>
        <v/>
      </c>
      <c r="IY3" s="33" t="s">
        <v>63</v>
      </c>
      <c r="IZ3" s="34"/>
      <c r="JA3" s="35"/>
      <c r="JB3" s="36"/>
      <c r="JC3" s="32" t="str">
        <f>Source!$C5</f>
        <v/>
      </c>
      <c r="JD3" s="33" t="s">
        <v>64</v>
      </c>
      <c r="JE3" s="34"/>
      <c r="JF3" s="35"/>
      <c r="JG3" s="36"/>
      <c r="JH3" s="32" t="str">
        <f>Source!$C5</f>
        <v/>
      </c>
      <c r="JI3" s="33" t="s">
        <v>65</v>
      </c>
      <c r="JJ3" s="34"/>
      <c r="JK3" s="35"/>
      <c r="JL3" s="36"/>
      <c r="JM3" s="32" t="str">
        <f>Source!$C5</f>
        <v/>
      </c>
      <c r="JN3" s="33" t="s">
        <v>66</v>
      </c>
      <c r="JO3" s="34"/>
      <c r="JP3" s="35"/>
      <c r="JQ3" s="36"/>
      <c r="JR3" s="32" t="str">
        <f>Source!$C5</f>
        <v/>
      </c>
      <c r="JS3" s="33" t="s">
        <v>67</v>
      </c>
      <c r="JT3" s="34"/>
      <c r="JU3" s="35"/>
      <c r="JV3" s="36"/>
      <c r="JW3" s="39" t="s">
        <v>68</v>
      </c>
      <c r="JX3" s="36"/>
      <c r="JY3" s="32" t="str">
        <f>Source!$C5</f>
        <v/>
      </c>
      <c r="JZ3" s="33" t="s">
        <v>69</v>
      </c>
      <c r="KA3" s="34"/>
      <c r="KB3" s="35"/>
      <c r="KC3" s="36"/>
      <c r="KD3" s="32" t="str">
        <f>Source!$C5</f>
        <v/>
      </c>
      <c r="KE3" s="40" t="s">
        <v>70</v>
      </c>
      <c r="KF3" s="34"/>
      <c r="KG3" s="35"/>
      <c r="KH3" s="36"/>
      <c r="KI3" s="32" t="str">
        <f>Source!$C5</f>
        <v/>
      </c>
      <c r="KJ3" s="33" t="s">
        <v>71</v>
      </c>
      <c r="KK3" s="34"/>
      <c r="KL3" s="35"/>
      <c r="KM3" s="36"/>
      <c r="KN3" s="32" t="str">
        <f>Source!$C5</f>
        <v/>
      </c>
      <c r="KO3" s="33" t="s">
        <v>72</v>
      </c>
      <c r="KP3" s="34"/>
      <c r="KQ3" s="35"/>
      <c r="KR3" s="36"/>
      <c r="KS3" s="32" t="str">
        <f>Source!$C5</f>
        <v/>
      </c>
      <c r="KT3" s="41" t="s">
        <v>73</v>
      </c>
      <c r="KU3" s="34"/>
      <c r="KV3" s="35"/>
      <c r="KW3" s="36"/>
      <c r="KX3" s="32" t="str">
        <f>Source!$C5</f>
        <v/>
      </c>
      <c r="KY3" s="33" t="s">
        <v>74</v>
      </c>
      <c r="KZ3" s="34"/>
      <c r="LA3" s="35"/>
      <c r="LB3" s="36"/>
      <c r="LC3" s="32" t="str">
        <f>Source!$C5</f>
        <v/>
      </c>
      <c r="LD3" s="33" t="s">
        <v>75</v>
      </c>
      <c r="LE3" s="34"/>
      <c r="LF3" s="35"/>
      <c r="LG3" s="36"/>
      <c r="LH3" s="32" t="str">
        <f>Source!$C5</f>
        <v/>
      </c>
      <c r="LI3" s="33" t="s">
        <v>76</v>
      </c>
      <c r="LJ3" s="34"/>
      <c r="LK3" s="35"/>
      <c r="LL3" s="36"/>
      <c r="LM3" s="32" t="str">
        <f>Source!$C5</f>
        <v/>
      </c>
      <c r="LN3" s="33" t="s">
        <v>77</v>
      </c>
      <c r="LO3" s="34"/>
      <c r="LP3" s="35"/>
      <c r="LQ3" s="36"/>
      <c r="LR3" s="32" t="str">
        <f>Source!$C5</f>
        <v/>
      </c>
      <c r="LS3" s="33" t="s">
        <v>78</v>
      </c>
      <c r="LT3" s="34"/>
      <c r="LU3" s="35"/>
      <c r="LV3" s="36"/>
      <c r="LW3" s="32" t="str">
        <f>Source!$C5</f>
        <v/>
      </c>
      <c r="LX3" s="33" t="s">
        <v>79</v>
      </c>
      <c r="LY3" s="34"/>
      <c r="LZ3" s="35"/>
      <c r="MA3" s="42"/>
      <c r="MB3" s="43"/>
    </row>
    <row r="4" ht="15.0" customHeight="1">
      <c r="A4" s="44"/>
      <c r="B4" s="45"/>
      <c r="C4" s="46" t="s">
        <v>80</v>
      </c>
      <c r="D4" s="47" t="s">
        <v>81</v>
      </c>
      <c r="E4" s="48"/>
      <c r="F4" s="49" t="s">
        <v>82</v>
      </c>
      <c r="G4" s="50"/>
      <c r="H4" s="46" t="s">
        <v>80</v>
      </c>
      <c r="I4" s="47" t="s">
        <v>81</v>
      </c>
      <c r="J4" s="48"/>
      <c r="K4" s="49" t="s">
        <v>82</v>
      </c>
      <c r="L4" s="50"/>
      <c r="M4" s="46" t="s">
        <v>80</v>
      </c>
      <c r="N4" s="47" t="s">
        <v>81</v>
      </c>
      <c r="O4" s="48"/>
      <c r="P4" s="49" t="s">
        <v>82</v>
      </c>
      <c r="Q4" s="50"/>
      <c r="R4" s="46" t="s">
        <v>80</v>
      </c>
      <c r="S4" s="47" t="s">
        <v>81</v>
      </c>
      <c r="T4" s="48"/>
      <c r="U4" s="49" t="s">
        <v>82</v>
      </c>
      <c r="V4" s="50"/>
      <c r="W4" s="46" t="s">
        <v>80</v>
      </c>
      <c r="X4" s="47" t="s">
        <v>81</v>
      </c>
      <c r="Y4" s="48"/>
      <c r="Z4" s="49" t="s">
        <v>82</v>
      </c>
      <c r="AA4" s="50"/>
      <c r="AB4" s="46" t="s">
        <v>80</v>
      </c>
      <c r="AC4" s="47" t="s">
        <v>81</v>
      </c>
      <c r="AD4" s="48"/>
      <c r="AE4" s="49" t="s">
        <v>82</v>
      </c>
      <c r="AF4" s="50"/>
      <c r="AG4" s="46" t="s">
        <v>80</v>
      </c>
      <c r="AH4" s="47" t="s">
        <v>81</v>
      </c>
      <c r="AI4" s="48"/>
      <c r="AJ4" s="49" t="s">
        <v>82</v>
      </c>
      <c r="AK4" s="50"/>
      <c r="AL4" s="46" t="s">
        <v>80</v>
      </c>
      <c r="AM4" s="47" t="s">
        <v>81</v>
      </c>
      <c r="AN4" s="48"/>
      <c r="AO4" s="49" t="s">
        <v>82</v>
      </c>
      <c r="AP4" s="50"/>
      <c r="AQ4" s="46" t="s">
        <v>80</v>
      </c>
      <c r="AR4" s="47" t="s">
        <v>81</v>
      </c>
      <c r="AS4" s="48"/>
      <c r="AT4" s="49" t="s">
        <v>82</v>
      </c>
      <c r="AU4" s="50"/>
      <c r="AV4" s="46" t="s">
        <v>80</v>
      </c>
      <c r="AW4" s="47" t="s">
        <v>81</v>
      </c>
      <c r="AX4" s="48"/>
      <c r="AY4" s="49" t="s">
        <v>82</v>
      </c>
      <c r="AZ4" s="50"/>
      <c r="BA4" s="46" t="s">
        <v>80</v>
      </c>
      <c r="BB4" s="47" t="s">
        <v>81</v>
      </c>
      <c r="BC4" s="48"/>
      <c r="BD4" s="49" t="s">
        <v>82</v>
      </c>
      <c r="BE4" s="50"/>
      <c r="BF4" s="46" t="s">
        <v>80</v>
      </c>
      <c r="BG4" s="47" t="s">
        <v>81</v>
      </c>
      <c r="BH4" s="48"/>
      <c r="BI4" s="49" t="s">
        <v>82</v>
      </c>
      <c r="BJ4" s="50"/>
      <c r="BK4" s="46" t="s">
        <v>80</v>
      </c>
      <c r="BL4" s="47" t="s">
        <v>81</v>
      </c>
      <c r="BM4" s="48"/>
      <c r="BN4" s="49" t="s">
        <v>82</v>
      </c>
      <c r="BO4" s="50"/>
      <c r="BP4" s="46" t="s">
        <v>80</v>
      </c>
      <c r="BQ4" s="47" t="s">
        <v>81</v>
      </c>
      <c r="BR4" s="48"/>
      <c r="BS4" s="49" t="s">
        <v>82</v>
      </c>
      <c r="BT4" s="50"/>
      <c r="BU4" s="46" t="s">
        <v>80</v>
      </c>
      <c r="BV4" s="47" t="s">
        <v>81</v>
      </c>
      <c r="BW4" s="48"/>
      <c r="BX4" s="49" t="s">
        <v>82</v>
      </c>
      <c r="BY4" s="50"/>
      <c r="BZ4" s="46" t="s">
        <v>80</v>
      </c>
      <c r="CA4" s="47" t="s">
        <v>81</v>
      </c>
      <c r="CB4" s="48"/>
      <c r="CC4" s="49" t="s">
        <v>82</v>
      </c>
      <c r="CD4" s="50"/>
      <c r="CE4" s="46" t="s">
        <v>80</v>
      </c>
      <c r="CF4" s="47" t="s">
        <v>81</v>
      </c>
      <c r="CG4" s="48"/>
      <c r="CH4" s="49" t="s">
        <v>82</v>
      </c>
      <c r="CI4" s="50"/>
      <c r="CJ4" s="46" t="s">
        <v>80</v>
      </c>
      <c r="CK4" s="47" t="s">
        <v>81</v>
      </c>
      <c r="CL4" s="48"/>
      <c r="CM4" s="49" t="s">
        <v>82</v>
      </c>
      <c r="CN4" s="50"/>
      <c r="CO4" s="46" t="s">
        <v>80</v>
      </c>
      <c r="CP4" s="47" t="s">
        <v>81</v>
      </c>
      <c r="CQ4" s="48"/>
      <c r="CR4" s="49" t="s">
        <v>82</v>
      </c>
      <c r="CS4" s="50"/>
      <c r="CT4" s="46" t="s">
        <v>80</v>
      </c>
      <c r="CU4" s="47" t="s">
        <v>81</v>
      </c>
      <c r="CV4" s="48"/>
      <c r="CW4" s="49" t="s">
        <v>82</v>
      </c>
      <c r="CX4" s="50"/>
      <c r="CY4" s="46" t="s">
        <v>80</v>
      </c>
      <c r="CZ4" s="47" t="s">
        <v>81</v>
      </c>
      <c r="DA4" s="48"/>
      <c r="DB4" s="49" t="s">
        <v>82</v>
      </c>
      <c r="DC4" s="50"/>
      <c r="DD4" s="46" t="s">
        <v>80</v>
      </c>
      <c r="DE4" s="47" t="s">
        <v>81</v>
      </c>
      <c r="DF4" s="48"/>
      <c r="DG4" s="49" t="s">
        <v>82</v>
      </c>
      <c r="DH4" s="50"/>
      <c r="DI4" s="46" t="s">
        <v>80</v>
      </c>
      <c r="DJ4" s="47" t="s">
        <v>81</v>
      </c>
      <c r="DK4" s="48"/>
      <c r="DL4" s="49" t="s">
        <v>82</v>
      </c>
      <c r="DM4" s="50"/>
      <c r="DN4" s="46" t="s">
        <v>80</v>
      </c>
      <c r="DO4" s="47" t="s">
        <v>81</v>
      </c>
      <c r="DP4" s="48"/>
      <c r="DQ4" s="49" t="s">
        <v>82</v>
      </c>
      <c r="DR4" s="50"/>
      <c r="DS4" s="46" t="s">
        <v>80</v>
      </c>
      <c r="DT4" s="47" t="s">
        <v>81</v>
      </c>
      <c r="DU4" s="48"/>
      <c r="DV4" s="49" t="s">
        <v>82</v>
      </c>
      <c r="DW4" s="50"/>
      <c r="DX4" s="46" t="s">
        <v>80</v>
      </c>
      <c r="DY4" s="47" t="s">
        <v>81</v>
      </c>
      <c r="DZ4" s="48"/>
      <c r="EA4" s="49" t="s">
        <v>82</v>
      </c>
      <c r="EB4" s="50"/>
      <c r="EC4" s="46" t="s">
        <v>80</v>
      </c>
      <c r="ED4" s="47" t="s">
        <v>81</v>
      </c>
      <c r="EE4" s="48"/>
      <c r="EF4" s="49" t="s">
        <v>82</v>
      </c>
      <c r="EG4" s="50"/>
      <c r="EH4" s="46" t="s">
        <v>80</v>
      </c>
      <c r="EI4" s="47" t="s">
        <v>81</v>
      </c>
      <c r="EJ4" s="48"/>
      <c r="EK4" s="49" t="s">
        <v>82</v>
      </c>
      <c r="EL4" s="50"/>
      <c r="EM4" s="46" t="s">
        <v>80</v>
      </c>
      <c r="EN4" s="47" t="s">
        <v>81</v>
      </c>
      <c r="EO4" s="48"/>
      <c r="EP4" s="49" t="s">
        <v>82</v>
      </c>
      <c r="EQ4" s="50"/>
      <c r="ER4" s="46" t="s">
        <v>80</v>
      </c>
      <c r="ES4" s="47" t="s">
        <v>81</v>
      </c>
      <c r="ET4" s="48"/>
      <c r="EU4" s="49" t="s">
        <v>82</v>
      </c>
      <c r="EV4" s="50"/>
      <c r="EW4" s="46" t="s">
        <v>80</v>
      </c>
      <c r="EX4" s="47" t="s">
        <v>81</v>
      </c>
      <c r="EY4" s="48"/>
      <c r="EZ4" s="49" t="s">
        <v>82</v>
      </c>
      <c r="FA4" s="50"/>
      <c r="FB4" s="46" t="s">
        <v>80</v>
      </c>
      <c r="FC4" s="47" t="s">
        <v>81</v>
      </c>
      <c r="FD4" s="48"/>
      <c r="FE4" s="49" t="s">
        <v>82</v>
      </c>
      <c r="FF4" s="50"/>
      <c r="FG4" s="46" t="s">
        <v>80</v>
      </c>
      <c r="FH4" s="47" t="s">
        <v>81</v>
      </c>
      <c r="FI4" s="48"/>
      <c r="FJ4" s="49" t="s">
        <v>82</v>
      </c>
      <c r="FK4" s="50"/>
      <c r="FL4" s="46" t="s">
        <v>80</v>
      </c>
      <c r="FM4" s="47" t="s">
        <v>81</v>
      </c>
      <c r="FN4" s="48"/>
      <c r="FO4" s="49" t="s">
        <v>82</v>
      </c>
      <c r="FP4" s="50"/>
      <c r="FQ4" s="46" t="s">
        <v>80</v>
      </c>
      <c r="FR4" s="47" t="s">
        <v>81</v>
      </c>
      <c r="FS4" s="48"/>
      <c r="FT4" s="49" t="s">
        <v>82</v>
      </c>
      <c r="FU4" s="50"/>
      <c r="FV4" s="46" t="s">
        <v>80</v>
      </c>
      <c r="FW4" s="47" t="s">
        <v>81</v>
      </c>
      <c r="FX4" s="48"/>
      <c r="FY4" s="49" t="s">
        <v>82</v>
      </c>
      <c r="FZ4" s="50"/>
      <c r="GA4" s="46" t="s">
        <v>80</v>
      </c>
      <c r="GB4" s="47" t="s">
        <v>81</v>
      </c>
      <c r="GC4" s="48"/>
      <c r="GD4" s="49" t="s">
        <v>82</v>
      </c>
      <c r="GE4" s="50"/>
      <c r="GF4" s="46" t="s">
        <v>80</v>
      </c>
      <c r="GG4" s="47" t="s">
        <v>81</v>
      </c>
      <c r="GH4" s="48"/>
      <c r="GI4" s="49" t="s">
        <v>82</v>
      </c>
      <c r="GJ4" s="50"/>
      <c r="GK4" s="46" t="s">
        <v>80</v>
      </c>
      <c r="GL4" s="47" t="s">
        <v>81</v>
      </c>
      <c r="GM4" s="48"/>
      <c r="GN4" s="49" t="s">
        <v>82</v>
      </c>
      <c r="GO4" s="50"/>
      <c r="GP4" s="46" t="s">
        <v>80</v>
      </c>
      <c r="GQ4" s="47" t="s">
        <v>81</v>
      </c>
      <c r="GR4" s="48"/>
      <c r="GS4" s="49" t="s">
        <v>82</v>
      </c>
      <c r="GT4" s="50"/>
      <c r="GU4" s="46" t="s">
        <v>80</v>
      </c>
      <c r="GV4" s="47" t="s">
        <v>81</v>
      </c>
      <c r="GW4" s="48"/>
      <c r="GX4" s="49" t="s">
        <v>82</v>
      </c>
      <c r="GY4" s="50"/>
      <c r="GZ4" s="46" t="s">
        <v>80</v>
      </c>
      <c r="HA4" s="47" t="s">
        <v>81</v>
      </c>
      <c r="HB4" s="48"/>
      <c r="HC4" s="49" t="s">
        <v>82</v>
      </c>
      <c r="HD4" s="50"/>
      <c r="HE4" s="46" t="s">
        <v>80</v>
      </c>
      <c r="HF4" s="47" t="s">
        <v>81</v>
      </c>
      <c r="HG4" s="48"/>
      <c r="HH4" s="49" t="s">
        <v>82</v>
      </c>
      <c r="HI4" s="50"/>
      <c r="HJ4" s="46" t="s">
        <v>80</v>
      </c>
      <c r="HK4" s="47" t="s">
        <v>81</v>
      </c>
      <c r="HL4" s="48"/>
      <c r="HM4" s="49" t="s">
        <v>82</v>
      </c>
      <c r="HN4" s="50"/>
      <c r="HO4" s="46" t="s">
        <v>80</v>
      </c>
      <c r="HP4" s="47" t="s">
        <v>81</v>
      </c>
      <c r="HQ4" s="48"/>
      <c r="HR4" s="49" t="s">
        <v>82</v>
      </c>
      <c r="HS4" s="50"/>
      <c r="HT4" s="46" t="s">
        <v>80</v>
      </c>
      <c r="HU4" s="47" t="s">
        <v>81</v>
      </c>
      <c r="HV4" s="48"/>
      <c r="HW4" s="49" t="s">
        <v>82</v>
      </c>
      <c r="HX4" s="50"/>
      <c r="HY4" s="46" t="s">
        <v>80</v>
      </c>
      <c r="HZ4" s="47" t="s">
        <v>81</v>
      </c>
      <c r="IA4" s="48"/>
      <c r="IB4" s="49" t="s">
        <v>82</v>
      </c>
      <c r="IC4" s="50"/>
      <c r="ID4" s="46" t="s">
        <v>80</v>
      </c>
      <c r="IE4" s="47" t="s">
        <v>81</v>
      </c>
      <c r="IF4" s="48"/>
      <c r="IG4" s="49" t="s">
        <v>82</v>
      </c>
      <c r="IH4" s="50"/>
      <c r="II4" s="46" t="s">
        <v>80</v>
      </c>
      <c r="IJ4" s="47" t="s">
        <v>81</v>
      </c>
      <c r="IK4" s="48"/>
      <c r="IL4" s="49" t="s">
        <v>82</v>
      </c>
      <c r="IM4" s="50"/>
      <c r="IN4" s="46" t="s">
        <v>80</v>
      </c>
      <c r="IO4" s="47" t="s">
        <v>81</v>
      </c>
      <c r="IP4" s="48"/>
      <c r="IQ4" s="49" t="s">
        <v>82</v>
      </c>
      <c r="IR4" s="50"/>
      <c r="IS4" s="46" t="s">
        <v>80</v>
      </c>
      <c r="IT4" s="47" t="s">
        <v>81</v>
      </c>
      <c r="IU4" s="48"/>
      <c r="IV4" s="49" t="s">
        <v>82</v>
      </c>
      <c r="IW4" s="50"/>
      <c r="IX4" s="46" t="s">
        <v>80</v>
      </c>
      <c r="IY4" s="47" t="s">
        <v>81</v>
      </c>
      <c r="IZ4" s="48"/>
      <c r="JA4" s="49" t="s">
        <v>82</v>
      </c>
      <c r="JB4" s="50"/>
      <c r="JC4" s="46" t="s">
        <v>80</v>
      </c>
      <c r="JD4" s="47" t="s">
        <v>81</v>
      </c>
      <c r="JE4" s="48"/>
      <c r="JF4" s="49" t="s">
        <v>82</v>
      </c>
      <c r="JG4" s="50"/>
      <c r="JH4" s="46" t="s">
        <v>80</v>
      </c>
      <c r="JI4" s="47" t="s">
        <v>81</v>
      </c>
      <c r="JJ4" s="48"/>
      <c r="JK4" s="49" t="s">
        <v>82</v>
      </c>
      <c r="JL4" s="50"/>
      <c r="JM4" s="46" t="s">
        <v>80</v>
      </c>
      <c r="JN4" s="47" t="s">
        <v>81</v>
      </c>
      <c r="JO4" s="48"/>
      <c r="JP4" s="49" t="s">
        <v>82</v>
      </c>
      <c r="JQ4" s="50"/>
      <c r="JR4" s="46" t="s">
        <v>80</v>
      </c>
      <c r="JS4" s="47" t="s">
        <v>81</v>
      </c>
      <c r="JT4" s="48"/>
      <c r="JU4" s="49" t="s">
        <v>82</v>
      </c>
      <c r="JV4" s="50"/>
      <c r="JW4" s="51"/>
      <c r="JX4" s="50"/>
      <c r="JY4" s="46" t="s">
        <v>80</v>
      </c>
      <c r="JZ4" s="47" t="s">
        <v>81</v>
      </c>
      <c r="KA4" s="48"/>
      <c r="KB4" s="49" t="s">
        <v>82</v>
      </c>
      <c r="KC4" s="50"/>
      <c r="KD4" s="46" t="s">
        <v>80</v>
      </c>
      <c r="KE4" s="47" t="s">
        <v>81</v>
      </c>
      <c r="KF4" s="48"/>
      <c r="KG4" s="49" t="s">
        <v>82</v>
      </c>
      <c r="KH4" s="50"/>
      <c r="KI4" s="46" t="s">
        <v>80</v>
      </c>
      <c r="KJ4" s="47" t="s">
        <v>81</v>
      </c>
      <c r="KK4" s="48"/>
      <c r="KL4" s="49" t="s">
        <v>82</v>
      </c>
      <c r="KM4" s="50"/>
      <c r="KN4" s="46" t="s">
        <v>80</v>
      </c>
      <c r="KO4" s="47" t="s">
        <v>81</v>
      </c>
      <c r="KP4" s="48"/>
      <c r="KQ4" s="49" t="s">
        <v>82</v>
      </c>
      <c r="KR4" s="50"/>
      <c r="KS4" s="46" t="s">
        <v>80</v>
      </c>
      <c r="KT4" s="47" t="s">
        <v>81</v>
      </c>
      <c r="KU4" s="48"/>
      <c r="KV4" s="49" t="s">
        <v>82</v>
      </c>
      <c r="KW4" s="50"/>
      <c r="KX4" s="46" t="s">
        <v>80</v>
      </c>
      <c r="KY4" s="47" t="s">
        <v>81</v>
      </c>
      <c r="KZ4" s="48"/>
      <c r="LA4" s="49" t="s">
        <v>82</v>
      </c>
      <c r="LB4" s="50"/>
      <c r="LC4" s="46" t="s">
        <v>80</v>
      </c>
      <c r="LD4" s="47" t="s">
        <v>81</v>
      </c>
      <c r="LE4" s="48"/>
      <c r="LF4" s="49" t="s">
        <v>82</v>
      </c>
      <c r="LG4" s="50"/>
      <c r="LH4" s="46" t="s">
        <v>80</v>
      </c>
      <c r="LI4" s="47" t="s">
        <v>81</v>
      </c>
      <c r="LJ4" s="48"/>
      <c r="LK4" s="49" t="s">
        <v>82</v>
      </c>
      <c r="LL4" s="50"/>
      <c r="LM4" s="46" t="s">
        <v>80</v>
      </c>
      <c r="LN4" s="47" t="s">
        <v>81</v>
      </c>
      <c r="LO4" s="48"/>
      <c r="LP4" s="49" t="s">
        <v>82</v>
      </c>
      <c r="LQ4" s="50"/>
      <c r="LR4" s="46" t="s">
        <v>80</v>
      </c>
      <c r="LS4" s="47" t="s">
        <v>81</v>
      </c>
      <c r="LT4" s="48"/>
      <c r="LU4" s="49" t="s">
        <v>82</v>
      </c>
      <c r="LV4" s="50"/>
      <c r="LW4" s="46" t="s">
        <v>80</v>
      </c>
      <c r="LX4" s="47" t="s">
        <v>81</v>
      </c>
      <c r="LY4" s="48"/>
      <c r="LZ4" s="49" t="s">
        <v>82</v>
      </c>
      <c r="MA4" s="52"/>
      <c r="MB4" s="53"/>
    </row>
    <row r="5" ht="23.25" customHeight="1">
      <c r="A5" s="23"/>
      <c r="B5" s="54"/>
      <c r="C5" s="55">
        <v>0.2</v>
      </c>
      <c r="D5" s="56" t="str">
        <f t="array" ref="D5:D16">IFERROR(VLOOKUP(E5:E16,Dex!$B$3:$N33,2,FALSE),"")</f>
        <v/>
      </c>
      <c r="E5" s="57" t="s">
        <v>83</v>
      </c>
      <c r="F5" s="58">
        <v>44231.0</v>
      </c>
      <c r="G5" s="59"/>
      <c r="H5" s="55">
        <v>0.2</v>
      </c>
      <c r="I5" s="56" t="str">
        <f t="array" ref="I5:I16">IFERROR(VLOOKUP(J5:J16,Dex!$B$3:$N33,2,FALSE),"")</f>
        <v/>
      </c>
      <c r="J5" s="57" t="s">
        <v>84</v>
      </c>
      <c r="K5" s="58">
        <v>44625.0</v>
      </c>
      <c r="L5" s="59"/>
      <c r="M5" s="55">
        <v>0.2</v>
      </c>
      <c r="N5" s="56" t="str">
        <f t="array" ref="N5:N16">IFERROR(VLOOKUP(O5:O16,Dex!$B$3:$N33,2,FALSE),"")</f>
        <v/>
      </c>
      <c r="O5" s="57" t="s">
        <v>85</v>
      </c>
      <c r="P5" s="58">
        <v>44625.0</v>
      </c>
      <c r="Q5" s="59"/>
      <c r="R5" s="55">
        <v>0.2</v>
      </c>
      <c r="S5" s="56" t="str">
        <f t="array" ref="S5:S16">IFERROR(VLOOKUP(T5:T16,Dex!$B$3:$N33,2,FALSE),"")</f>
        <v/>
      </c>
      <c r="T5" s="57" t="s">
        <v>86</v>
      </c>
      <c r="U5" s="58">
        <v>45022.0</v>
      </c>
      <c r="V5" s="59"/>
      <c r="W5" s="55">
        <v>0.2</v>
      </c>
      <c r="X5" s="56" t="str">
        <f t="array" ref="X5:X16">IFERROR(VLOOKUP(Y5:Y16,Dex!$B$3:$N33,2,FALSE),"")</f>
        <v/>
      </c>
      <c r="Y5" s="57" t="s">
        <v>83</v>
      </c>
      <c r="Z5" s="58">
        <v>44625.0</v>
      </c>
      <c r="AA5" s="59"/>
      <c r="AB5" s="55">
        <v>0.2</v>
      </c>
      <c r="AC5" s="56" t="str">
        <f t="array" ref="AC5:AC16">IFERROR(VLOOKUP(AD5:AD16,Dex!$B$3:$N33,2,FALSE),"")</f>
        <v/>
      </c>
      <c r="AD5" s="57" t="s">
        <v>87</v>
      </c>
      <c r="AE5" s="58">
        <v>44657.0</v>
      </c>
      <c r="AF5" s="59"/>
      <c r="AG5" s="55">
        <v>0.2</v>
      </c>
      <c r="AH5" s="56" t="str">
        <f t="array" ref="AH5:AH16">IFERROR(VLOOKUP(AI5:AI16,Dex!$B$3:$N33,2,FALSE),"")</f>
        <v/>
      </c>
      <c r="AI5" s="57" t="s">
        <v>87</v>
      </c>
      <c r="AJ5" s="58">
        <v>44657.0</v>
      </c>
      <c r="AK5" s="59"/>
      <c r="AL5" s="55">
        <v>0.2</v>
      </c>
      <c r="AM5" s="56" t="str">
        <f t="array" ref="AM5:AM16">IFERROR(VLOOKUP(AN5:AN16,Dex!$B$3:$N33,2,FALSE),"")</f>
        <v/>
      </c>
      <c r="AN5" s="57" t="s">
        <v>88</v>
      </c>
      <c r="AO5" s="58">
        <v>44751.0</v>
      </c>
      <c r="AP5" s="59"/>
      <c r="AQ5" s="55">
        <v>0.2</v>
      </c>
      <c r="AR5" s="56" t="str">
        <f t="array" ref="AR5:AR16">IFERROR(VLOOKUP(AS5:AS16,Dex!$B$3:$N33,2,FALSE),"")</f>
        <v/>
      </c>
      <c r="AS5" s="57" t="s">
        <v>89</v>
      </c>
      <c r="AT5" s="58">
        <v>44751.0</v>
      </c>
      <c r="AU5" s="59"/>
      <c r="AV5" s="55">
        <v>0.2</v>
      </c>
      <c r="AW5" s="56" t="str">
        <f t="array" ref="AW5:AW16">IFERROR(VLOOKUP(AX5:AX16,Dex!$B$3:$N33,2,FALSE),"")</f>
        <v/>
      </c>
      <c r="AX5" s="57" t="s">
        <v>90</v>
      </c>
      <c r="AY5" s="58">
        <v>44846.0</v>
      </c>
      <c r="AZ5" s="59"/>
      <c r="BA5" s="55">
        <v>0.2</v>
      </c>
      <c r="BB5" s="56" t="str">
        <f t="array" ref="BB5:BB16">IFERROR(VLOOKUP(BC5:BC16,Dex!$B$3:$N33,2,FALSE),"")</f>
        <v/>
      </c>
      <c r="BC5" s="57" t="s">
        <v>91</v>
      </c>
      <c r="BD5" s="58">
        <v>44909.0</v>
      </c>
      <c r="BE5" s="59"/>
      <c r="BF5" s="55">
        <v>0.2</v>
      </c>
      <c r="BG5" s="56" t="str">
        <f t="array" ref="BG5:BG16">IFERROR(VLOOKUP(BH5:BH16,Dex!$B$3:$N33,2,FALSE),"")</f>
        <v/>
      </c>
      <c r="BH5" s="57" t="s">
        <v>92</v>
      </c>
      <c r="BI5" s="58">
        <v>44909.0</v>
      </c>
      <c r="BJ5" s="59"/>
      <c r="BK5" s="55">
        <v>0.2</v>
      </c>
      <c r="BL5" s="56" t="str">
        <f t="array" ref="BL5:BL16">IFERROR(VLOOKUP(BM5:BM16,Dex!$B$3:$N33,2,FALSE),"")</f>
        <v/>
      </c>
      <c r="BM5" s="57" t="s">
        <v>93</v>
      </c>
      <c r="BN5" s="58">
        <v>44909.0</v>
      </c>
      <c r="BO5" s="59"/>
      <c r="BP5" s="55">
        <v>0.2</v>
      </c>
      <c r="BQ5" s="56" t="str">
        <f t="array" ref="BQ5:BQ16">IFERROR(VLOOKUP(BR5:BR16,Dex!$B$3:$N33,2,FALSE),"")</f>
        <v/>
      </c>
      <c r="BR5" s="57" t="s">
        <v>94</v>
      </c>
      <c r="BS5" s="58" t="s">
        <v>95</v>
      </c>
      <c r="BT5" s="59"/>
      <c r="BU5" s="55">
        <v>0.2</v>
      </c>
      <c r="BV5" s="56" t="str">
        <f t="array" ref="BV5:BV16">IFERROR(VLOOKUP(BW5:BW16,Dex!$B$3:$N33,2,FALSE),"")</f>
        <v/>
      </c>
      <c r="BW5" s="57" t="s">
        <v>96</v>
      </c>
      <c r="BX5" s="58" t="s">
        <v>97</v>
      </c>
      <c r="BY5" s="59"/>
      <c r="BZ5" s="55">
        <v>0.2</v>
      </c>
      <c r="CA5" s="56" t="str">
        <f t="array" ref="CA5:CA16">IFERROR(VLOOKUP(CB5:CB16,Dex!$B$3:$N33,2,FALSE),"")</f>
        <v/>
      </c>
      <c r="CB5" s="57" t="s">
        <v>98</v>
      </c>
      <c r="CC5" s="58" t="s">
        <v>99</v>
      </c>
      <c r="CD5" s="59"/>
      <c r="CE5" s="55">
        <v>0.2</v>
      </c>
      <c r="CF5" s="56" t="str">
        <f t="array" ref="CF5:CF16">IFERROR(VLOOKUP(CG5:CG16,Dex!$B$3:$N33,2,FALSE),"")</f>
        <v/>
      </c>
      <c r="CG5" s="57" t="s">
        <v>100</v>
      </c>
      <c r="CH5" s="58" t="s">
        <v>101</v>
      </c>
      <c r="CI5" s="59"/>
      <c r="CJ5" s="55">
        <v>0.2</v>
      </c>
      <c r="CK5" s="56" t="str">
        <f t="array" ref="CK5:CK16">IFERROR(VLOOKUP(CL5:CL16,Dex!$B$3:$N33,2,FALSE),"")</f>
        <v/>
      </c>
      <c r="CL5" s="57" t="s">
        <v>102</v>
      </c>
      <c r="CM5" s="58" t="s">
        <v>99</v>
      </c>
      <c r="CN5" s="59"/>
      <c r="CO5" s="55">
        <v>0.2</v>
      </c>
      <c r="CP5" s="56" t="str">
        <f t="array" ref="CP5:CP16">IFERROR(VLOOKUP(CQ5:CQ16,Dex!$B$3:$N33,2,FALSE),"")</f>
        <v/>
      </c>
      <c r="CQ5" s="57" t="s">
        <v>103</v>
      </c>
      <c r="CR5" s="58" t="s">
        <v>104</v>
      </c>
      <c r="CS5" s="59"/>
      <c r="CT5" s="55">
        <v>0.2</v>
      </c>
      <c r="CU5" s="56" t="str">
        <f t="array" ref="CU5:CU16">IFERROR(VLOOKUP(CV5:CV16,Dex!$B$3:$N33,2,FALSE),"")</f>
        <v/>
      </c>
      <c r="CV5" s="57" t="s">
        <v>88</v>
      </c>
      <c r="CW5" s="58" t="s">
        <v>104</v>
      </c>
      <c r="CX5" s="59"/>
      <c r="CY5" s="55">
        <v>0.2</v>
      </c>
      <c r="CZ5" s="56" t="str">
        <f t="array" ref="CZ5:CZ16">IFERROR(VLOOKUP(DA5:DA16,Dex!$B$3:$N33,2,FALSE),"")</f>
        <v/>
      </c>
      <c r="DA5" s="57" t="s">
        <v>105</v>
      </c>
      <c r="DB5" s="58" t="s">
        <v>106</v>
      </c>
      <c r="DC5" s="59"/>
      <c r="DD5" s="55">
        <v>0.2</v>
      </c>
      <c r="DE5" s="56" t="str">
        <f t="array" ref="DE5:DE16">IFERROR(VLOOKUP(DF5:DF16,Dex!$B$3:$N33,2,FALSE),"")</f>
        <v/>
      </c>
      <c r="DF5" s="57" t="s">
        <v>107</v>
      </c>
      <c r="DG5" s="58" t="s">
        <v>108</v>
      </c>
      <c r="DH5" s="59"/>
      <c r="DI5" s="55">
        <v>0.2</v>
      </c>
      <c r="DJ5" s="56" t="str">
        <f t="array" ref="DJ5:DJ16">IFERROR(VLOOKUP(DK5:DK16,Dex!$B$3:$N33,2,FALSE),"")</f>
        <v/>
      </c>
      <c r="DK5" s="57" t="s">
        <v>109</v>
      </c>
      <c r="DL5" s="58" t="s">
        <v>110</v>
      </c>
      <c r="DM5" s="59"/>
      <c r="DN5" s="55">
        <v>0.2</v>
      </c>
      <c r="DO5" s="56" t="str">
        <f t="array" ref="DO5:DO16">IFERROR(VLOOKUP(DP5:DP16,Dex!$B$3:$N33,2,FALSE),"")</f>
        <v/>
      </c>
      <c r="DP5" s="57" t="s">
        <v>111</v>
      </c>
      <c r="DQ5" s="58" t="s">
        <v>112</v>
      </c>
      <c r="DR5" s="59"/>
      <c r="DS5" s="55">
        <v>0.2</v>
      </c>
      <c r="DT5" s="56" t="str">
        <f t="array" ref="DT5:DT16">IFERROR(VLOOKUP(DU5:DU16,Dex!$B$3:$N33,2,FALSE),"")</f>
        <v/>
      </c>
      <c r="DU5" s="57" t="s">
        <v>113</v>
      </c>
      <c r="DV5" s="58" t="s">
        <v>114</v>
      </c>
      <c r="DW5" s="59"/>
      <c r="DX5" s="55">
        <v>0.2</v>
      </c>
      <c r="DY5" s="56" t="str">
        <f t="array" ref="DY5:DY16">IFERROR(VLOOKUP(DZ5:DZ16,Dex!$B$3:$N33,2,FALSE),"")</f>
        <v/>
      </c>
      <c r="DZ5" s="57" t="s">
        <v>115</v>
      </c>
      <c r="EA5" s="58" t="s">
        <v>116</v>
      </c>
      <c r="EB5" s="59"/>
      <c r="EC5" s="55">
        <v>0.2</v>
      </c>
      <c r="ED5" s="56" t="str">
        <f t="array" ref="ED5:ED16">IFERROR(VLOOKUP(EE5:EE16,Dex!$B$3:$N33,2,FALSE),"")</f>
        <v/>
      </c>
      <c r="EE5" s="57" t="s">
        <v>117</v>
      </c>
      <c r="EF5" s="58" t="s">
        <v>118</v>
      </c>
      <c r="EG5" s="59"/>
      <c r="EH5" s="55">
        <v>0.2</v>
      </c>
      <c r="EI5" s="56" t="str">
        <f t="array" ref="EI5:EI16">IFERROR(VLOOKUP(EJ5:EJ16,Dex!$B$3:$N33,2,FALSE),"")</f>
        <v/>
      </c>
      <c r="EJ5" s="57" t="s">
        <v>117</v>
      </c>
      <c r="EK5" s="58" t="s">
        <v>118</v>
      </c>
      <c r="EL5" s="59"/>
      <c r="EM5" s="55">
        <v>0.2</v>
      </c>
      <c r="EN5" s="56" t="str">
        <f t="array" ref="EN5:EN16">IFERROR(VLOOKUP(EO5:EO16,Dex!$B$3:$N33,2,FALSE),"")</f>
        <v/>
      </c>
      <c r="EO5" s="57" t="s">
        <v>117</v>
      </c>
      <c r="EP5" s="58" t="s">
        <v>118</v>
      </c>
      <c r="EQ5" s="59"/>
      <c r="ER5" s="55">
        <v>0.2</v>
      </c>
      <c r="ES5" s="56" t="str">
        <f t="array" ref="ES5:ES16">IFERROR(VLOOKUP(ET5:ET16,Dex!$B$3:$N33,2,FALSE),"")</f>
        <v/>
      </c>
      <c r="ET5" s="57" t="s">
        <v>117</v>
      </c>
      <c r="EU5" s="58" t="s">
        <v>118</v>
      </c>
      <c r="EV5" s="59"/>
      <c r="EW5" s="55">
        <v>0.2</v>
      </c>
      <c r="EX5" s="56" t="str">
        <f t="array" ref="EX5:EX16">IFERROR(VLOOKUP(EY5:EY16,Dex!$B$3:$N33,2,FALSE),"")</f>
        <v/>
      </c>
      <c r="EY5" s="57" t="s">
        <v>119</v>
      </c>
      <c r="EZ5" s="58" t="s">
        <v>114</v>
      </c>
      <c r="FA5" s="59"/>
      <c r="FB5" s="55">
        <v>0.2</v>
      </c>
      <c r="FC5" s="56" t="str">
        <f t="array" ref="FC5:FC16">IFERROR(VLOOKUP(FD5:FD16,Dex!$B$3:$N33,2,FALSE),"")</f>
        <v/>
      </c>
      <c r="FD5" s="57" t="s">
        <v>120</v>
      </c>
      <c r="FE5" s="58" t="s">
        <v>121</v>
      </c>
      <c r="FF5" s="59"/>
      <c r="FG5" s="55">
        <v>0.2</v>
      </c>
      <c r="FH5" s="56" t="str">
        <f t="array" ref="FH5:FH16">IFERROR(VLOOKUP(FI5:FI16,Dex!$B$3:$N33,2,FALSE),"")</f>
        <v/>
      </c>
      <c r="FI5" s="57" t="s">
        <v>122</v>
      </c>
      <c r="FJ5" s="58" t="s">
        <v>123</v>
      </c>
      <c r="FK5" s="59"/>
      <c r="FL5" s="55">
        <v>0.2</v>
      </c>
      <c r="FM5" s="56" t="str">
        <f t="array" ref="FM5:FM16">IFERROR(VLOOKUP(FN5:FN16,Dex!$B$3:$N33,2,FALSE),"")</f>
        <v/>
      </c>
      <c r="FN5" s="57" t="s">
        <v>124</v>
      </c>
      <c r="FO5" s="58" t="s">
        <v>125</v>
      </c>
      <c r="FP5" s="59"/>
      <c r="FQ5" s="55">
        <v>0.2</v>
      </c>
      <c r="FR5" s="56" t="str">
        <f t="array" ref="FR5:FR16">IFERROR(VLOOKUP(FS5:FS16,Dex!$B$3:$C33,2,FALSE),"")</f>
        <v/>
      </c>
      <c r="FS5" s="57" t="s">
        <v>126</v>
      </c>
      <c r="FT5" s="58" t="s">
        <v>127</v>
      </c>
      <c r="FU5" s="59"/>
      <c r="FV5" s="55">
        <v>0.2</v>
      </c>
      <c r="FW5" s="56" t="str">
        <f t="array" ref="FW5:FW16">IFERROR(VLOOKUP(FX5:FX16,Dex!$B$3:$N33,2,FALSE),"")</f>
        <v/>
      </c>
      <c r="FX5" s="57" t="s">
        <v>128</v>
      </c>
      <c r="FY5" s="58" t="s">
        <v>127</v>
      </c>
      <c r="FZ5" s="59"/>
      <c r="GA5" s="55">
        <v>0.2</v>
      </c>
      <c r="GB5" s="56" t="str">
        <f t="array" ref="GB5:GB16">IFERROR(VLOOKUP(GC5:GC16,Dex!$B$3:$N33,2,FALSE),"")</f>
        <v/>
      </c>
      <c r="GC5" s="57" t="s">
        <v>129</v>
      </c>
      <c r="GD5" s="58" t="s">
        <v>123</v>
      </c>
      <c r="GE5" s="59"/>
      <c r="GF5" s="55">
        <v>0.2</v>
      </c>
      <c r="GG5" s="56" t="str">
        <f t="array" ref="GG5:GG16">IFERROR(VLOOKUP(GH5:GH16,Dex!$B$3:$N33,2,FALSE),"")</f>
        <v/>
      </c>
      <c r="GH5" s="57" t="s">
        <v>130</v>
      </c>
      <c r="GI5" s="58" t="s">
        <v>116</v>
      </c>
      <c r="GJ5" s="59"/>
      <c r="GK5" s="55">
        <v>0.2</v>
      </c>
      <c r="GL5" s="56" t="str">
        <f t="array" ref="GL5:GL16">IFERROR(VLOOKUP(GM5:GM16,Dex!$B$3:$N33,2,FALSE),"")</f>
        <v/>
      </c>
      <c r="GM5" s="57" t="s">
        <v>131</v>
      </c>
      <c r="GN5" s="58" t="s">
        <v>132</v>
      </c>
      <c r="GO5" s="59"/>
      <c r="GP5" s="55">
        <v>0.2</v>
      </c>
      <c r="GQ5" s="56" t="str">
        <f t="array" ref="GQ5:GQ16">IFERROR(VLOOKUP(GR5:GR16,Dex!$B$3:$N33,2,FALSE),"")</f>
        <v/>
      </c>
      <c r="GR5" s="57" t="s">
        <v>131</v>
      </c>
      <c r="GS5" s="58" t="s">
        <v>132</v>
      </c>
      <c r="GT5" s="59"/>
      <c r="GU5" s="55">
        <v>0.2</v>
      </c>
      <c r="GV5" s="56" t="str">
        <f t="array" ref="GV5:GV16">IFERROR(VLOOKUP(GW5:GW16,Dex!$B$3:$N33,2,FALSE),"")</f>
        <v/>
      </c>
      <c r="GW5" s="57" t="s">
        <v>133</v>
      </c>
      <c r="GX5" s="58" t="s">
        <v>132</v>
      </c>
      <c r="GY5" s="59"/>
      <c r="GZ5" s="55">
        <v>0.2</v>
      </c>
      <c r="HA5" s="56" t="str">
        <f t="array" ref="HA5:HA16">IFERROR(VLOOKUP(HB5:HB16,Dex!$B$3:$N33,2,FALSE),"")</f>
        <v/>
      </c>
      <c r="HB5" s="57" t="s">
        <v>131</v>
      </c>
      <c r="HC5" s="58" t="s">
        <v>132</v>
      </c>
      <c r="HD5" s="59"/>
      <c r="HE5" s="55">
        <v>0.2</v>
      </c>
      <c r="HF5" s="56" t="str">
        <f t="array" ref="HF5:HF16">IFERROR(VLOOKUP(HG5:HG16,Dex!$B$3:$N33,2,FALSE),"")</f>
        <v/>
      </c>
      <c r="HG5" s="57" t="s">
        <v>131</v>
      </c>
      <c r="HH5" s="58" t="s">
        <v>132</v>
      </c>
      <c r="HI5" s="59"/>
      <c r="HJ5" s="55">
        <v>0.2</v>
      </c>
      <c r="HK5" s="56" t="str">
        <f t="array" ref="HK5:HK16">IFERROR(VLOOKUP(HL5:HL16,Dex!$B$3:$N33,2,FALSE),"")</f>
        <v/>
      </c>
      <c r="HL5" s="57" t="s">
        <v>134</v>
      </c>
      <c r="HM5" s="58" t="s">
        <v>135</v>
      </c>
      <c r="HN5" s="59"/>
      <c r="HO5" s="55">
        <v>0.2</v>
      </c>
      <c r="HP5" s="56" t="str">
        <f t="array" ref="HP5:HP16">IFERROR(VLOOKUP(HQ5:HQ16,Dex!$B$3:$N33,2,FALSE),"")</f>
        <v/>
      </c>
      <c r="HQ5" s="57" t="s">
        <v>136</v>
      </c>
      <c r="HR5" s="58" t="s">
        <v>135</v>
      </c>
      <c r="HS5" s="59"/>
      <c r="HT5" s="55">
        <v>0.2</v>
      </c>
      <c r="HU5" s="56" t="str">
        <f t="array" ref="HU5:HU16">IFERROR(VLOOKUP(HV5:HV16,Dex!$B$3:$N33,2,FALSE),"")</f>
        <v/>
      </c>
      <c r="HV5" s="57" t="s">
        <v>137</v>
      </c>
      <c r="HW5" s="58" t="s">
        <v>135</v>
      </c>
      <c r="HX5" s="59"/>
      <c r="HY5" s="55">
        <v>0.2</v>
      </c>
      <c r="HZ5" s="56" t="str">
        <f t="array" ref="HZ5:HZ16">IFERROR(VLOOKUP(IA5:IA16,Dex!$B$3:$N33,2,FALSE),"")</f>
        <v/>
      </c>
      <c r="IA5" s="57" t="s">
        <v>134</v>
      </c>
      <c r="IB5" s="58" t="s">
        <v>135</v>
      </c>
      <c r="IC5" s="59"/>
      <c r="ID5" s="55">
        <v>0.2</v>
      </c>
      <c r="IE5" s="56" t="str">
        <f t="array" ref="IE5:IE16">IFERROR(VLOOKUP(IF5:IF16,Dex!$B$3:$N33,2,FALSE),"")</f>
        <v/>
      </c>
      <c r="IF5" s="57" t="s">
        <v>138</v>
      </c>
      <c r="IG5" s="58" t="s">
        <v>135</v>
      </c>
      <c r="IH5" s="59"/>
      <c r="II5" s="55">
        <v>0.2</v>
      </c>
      <c r="IJ5" s="56" t="str">
        <f t="array" ref="IJ5:IJ16">IFERROR(VLOOKUP(IK5:IK16,Dex!$B$3:$N33,2,FALSE),"")</f>
        <v/>
      </c>
      <c r="IK5" s="57" t="s">
        <v>139</v>
      </c>
      <c r="IL5" s="58" t="s">
        <v>140</v>
      </c>
      <c r="IM5" s="59"/>
      <c r="IN5" s="55">
        <v>0.2</v>
      </c>
      <c r="IO5" s="56" t="str">
        <f t="array" ref="IO5:IO16">IFERROR(VLOOKUP(IP5:IP16,Dex!$B$3:$N33,2,FALSE),"")</f>
        <v/>
      </c>
      <c r="IP5" s="57" t="s">
        <v>141</v>
      </c>
      <c r="IQ5" s="58" t="s">
        <v>140</v>
      </c>
      <c r="IR5" s="59"/>
      <c r="IS5" s="55">
        <v>0.2</v>
      </c>
      <c r="IT5" s="56" t="str">
        <f t="array" ref="IT5:IT16">IFERROR(VLOOKUP(IU5:IU16,Dex!$B$3:$N33,2,FALSE),"")</f>
        <v/>
      </c>
      <c r="IU5" s="57" t="s">
        <v>142</v>
      </c>
      <c r="IV5" s="58" t="s">
        <v>140</v>
      </c>
      <c r="IW5" s="59"/>
      <c r="IX5" s="55">
        <v>0.2</v>
      </c>
      <c r="IY5" s="56" t="str">
        <f t="array" ref="IY5:IY16">IFERROR(VLOOKUP(IZ5:IZ16,Dex!$B$3:$N33,2,FALSE),"")</f>
        <v/>
      </c>
      <c r="IZ5" s="57" t="s">
        <v>143</v>
      </c>
      <c r="JA5" s="60" t="s">
        <v>144</v>
      </c>
      <c r="JB5" s="59"/>
      <c r="JC5" s="55">
        <v>0.2</v>
      </c>
      <c r="JD5" s="56" t="str">
        <f t="array" ref="JD5:JD16">IFERROR(VLOOKUP(JE5:JE16,Dex!$B$3:$N33,2,FALSE),"")</f>
        <v/>
      </c>
      <c r="JE5" s="57" t="s">
        <v>143</v>
      </c>
      <c r="JF5" s="60" t="s">
        <v>144</v>
      </c>
      <c r="JG5" s="59"/>
      <c r="JH5" s="55">
        <v>0.2</v>
      </c>
      <c r="JI5" s="56" t="str">
        <f t="array" ref="JI5:JI16">IFERROR(VLOOKUP(JJ5:JJ16,Dex!$B$3:$N33,2,FALSE),"")</f>
        <v/>
      </c>
      <c r="JJ5" s="57" t="s">
        <v>145</v>
      </c>
      <c r="JK5" s="58" t="s">
        <v>146</v>
      </c>
      <c r="JL5" s="59"/>
      <c r="JM5" s="55">
        <v>0.2</v>
      </c>
      <c r="JN5" s="56" t="str">
        <f t="array" ref="JN5:JN16">IFERROR(VLOOKUP(JO5:JO16,Dex!$B$3:$N33,2,FALSE),"")</f>
        <v/>
      </c>
      <c r="JO5" s="57" t="s">
        <v>147</v>
      </c>
      <c r="JP5" s="58" t="s">
        <v>146</v>
      </c>
      <c r="JQ5" s="59"/>
      <c r="JR5" s="55">
        <v>0.2</v>
      </c>
      <c r="JS5" s="56" t="str">
        <f t="array" ref="JS5:JS16">IFERROR(VLOOKUP(JT5:JT16,Dex!$B$3:$N33,2,FALSE),"")</f>
        <v/>
      </c>
      <c r="JT5" s="57" t="s">
        <v>148</v>
      </c>
      <c r="JU5" s="58" t="s">
        <v>146</v>
      </c>
      <c r="JV5" s="59"/>
      <c r="JW5" s="51"/>
      <c r="JX5" s="59"/>
      <c r="JY5" s="55">
        <v>0.2</v>
      </c>
      <c r="JZ5" s="56" t="str">
        <f t="array" ref="JZ5:JZ16">IFERROR(VLOOKUP(KA5:KA16,Dex!$B$3:$N33,2,FALSE),"")</f>
        <v/>
      </c>
      <c r="KA5" s="57" t="s">
        <v>149</v>
      </c>
      <c r="KB5" s="58" t="s">
        <v>150</v>
      </c>
      <c r="KC5" s="59"/>
      <c r="KD5" s="55">
        <v>0.2</v>
      </c>
      <c r="KE5" s="56" t="str">
        <f t="array" ref="KE5:KE16">IFERROR(VLOOKUP(KF5:KF16,Dex!$B$3:$N33,2,FALSE),"")</f>
        <v/>
      </c>
      <c r="KF5" s="57" t="s">
        <v>151</v>
      </c>
      <c r="KG5" s="58" t="s">
        <v>152</v>
      </c>
      <c r="KH5" s="59"/>
      <c r="KI5" s="55">
        <v>0.2</v>
      </c>
      <c r="KJ5" s="56" t="str">
        <f t="array" ref="KJ5:KJ16">IFERROR(VLOOKUP(KK5:KK16,Dex!$B$3:$N33,2,FALSE),"")</f>
        <v/>
      </c>
      <c r="KK5" s="57" t="s">
        <v>153</v>
      </c>
      <c r="KL5" s="58" t="s">
        <v>154</v>
      </c>
      <c r="KM5" s="59"/>
      <c r="KN5" s="55">
        <v>0.2</v>
      </c>
      <c r="KO5" s="56" t="str">
        <f t="array" ref="KO5:KO16">IFERROR(VLOOKUP(KP5:KP16,Dex!$B$3:$N33,2,FALSE),"")</f>
        <v/>
      </c>
      <c r="KP5" s="57" t="s">
        <v>155</v>
      </c>
      <c r="KQ5" s="58" t="s">
        <v>154</v>
      </c>
      <c r="KR5" s="59"/>
      <c r="KS5" s="55">
        <v>0.2</v>
      </c>
      <c r="KT5" s="56" t="str">
        <f t="array" ref="KT5:KT16">IFERROR(VLOOKUP(KU5:KU16,Dex!$B$3:$N33,2,FALSE),"")</f>
        <v/>
      </c>
      <c r="KU5" s="57" t="s">
        <v>156</v>
      </c>
      <c r="KV5" s="58" t="s">
        <v>154</v>
      </c>
      <c r="KW5" s="59"/>
      <c r="KX5" s="55">
        <v>0.2</v>
      </c>
      <c r="KY5" s="56" t="str">
        <f t="array" ref="KY5:KY16">IFERROR(VLOOKUP(KZ5:KZ16,Dex!$B$3:$N33,2,FALSE),"")</f>
        <v/>
      </c>
      <c r="KZ5" s="57" t="s">
        <v>157</v>
      </c>
      <c r="LA5" s="58" t="s">
        <v>154</v>
      </c>
      <c r="LB5" s="59"/>
      <c r="LC5" s="55">
        <v>0.2</v>
      </c>
      <c r="LD5" s="56" t="str">
        <f t="array" ref="LD5:LD16">IFERROR(VLOOKUP(LE5:LE16,Dex!$B$3:$N33,2,FALSE),"")</f>
        <v/>
      </c>
      <c r="LE5" s="57" t="s">
        <v>158</v>
      </c>
      <c r="LF5" s="58" t="s">
        <v>154</v>
      </c>
      <c r="LG5" s="59"/>
      <c r="LH5" s="55">
        <v>0.2</v>
      </c>
      <c r="LI5" s="56" t="str">
        <f t="array" ref="LI5:LI16">IFERROR(VLOOKUP(LJ5:LJ16,Dex!$B$3:$N33,2,FALSE),"")</f>
        <v/>
      </c>
      <c r="LJ5" s="57" t="s">
        <v>159</v>
      </c>
      <c r="LK5" s="58" t="s">
        <v>154</v>
      </c>
      <c r="LL5" s="59"/>
      <c r="LM5" s="55">
        <v>0.2</v>
      </c>
      <c r="LN5" s="56" t="str">
        <f t="array" ref="LN5:LN16">IFERROR(VLOOKUP(LO5:LO16,Dex!$B$3:$N33,2,FALSE),"")</f>
        <v/>
      </c>
      <c r="LO5" s="57" t="s">
        <v>160</v>
      </c>
      <c r="LP5" s="58" t="s">
        <v>154</v>
      </c>
      <c r="LQ5" s="59"/>
      <c r="LR5" s="55">
        <v>0.2</v>
      </c>
      <c r="LS5" s="56" t="str">
        <f t="array" ref="LS5:LS16">IFERROR(VLOOKUP(LT5:LT16,Dex!$B$3:$N33,2,FALSE),"")</f>
        <v/>
      </c>
      <c r="LT5" s="57" t="s">
        <v>161</v>
      </c>
      <c r="LU5" s="58" t="s">
        <v>154</v>
      </c>
      <c r="LV5" s="59"/>
      <c r="LW5" s="55">
        <v>0.2</v>
      </c>
      <c r="LX5" s="56" t="str">
        <f t="array" ref="LX5:LX16">IFERROR(VLOOKUP(LY5:LY16,Dex!$B$3:$N33,2,FALSE),"")</f>
        <v/>
      </c>
      <c r="LY5" s="57" t="s">
        <v>162</v>
      </c>
      <c r="LZ5" s="58" t="s">
        <v>154</v>
      </c>
      <c r="MA5" s="61"/>
      <c r="MB5" s="29"/>
    </row>
    <row r="6" ht="23.25" customHeight="1">
      <c r="A6" s="23"/>
      <c r="B6" s="54"/>
      <c r="C6" s="62">
        <v>0.2</v>
      </c>
      <c r="D6" s="63"/>
      <c r="E6" s="64" t="s">
        <v>163</v>
      </c>
      <c r="F6" s="65">
        <v>44231.0</v>
      </c>
      <c r="G6" s="59"/>
      <c r="H6" s="62">
        <v>0.2</v>
      </c>
      <c r="I6" s="63"/>
      <c r="J6" s="64" t="s">
        <v>164</v>
      </c>
      <c r="K6" s="65">
        <v>44625.0</v>
      </c>
      <c r="L6" s="59"/>
      <c r="M6" s="62">
        <v>0.2</v>
      </c>
      <c r="N6" s="63"/>
      <c r="O6" s="64" t="s">
        <v>165</v>
      </c>
      <c r="P6" s="65">
        <v>44625.0</v>
      </c>
      <c r="Q6" s="59"/>
      <c r="R6" s="62">
        <v>0.2</v>
      </c>
      <c r="S6" s="63"/>
      <c r="T6" s="64" t="s">
        <v>166</v>
      </c>
      <c r="U6" s="65">
        <v>45022.0</v>
      </c>
      <c r="V6" s="59"/>
      <c r="W6" s="62">
        <v>0.2</v>
      </c>
      <c r="X6" s="63"/>
      <c r="Y6" s="64" t="s">
        <v>167</v>
      </c>
      <c r="Z6" s="65">
        <v>44625.0</v>
      </c>
      <c r="AA6" s="59"/>
      <c r="AB6" s="62">
        <v>0.2</v>
      </c>
      <c r="AC6" s="63"/>
      <c r="AD6" s="64" t="s">
        <v>168</v>
      </c>
      <c r="AE6" s="65">
        <v>44657.0</v>
      </c>
      <c r="AF6" s="59"/>
      <c r="AG6" s="62">
        <v>0.2</v>
      </c>
      <c r="AH6" s="63"/>
      <c r="AI6" s="64" t="s">
        <v>168</v>
      </c>
      <c r="AJ6" s="65">
        <v>44657.0</v>
      </c>
      <c r="AK6" s="59"/>
      <c r="AL6" s="62">
        <v>0.2</v>
      </c>
      <c r="AM6" s="63"/>
      <c r="AN6" s="64" t="s">
        <v>169</v>
      </c>
      <c r="AO6" s="65">
        <v>44751.0</v>
      </c>
      <c r="AP6" s="59"/>
      <c r="AQ6" s="62">
        <v>0.2</v>
      </c>
      <c r="AR6" s="63"/>
      <c r="AS6" s="64" t="s">
        <v>85</v>
      </c>
      <c r="AT6" s="65">
        <v>44751.0</v>
      </c>
      <c r="AU6" s="59"/>
      <c r="AV6" s="62">
        <v>0.2</v>
      </c>
      <c r="AW6" s="63"/>
      <c r="AX6" s="64" t="s">
        <v>170</v>
      </c>
      <c r="AY6" s="65">
        <v>44846.0</v>
      </c>
      <c r="AZ6" s="59"/>
      <c r="BA6" s="62">
        <v>0.2</v>
      </c>
      <c r="BB6" s="63"/>
      <c r="BC6" s="64" t="s">
        <v>171</v>
      </c>
      <c r="BD6" s="65">
        <v>44909.0</v>
      </c>
      <c r="BE6" s="59"/>
      <c r="BF6" s="62">
        <v>0.2</v>
      </c>
      <c r="BG6" s="63"/>
      <c r="BH6" s="64" t="s">
        <v>169</v>
      </c>
      <c r="BI6" s="65">
        <v>44909.0</v>
      </c>
      <c r="BJ6" s="59"/>
      <c r="BK6" s="62">
        <v>0.2</v>
      </c>
      <c r="BL6" s="63"/>
      <c r="BM6" s="64" t="s">
        <v>171</v>
      </c>
      <c r="BN6" s="65">
        <v>44909.0</v>
      </c>
      <c r="BO6" s="59"/>
      <c r="BP6" s="62">
        <v>0.2</v>
      </c>
      <c r="BQ6" s="63"/>
      <c r="BR6" s="64" t="s">
        <v>172</v>
      </c>
      <c r="BS6" s="65" t="s">
        <v>95</v>
      </c>
      <c r="BT6" s="59"/>
      <c r="BU6" s="62">
        <v>0.2</v>
      </c>
      <c r="BV6" s="63"/>
      <c r="BW6" s="64" t="s">
        <v>173</v>
      </c>
      <c r="BX6" s="65" t="s">
        <v>97</v>
      </c>
      <c r="BY6" s="59"/>
      <c r="BZ6" s="62">
        <v>0.2</v>
      </c>
      <c r="CA6" s="63"/>
      <c r="CB6" s="64" t="s">
        <v>174</v>
      </c>
      <c r="CC6" s="65" t="s">
        <v>99</v>
      </c>
      <c r="CD6" s="59"/>
      <c r="CE6" s="62">
        <v>0.2</v>
      </c>
      <c r="CF6" s="63"/>
      <c r="CG6" s="64" t="s">
        <v>175</v>
      </c>
      <c r="CH6" s="65" t="s">
        <v>101</v>
      </c>
      <c r="CI6" s="59"/>
      <c r="CJ6" s="62">
        <v>0.2</v>
      </c>
      <c r="CK6" s="63"/>
      <c r="CL6" s="64" t="s">
        <v>176</v>
      </c>
      <c r="CM6" s="65" t="s">
        <v>99</v>
      </c>
      <c r="CN6" s="59"/>
      <c r="CO6" s="62">
        <v>0.2</v>
      </c>
      <c r="CP6" s="63"/>
      <c r="CQ6" s="64" t="s">
        <v>177</v>
      </c>
      <c r="CR6" s="65" t="s">
        <v>104</v>
      </c>
      <c r="CS6" s="59"/>
      <c r="CT6" s="62">
        <v>0.2</v>
      </c>
      <c r="CU6" s="63"/>
      <c r="CV6" s="64" t="s">
        <v>88</v>
      </c>
      <c r="CW6" s="65" t="s">
        <v>104</v>
      </c>
      <c r="CX6" s="59"/>
      <c r="CY6" s="62">
        <v>0.2</v>
      </c>
      <c r="CZ6" s="63"/>
      <c r="DA6" s="64" t="s">
        <v>178</v>
      </c>
      <c r="DB6" s="65" t="s">
        <v>106</v>
      </c>
      <c r="DC6" s="59"/>
      <c r="DD6" s="62">
        <v>0.2</v>
      </c>
      <c r="DE6" s="63"/>
      <c r="DF6" s="64" t="s">
        <v>179</v>
      </c>
      <c r="DG6" s="65" t="s">
        <v>108</v>
      </c>
      <c r="DH6" s="59"/>
      <c r="DI6" s="62">
        <v>0.2</v>
      </c>
      <c r="DJ6" s="63"/>
      <c r="DK6" s="64" t="s">
        <v>180</v>
      </c>
      <c r="DL6" s="65" t="s">
        <v>110</v>
      </c>
      <c r="DM6" s="59"/>
      <c r="DN6" s="62">
        <v>0.2</v>
      </c>
      <c r="DO6" s="63"/>
      <c r="DP6" s="64" t="s">
        <v>181</v>
      </c>
      <c r="DQ6" s="65" t="s">
        <v>112</v>
      </c>
      <c r="DR6" s="59"/>
      <c r="DS6" s="62">
        <v>0.2</v>
      </c>
      <c r="DT6" s="63"/>
      <c r="DU6" s="64" t="s">
        <v>182</v>
      </c>
      <c r="DV6" s="65" t="s">
        <v>114</v>
      </c>
      <c r="DW6" s="59"/>
      <c r="DX6" s="62">
        <v>0.2</v>
      </c>
      <c r="DY6" s="63"/>
      <c r="DZ6" s="64" t="s">
        <v>183</v>
      </c>
      <c r="EA6" s="65" t="s">
        <v>116</v>
      </c>
      <c r="EB6" s="59"/>
      <c r="EC6" s="62">
        <v>0.2</v>
      </c>
      <c r="ED6" s="63"/>
      <c r="EE6" s="64" t="s">
        <v>184</v>
      </c>
      <c r="EF6" s="65" t="s">
        <v>118</v>
      </c>
      <c r="EG6" s="59"/>
      <c r="EH6" s="62">
        <v>0.2</v>
      </c>
      <c r="EI6" s="63"/>
      <c r="EJ6" s="64" t="s">
        <v>184</v>
      </c>
      <c r="EK6" s="65" t="s">
        <v>118</v>
      </c>
      <c r="EL6" s="59"/>
      <c r="EM6" s="62">
        <v>0.2</v>
      </c>
      <c r="EN6" s="63"/>
      <c r="EO6" s="64" t="s">
        <v>184</v>
      </c>
      <c r="EP6" s="65" t="s">
        <v>118</v>
      </c>
      <c r="EQ6" s="59"/>
      <c r="ER6" s="62">
        <v>0.2</v>
      </c>
      <c r="ES6" s="63"/>
      <c r="ET6" s="64" t="s">
        <v>184</v>
      </c>
      <c r="EU6" s="65" t="s">
        <v>118</v>
      </c>
      <c r="EV6" s="59"/>
      <c r="EW6" s="62">
        <v>0.2</v>
      </c>
      <c r="EX6" s="63"/>
      <c r="EY6" s="64" t="s">
        <v>185</v>
      </c>
      <c r="EZ6" s="65" t="s">
        <v>114</v>
      </c>
      <c r="FA6" s="59"/>
      <c r="FB6" s="62">
        <v>0.2</v>
      </c>
      <c r="FC6" s="63"/>
      <c r="FD6" s="64" t="s">
        <v>186</v>
      </c>
      <c r="FE6" s="65" t="s">
        <v>121</v>
      </c>
      <c r="FF6" s="59"/>
      <c r="FG6" s="62">
        <v>0.2</v>
      </c>
      <c r="FH6" s="63"/>
      <c r="FI6" s="64" t="s">
        <v>187</v>
      </c>
      <c r="FJ6" s="65" t="s">
        <v>123</v>
      </c>
      <c r="FK6" s="59"/>
      <c r="FL6" s="62">
        <v>0.2</v>
      </c>
      <c r="FM6" s="63"/>
      <c r="FN6" s="64" t="s">
        <v>188</v>
      </c>
      <c r="FO6" s="65" t="s">
        <v>125</v>
      </c>
      <c r="FP6" s="59"/>
      <c r="FQ6" s="62">
        <v>0.2</v>
      </c>
      <c r="FR6" s="63"/>
      <c r="FS6" s="64" t="s">
        <v>189</v>
      </c>
      <c r="FT6" s="65" t="s">
        <v>127</v>
      </c>
      <c r="FU6" s="59"/>
      <c r="FV6" s="62">
        <v>0.2</v>
      </c>
      <c r="FW6" s="63"/>
      <c r="FX6" s="64" t="s">
        <v>190</v>
      </c>
      <c r="FY6" s="65" t="s">
        <v>127</v>
      </c>
      <c r="FZ6" s="59"/>
      <c r="GA6" s="62">
        <v>0.2</v>
      </c>
      <c r="GB6" s="63"/>
      <c r="GC6" s="64" t="s">
        <v>191</v>
      </c>
      <c r="GD6" s="65" t="s">
        <v>123</v>
      </c>
      <c r="GE6" s="59"/>
      <c r="GF6" s="62">
        <v>0.2</v>
      </c>
      <c r="GG6" s="63"/>
      <c r="GH6" s="64" t="s">
        <v>192</v>
      </c>
      <c r="GI6" s="65" t="s">
        <v>116</v>
      </c>
      <c r="GJ6" s="59"/>
      <c r="GK6" s="62">
        <v>0.2</v>
      </c>
      <c r="GL6" s="63"/>
      <c r="GM6" s="64" t="s">
        <v>193</v>
      </c>
      <c r="GN6" s="65" t="s">
        <v>132</v>
      </c>
      <c r="GO6" s="59"/>
      <c r="GP6" s="62">
        <v>0.2</v>
      </c>
      <c r="GQ6" s="63"/>
      <c r="GR6" s="66" t="s">
        <v>194</v>
      </c>
      <c r="GS6" s="65" t="s">
        <v>132</v>
      </c>
      <c r="GT6" s="59"/>
      <c r="GU6" s="62">
        <v>0.2</v>
      </c>
      <c r="GV6" s="63"/>
      <c r="GW6" s="64" t="s">
        <v>195</v>
      </c>
      <c r="GX6" s="65" t="s">
        <v>132</v>
      </c>
      <c r="GY6" s="59"/>
      <c r="GZ6" s="62">
        <v>0.2</v>
      </c>
      <c r="HA6" s="63"/>
      <c r="HB6" s="66" t="s">
        <v>194</v>
      </c>
      <c r="HC6" s="65" t="s">
        <v>132</v>
      </c>
      <c r="HD6" s="59"/>
      <c r="HE6" s="62">
        <v>0.2</v>
      </c>
      <c r="HF6" s="63"/>
      <c r="HG6" s="64" t="s">
        <v>133</v>
      </c>
      <c r="HH6" s="65" t="s">
        <v>132</v>
      </c>
      <c r="HI6" s="59"/>
      <c r="HJ6" s="62">
        <v>0.2</v>
      </c>
      <c r="HK6" s="63"/>
      <c r="HL6" s="64" t="s">
        <v>196</v>
      </c>
      <c r="HM6" s="65" t="s">
        <v>135</v>
      </c>
      <c r="HN6" s="59"/>
      <c r="HO6" s="62">
        <v>0.2</v>
      </c>
      <c r="HP6" s="63"/>
      <c r="HQ6" s="64" t="s">
        <v>197</v>
      </c>
      <c r="HR6" s="65" t="s">
        <v>135</v>
      </c>
      <c r="HS6" s="59"/>
      <c r="HT6" s="62">
        <v>0.2</v>
      </c>
      <c r="HU6" s="63"/>
      <c r="HV6" s="64" t="s">
        <v>198</v>
      </c>
      <c r="HW6" s="65" t="s">
        <v>135</v>
      </c>
      <c r="HX6" s="59"/>
      <c r="HY6" s="62">
        <v>0.2</v>
      </c>
      <c r="HZ6" s="63"/>
      <c r="IA6" s="64" t="s">
        <v>197</v>
      </c>
      <c r="IB6" s="65" t="s">
        <v>135</v>
      </c>
      <c r="IC6" s="59"/>
      <c r="ID6" s="62">
        <v>0.2</v>
      </c>
      <c r="IE6" s="63"/>
      <c r="IF6" s="64" t="s">
        <v>199</v>
      </c>
      <c r="IG6" s="65" t="s">
        <v>135</v>
      </c>
      <c r="IH6" s="59"/>
      <c r="II6" s="62">
        <v>0.2</v>
      </c>
      <c r="IJ6" s="63"/>
      <c r="IK6" s="64" t="s">
        <v>200</v>
      </c>
      <c r="IL6" s="65" t="s">
        <v>140</v>
      </c>
      <c r="IM6" s="59"/>
      <c r="IN6" s="62">
        <v>0.2</v>
      </c>
      <c r="IO6" s="63"/>
      <c r="IP6" s="64" t="s">
        <v>201</v>
      </c>
      <c r="IQ6" s="65" t="s">
        <v>140</v>
      </c>
      <c r="IR6" s="59"/>
      <c r="IS6" s="62">
        <v>0.2</v>
      </c>
      <c r="IT6" s="63"/>
      <c r="IU6" s="64" t="s">
        <v>202</v>
      </c>
      <c r="IV6" s="65" t="s">
        <v>140</v>
      </c>
      <c r="IW6" s="59"/>
      <c r="IX6" s="62">
        <v>0.2</v>
      </c>
      <c r="IY6" s="63"/>
      <c r="IZ6" s="64" t="s">
        <v>143</v>
      </c>
      <c r="JA6" s="67" t="s">
        <v>144</v>
      </c>
      <c r="JB6" s="59"/>
      <c r="JC6" s="62">
        <v>0.2</v>
      </c>
      <c r="JD6" s="63"/>
      <c r="JE6" s="64" t="s">
        <v>143</v>
      </c>
      <c r="JF6" s="67" t="s">
        <v>144</v>
      </c>
      <c r="JG6" s="59"/>
      <c r="JH6" s="62">
        <v>0.2</v>
      </c>
      <c r="JI6" s="63"/>
      <c r="JJ6" s="64" t="s">
        <v>203</v>
      </c>
      <c r="JK6" s="65" t="s">
        <v>146</v>
      </c>
      <c r="JL6" s="59"/>
      <c r="JM6" s="62">
        <v>0.2</v>
      </c>
      <c r="JN6" s="63"/>
      <c r="JO6" s="64" t="s">
        <v>204</v>
      </c>
      <c r="JP6" s="65" t="s">
        <v>146</v>
      </c>
      <c r="JQ6" s="59"/>
      <c r="JR6" s="62">
        <v>0.2</v>
      </c>
      <c r="JS6" s="63"/>
      <c r="JT6" s="64" t="s">
        <v>205</v>
      </c>
      <c r="JU6" s="65" t="s">
        <v>146</v>
      </c>
      <c r="JV6" s="59"/>
      <c r="JW6" s="51"/>
      <c r="JX6" s="59"/>
      <c r="JY6" s="62">
        <v>0.2</v>
      </c>
      <c r="JZ6" s="63"/>
      <c r="KA6" s="64" t="s">
        <v>206</v>
      </c>
      <c r="KB6" s="65" t="s">
        <v>150</v>
      </c>
      <c r="KC6" s="59"/>
      <c r="KD6" s="62">
        <v>0.2</v>
      </c>
      <c r="KE6" s="63"/>
      <c r="KF6" s="64" t="s">
        <v>207</v>
      </c>
      <c r="KG6" s="65" t="s">
        <v>150</v>
      </c>
      <c r="KH6" s="59"/>
      <c r="KI6" s="62">
        <v>0.2</v>
      </c>
      <c r="KJ6" s="63"/>
      <c r="KK6" s="64" t="s">
        <v>208</v>
      </c>
      <c r="KL6" s="65" t="s">
        <v>209</v>
      </c>
      <c r="KM6" s="59"/>
      <c r="KN6" s="62">
        <v>0.2</v>
      </c>
      <c r="KO6" s="63"/>
      <c r="KP6" s="64" t="s">
        <v>155</v>
      </c>
      <c r="KQ6" s="65" t="s">
        <v>209</v>
      </c>
      <c r="KR6" s="59"/>
      <c r="KS6" s="62">
        <v>0.2</v>
      </c>
      <c r="KT6" s="63"/>
      <c r="KU6" s="64" t="s">
        <v>210</v>
      </c>
      <c r="KV6" s="65" t="s">
        <v>209</v>
      </c>
      <c r="KW6" s="59"/>
      <c r="KX6" s="62">
        <v>0.2</v>
      </c>
      <c r="KY6" s="63"/>
      <c r="KZ6" s="64" t="s">
        <v>211</v>
      </c>
      <c r="LA6" s="65" t="s">
        <v>209</v>
      </c>
      <c r="LB6" s="59"/>
      <c r="LC6" s="62">
        <v>0.2</v>
      </c>
      <c r="LD6" s="63"/>
      <c r="LE6" s="64" t="s">
        <v>212</v>
      </c>
      <c r="LF6" s="65" t="s">
        <v>209</v>
      </c>
      <c r="LG6" s="59"/>
      <c r="LH6" s="62">
        <v>0.2</v>
      </c>
      <c r="LI6" s="63"/>
      <c r="LJ6" s="64" t="s">
        <v>213</v>
      </c>
      <c r="LK6" s="65" t="s">
        <v>209</v>
      </c>
      <c r="LL6" s="59"/>
      <c r="LM6" s="62">
        <v>0.2</v>
      </c>
      <c r="LN6" s="63"/>
      <c r="LO6" s="64" t="s">
        <v>214</v>
      </c>
      <c r="LP6" s="65" t="s">
        <v>209</v>
      </c>
      <c r="LQ6" s="59"/>
      <c r="LR6" s="62">
        <v>0.2</v>
      </c>
      <c r="LS6" s="63"/>
      <c r="LT6" s="64" t="s">
        <v>215</v>
      </c>
      <c r="LU6" s="65" t="s">
        <v>209</v>
      </c>
      <c r="LV6" s="59"/>
      <c r="LW6" s="62">
        <v>0.2</v>
      </c>
      <c r="LX6" s="63"/>
      <c r="LY6" s="64" t="s">
        <v>216</v>
      </c>
      <c r="LZ6" s="65" t="s">
        <v>209</v>
      </c>
      <c r="MA6" s="61"/>
      <c r="MB6" s="29"/>
    </row>
    <row r="7" ht="23.25" customHeight="1">
      <c r="A7" s="23"/>
      <c r="B7" s="54"/>
      <c r="C7" s="68">
        <v>0.1</v>
      </c>
      <c r="D7" s="69"/>
      <c r="E7" s="70" t="s">
        <v>217</v>
      </c>
      <c r="F7" s="71">
        <v>44231.0</v>
      </c>
      <c r="G7" s="59"/>
      <c r="H7" s="68">
        <v>0.1</v>
      </c>
      <c r="I7" s="69"/>
      <c r="J7" s="70" t="s">
        <v>218</v>
      </c>
      <c r="K7" s="71">
        <v>44625.0</v>
      </c>
      <c r="L7" s="59"/>
      <c r="M7" s="68">
        <v>0.1</v>
      </c>
      <c r="N7" s="69"/>
      <c r="O7" s="70" t="s">
        <v>219</v>
      </c>
      <c r="P7" s="71">
        <v>44625.0</v>
      </c>
      <c r="Q7" s="59"/>
      <c r="R7" s="68">
        <v>0.1</v>
      </c>
      <c r="S7" s="69"/>
      <c r="T7" s="70" t="s">
        <v>220</v>
      </c>
      <c r="U7" s="71">
        <v>45022.0</v>
      </c>
      <c r="V7" s="59"/>
      <c r="W7" s="68">
        <v>0.1</v>
      </c>
      <c r="X7" s="69"/>
      <c r="Y7" s="70" t="s">
        <v>221</v>
      </c>
      <c r="Z7" s="71">
        <v>44625.0</v>
      </c>
      <c r="AA7" s="59"/>
      <c r="AB7" s="68">
        <v>0.1</v>
      </c>
      <c r="AC7" s="69"/>
      <c r="AD7" s="70" t="s">
        <v>222</v>
      </c>
      <c r="AE7" s="71">
        <v>44657.0</v>
      </c>
      <c r="AF7" s="59"/>
      <c r="AG7" s="68">
        <v>0.1</v>
      </c>
      <c r="AH7" s="69"/>
      <c r="AI7" s="70" t="s">
        <v>223</v>
      </c>
      <c r="AJ7" s="71">
        <v>44657.0</v>
      </c>
      <c r="AK7" s="59"/>
      <c r="AL7" s="68">
        <v>0.1</v>
      </c>
      <c r="AM7" s="69"/>
      <c r="AN7" s="70" t="s">
        <v>224</v>
      </c>
      <c r="AO7" s="71">
        <v>44751.0</v>
      </c>
      <c r="AP7" s="59"/>
      <c r="AQ7" s="68">
        <v>0.1</v>
      </c>
      <c r="AR7" s="69"/>
      <c r="AS7" s="70" t="s">
        <v>178</v>
      </c>
      <c r="AT7" s="71">
        <v>44751.0</v>
      </c>
      <c r="AU7" s="59"/>
      <c r="AV7" s="68">
        <v>0.1</v>
      </c>
      <c r="AW7" s="69"/>
      <c r="AX7" s="70" t="s">
        <v>225</v>
      </c>
      <c r="AY7" s="71">
        <v>44846.0</v>
      </c>
      <c r="AZ7" s="59"/>
      <c r="BA7" s="68">
        <v>0.1</v>
      </c>
      <c r="BB7" s="69"/>
      <c r="BC7" s="70" t="s">
        <v>226</v>
      </c>
      <c r="BD7" s="71">
        <v>44909.0</v>
      </c>
      <c r="BE7" s="59"/>
      <c r="BF7" s="68">
        <v>0.1</v>
      </c>
      <c r="BG7" s="69"/>
      <c r="BH7" s="70" t="s">
        <v>227</v>
      </c>
      <c r="BI7" s="71">
        <v>44909.0</v>
      </c>
      <c r="BJ7" s="59"/>
      <c r="BK7" s="68">
        <v>0.1</v>
      </c>
      <c r="BL7" s="69"/>
      <c r="BM7" s="70" t="s">
        <v>228</v>
      </c>
      <c r="BN7" s="71">
        <v>44909.0</v>
      </c>
      <c r="BO7" s="59"/>
      <c r="BP7" s="68">
        <v>0.1</v>
      </c>
      <c r="BQ7" s="69"/>
      <c r="BR7" s="70" t="s">
        <v>84</v>
      </c>
      <c r="BS7" s="71" t="s">
        <v>95</v>
      </c>
      <c r="BT7" s="59"/>
      <c r="BU7" s="68">
        <v>0.1</v>
      </c>
      <c r="BV7" s="69"/>
      <c r="BW7" s="70" t="s">
        <v>229</v>
      </c>
      <c r="BX7" s="71" t="s">
        <v>97</v>
      </c>
      <c r="BY7" s="59"/>
      <c r="BZ7" s="68">
        <v>0.1</v>
      </c>
      <c r="CA7" s="69"/>
      <c r="CB7" s="70" t="s">
        <v>230</v>
      </c>
      <c r="CC7" s="71" t="s">
        <v>99</v>
      </c>
      <c r="CD7" s="59"/>
      <c r="CE7" s="68">
        <v>0.1</v>
      </c>
      <c r="CF7" s="69"/>
      <c r="CG7" s="70" t="s">
        <v>231</v>
      </c>
      <c r="CH7" s="71" t="s">
        <v>101</v>
      </c>
      <c r="CI7" s="59"/>
      <c r="CJ7" s="68">
        <v>0.1</v>
      </c>
      <c r="CK7" s="69"/>
      <c r="CL7" s="70" t="s">
        <v>232</v>
      </c>
      <c r="CM7" s="71" t="s">
        <v>99</v>
      </c>
      <c r="CN7" s="59"/>
      <c r="CO7" s="68">
        <v>0.1</v>
      </c>
      <c r="CP7" s="69"/>
      <c r="CQ7" s="70" t="s">
        <v>233</v>
      </c>
      <c r="CR7" s="71" t="s">
        <v>104</v>
      </c>
      <c r="CS7" s="59"/>
      <c r="CT7" s="68">
        <v>0.1</v>
      </c>
      <c r="CU7" s="69"/>
      <c r="CV7" s="70" t="s">
        <v>234</v>
      </c>
      <c r="CW7" s="71" t="s">
        <v>104</v>
      </c>
      <c r="CX7" s="59"/>
      <c r="CY7" s="68">
        <v>0.1</v>
      </c>
      <c r="CZ7" s="69"/>
      <c r="DA7" s="70" t="s">
        <v>235</v>
      </c>
      <c r="DB7" s="71" t="s">
        <v>106</v>
      </c>
      <c r="DC7" s="59"/>
      <c r="DD7" s="68">
        <v>0.1</v>
      </c>
      <c r="DE7" s="69"/>
      <c r="DF7" s="70" t="s">
        <v>236</v>
      </c>
      <c r="DG7" s="71" t="s">
        <v>108</v>
      </c>
      <c r="DH7" s="59"/>
      <c r="DI7" s="68">
        <v>0.1</v>
      </c>
      <c r="DJ7" s="69"/>
      <c r="DK7" s="70" t="s">
        <v>237</v>
      </c>
      <c r="DL7" s="71" t="s">
        <v>110</v>
      </c>
      <c r="DM7" s="59"/>
      <c r="DN7" s="68">
        <v>0.1</v>
      </c>
      <c r="DO7" s="69"/>
      <c r="DP7" s="70" t="s">
        <v>238</v>
      </c>
      <c r="DQ7" s="71" t="s">
        <v>112</v>
      </c>
      <c r="DR7" s="59"/>
      <c r="DS7" s="68">
        <v>0.1</v>
      </c>
      <c r="DT7" s="69"/>
      <c r="DU7" s="70" t="s">
        <v>239</v>
      </c>
      <c r="DV7" s="71" t="s">
        <v>114</v>
      </c>
      <c r="DW7" s="59"/>
      <c r="DX7" s="68">
        <v>0.1</v>
      </c>
      <c r="DY7" s="69"/>
      <c r="DZ7" s="70" t="s">
        <v>240</v>
      </c>
      <c r="EA7" s="71" t="s">
        <v>116</v>
      </c>
      <c r="EB7" s="59"/>
      <c r="EC7" s="68">
        <v>0.1</v>
      </c>
      <c r="ED7" s="69"/>
      <c r="EE7" s="70" t="s">
        <v>241</v>
      </c>
      <c r="EF7" s="71" t="s">
        <v>118</v>
      </c>
      <c r="EG7" s="59"/>
      <c r="EH7" s="68">
        <v>0.1</v>
      </c>
      <c r="EI7" s="69"/>
      <c r="EJ7" s="70" t="s">
        <v>241</v>
      </c>
      <c r="EK7" s="71" t="s">
        <v>118</v>
      </c>
      <c r="EL7" s="59"/>
      <c r="EM7" s="68">
        <v>0.1</v>
      </c>
      <c r="EN7" s="69"/>
      <c r="EO7" s="70" t="s">
        <v>241</v>
      </c>
      <c r="EP7" s="71" t="s">
        <v>118</v>
      </c>
      <c r="EQ7" s="59"/>
      <c r="ER7" s="68">
        <v>0.1</v>
      </c>
      <c r="ES7" s="69"/>
      <c r="ET7" s="70" t="s">
        <v>241</v>
      </c>
      <c r="EU7" s="71" t="s">
        <v>118</v>
      </c>
      <c r="EV7" s="59"/>
      <c r="EW7" s="68">
        <v>0.1</v>
      </c>
      <c r="EX7" s="69"/>
      <c r="EY7" s="70" t="s">
        <v>242</v>
      </c>
      <c r="EZ7" s="71" t="s">
        <v>114</v>
      </c>
      <c r="FA7" s="59"/>
      <c r="FB7" s="68">
        <v>0.1</v>
      </c>
      <c r="FC7" s="69"/>
      <c r="FD7" s="70" t="s">
        <v>243</v>
      </c>
      <c r="FE7" s="71" t="s">
        <v>121</v>
      </c>
      <c r="FF7" s="59"/>
      <c r="FG7" s="68">
        <v>0.1</v>
      </c>
      <c r="FH7" s="69"/>
      <c r="FI7" s="70" t="s">
        <v>244</v>
      </c>
      <c r="FJ7" s="71" t="s">
        <v>123</v>
      </c>
      <c r="FK7" s="59"/>
      <c r="FL7" s="68">
        <v>0.1</v>
      </c>
      <c r="FM7" s="69"/>
      <c r="FN7" s="70" t="s">
        <v>245</v>
      </c>
      <c r="FO7" s="71" t="s">
        <v>125</v>
      </c>
      <c r="FP7" s="59"/>
      <c r="FQ7" s="68">
        <v>0.1</v>
      </c>
      <c r="FR7" s="69"/>
      <c r="FS7" s="70" t="s">
        <v>246</v>
      </c>
      <c r="FT7" s="71" t="s">
        <v>127</v>
      </c>
      <c r="FU7" s="59"/>
      <c r="FV7" s="68">
        <v>0.1</v>
      </c>
      <c r="FW7" s="69"/>
      <c r="FX7" s="70" t="s">
        <v>153</v>
      </c>
      <c r="FY7" s="71" t="s">
        <v>127</v>
      </c>
      <c r="FZ7" s="59"/>
      <c r="GA7" s="68">
        <v>0.1</v>
      </c>
      <c r="GB7" s="69"/>
      <c r="GC7" s="70" t="s">
        <v>247</v>
      </c>
      <c r="GD7" s="71" t="s">
        <v>123</v>
      </c>
      <c r="GE7" s="59"/>
      <c r="GF7" s="68">
        <v>0.1</v>
      </c>
      <c r="GG7" s="69"/>
      <c r="GH7" s="70" t="s">
        <v>248</v>
      </c>
      <c r="GI7" s="71" t="s">
        <v>116</v>
      </c>
      <c r="GJ7" s="59"/>
      <c r="GK7" s="68">
        <v>0.1</v>
      </c>
      <c r="GL7" s="69"/>
      <c r="GM7" s="70" t="s">
        <v>249</v>
      </c>
      <c r="GN7" s="71" t="s">
        <v>132</v>
      </c>
      <c r="GO7" s="59"/>
      <c r="GP7" s="68">
        <v>0.1</v>
      </c>
      <c r="GQ7" s="69"/>
      <c r="GR7" s="70" t="s">
        <v>250</v>
      </c>
      <c r="GS7" s="71" t="s">
        <v>132</v>
      </c>
      <c r="GT7" s="59"/>
      <c r="GU7" s="68">
        <v>0.1</v>
      </c>
      <c r="GV7" s="69"/>
      <c r="GW7" s="70" t="s">
        <v>251</v>
      </c>
      <c r="GX7" s="71" t="s">
        <v>132</v>
      </c>
      <c r="GY7" s="59"/>
      <c r="GZ7" s="68">
        <v>0.1</v>
      </c>
      <c r="HA7" s="69"/>
      <c r="HB7" s="70" t="s">
        <v>251</v>
      </c>
      <c r="HC7" s="71" t="s">
        <v>132</v>
      </c>
      <c r="HD7" s="59"/>
      <c r="HE7" s="68">
        <v>0.1</v>
      </c>
      <c r="HF7" s="69"/>
      <c r="HG7" s="70" t="s">
        <v>251</v>
      </c>
      <c r="HH7" s="71" t="s">
        <v>132</v>
      </c>
      <c r="HI7" s="59"/>
      <c r="HJ7" s="68">
        <v>0.1</v>
      </c>
      <c r="HK7" s="69"/>
      <c r="HL7" s="70" t="s">
        <v>243</v>
      </c>
      <c r="HM7" s="71" t="s">
        <v>135</v>
      </c>
      <c r="HN7" s="59"/>
      <c r="HO7" s="68">
        <v>0.1</v>
      </c>
      <c r="HP7" s="69"/>
      <c r="HQ7" s="70" t="s">
        <v>120</v>
      </c>
      <c r="HR7" s="71" t="s">
        <v>135</v>
      </c>
      <c r="HS7" s="59"/>
      <c r="HT7" s="68">
        <v>0.1</v>
      </c>
      <c r="HU7" s="69"/>
      <c r="HV7" s="70" t="s">
        <v>252</v>
      </c>
      <c r="HW7" s="71" t="s">
        <v>135</v>
      </c>
      <c r="HX7" s="59"/>
      <c r="HY7" s="68">
        <v>0.1</v>
      </c>
      <c r="HZ7" s="69"/>
      <c r="IA7" s="70" t="s">
        <v>252</v>
      </c>
      <c r="IB7" s="71" t="s">
        <v>135</v>
      </c>
      <c r="IC7" s="59"/>
      <c r="ID7" s="68">
        <v>0.1</v>
      </c>
      <c r="IE7" s="69"/>
      <c r="IF7" s="70" t="s">
        <v>253</v>
      </c>
      <c r="IG7" s="71" t="s">
        <v>135</v>
      </c>
      <c r="IH7" s="59"/>
      <c r="II7" s="68">
        <v>0.1</v>
      </c>
      <c r="IJ7" s="69"/>
      <c r="IK7" s="70" t="s">
        <v>254</v>
      </c>
      <c r="IL7" s="71" t="s">
        <v>140</v>
      </c>
      <c r="IM7" s="59"/>
      <c r="IN7" s="68">
        <v>0.1</v>
      </c>
      <c r="IO7" s="69"/>
      <c r="IP7" s="70" t="s">
        <v>130</v>
      </c>
      <c r="IQ7" s="71" t="s">
        <v>140</v>
      </c>
      <c r="IR7" s="59"/>
      <c r="IS7" s="68">
        <v>0.1</v>
      </c>
      <c r="IT7" s="69"/>
      <c r="IU7" s="70" t="s">
        <v>255</v>
      </c>
      <c r="IV7" s="71" t="s">
        <v>140</v>
      </c>
      <c r="IW7" s="59"/>
      <c r="IX7" s="68">
        <v>0.1</v>
      </c>
      <c r="IY7" s="69"/>
      <c r="IZ7" s="70" t="s">
        <v>256</v>
      </c>
      <c r="JA7" s="72" t="s">
        <v>144</v>
      </c>
      <c r="JB7" s="59"/>
      <c r="JC7" s="68">
        <v>0.1</v>
      </c>
      <c r="JD7" s="69"/>
      <c r="JE7" s="70" t="s">
        <v>257</v>
      </c>
      <c r="JF7" s="72" t="s">
        <v>144</v>
      </c>
      <c r="JG7" s="59"/>
      <c r="JH7" s="68">
        <v>0.1</v>
      </c>
      <c r="JI7" s="69"/>
      <c r="JJ7" s="70" t="s">
        <v>258</v>
      </c>
      <c r="JK7" s="71" t="s">
        <v>146</v>
      </c>
      <c r="JL7" s="59"/>
      <c r="JM7" s="68">
        <v>0.1</v>
      </c>
      <c r="JN7" s="69"/>
      <c r="JO7" s="70" t="s">
        <v>259</v>
      </c>
      <c r="JP7" s="71" t="s">
        <v>146</v>
      </c>
      <c r="JQ7" s="59"/>
      <c r="JR7" s="68">
        <v>0.1</v>
      </c>
      <c r="JS7" s="69"/>
      <c r="JT7" s="70" t="s">
        <v>260</v>
      </c>
      <c r="JU7" s="71" t="s">
        <v>146</v>
      </c>
      <c r="JV7" s="59"/>
      <c r="JW7" s="51"/>
      <c r="JX7" s="59"/>
      <c r="JY7" s="68">
        <v>0.1</v>
      </c>
      <c r="JZ7" s="69"/>
      <c r="KA7" s="73" t="s">
        <v>261</v>
      </c>
      <c r="KB7" s="71" t="s">
        <v>150</v>
      </c>
      <c r="KC7" s="59"/>
      <c r="KD7" s="68">
        <v>0.1</v>
      </c>
      <c r="KE7" s="69"/>
      <c r="KF7" s="70" t="s">
        <v>262</v>
      </c>
      <c r="KG7" s="71" t="s">
        <v>150</v>
      </c>
      <c r="KH7" s="59"/>
      <c r="KI7" s="68">
        <v>0.1</v>
      </c>
      <c r="KJ7" s="69"/>
      <c r="KK7" s="70" t="s">
        <v>263</v>
      </c>
      <c r="KL7" s="71" t="s">
        <v>209</v>
      </c>
      <c r="KM7" s="59"/>
      <c r="KN7" s="68">
        <v>0.1</v>
      </c>
      <c r="KO7" s="69"/>
      <c r="KP7" s="70" t="s">
        <v>264</v>
      </c>
      <c r="KQ7" s="71" t="s">
        <v>209</v>
      </c>
      <c r="KR7" s="59"/>
      <c r="KS7" s="68">
        <v>0.1</v>
      </c>
      <c r="KT7" s="69"/>
      <c r="KU7" s="70" t="s">
        <v>265</v>
      </c>
      <c r="KV7" s="71" t="s">
        <v>209</v>
      </c>
      <c r="KW7" s="59"/>
      <c r="KX7" s="68">
        <v>0.1</v>
      </c>
      <c r="KY7" s="69"/>
      <c r="KZ7" s="70" t="s">
        <v>266</v>
      </c>
      <c r="LA7" s="71" t="s">
        <v>209</v>
      </c>
      <c r="LB7" s="59"/>
      <c r="LC7" s="68">
        <v>0.1</v>
      </c>
      <c r="LD7" s="69"/>
      <c r="LE7" s="70" t="s">
        <v>267</v>
      </c>
      <c r="LF7" s="71" t="s">
        <v>209</v>
      </c>
      <c r="LG7" s="59"/>
      <c r="LH7" s="68">
        <v>0.1</v>
      </c>
      <c r="LI7" s="69"/>
      <c r="LJ7" s="70" t="s">
        <v>158</v>
      </c>
      <c r="LK7" s="71" t="s">
        <v>209</v>
      </c>
      <c r="LL7" s="59"/>
      <c r="LM7" s="68">
        <v>0.1</v>
      </c>
      <c r="LN7" s="69"/>
      <c r="LO7" s="70" t="s">
        <v>268</v>
      </c>
      <c r="LP7" s="71" t="s">
        <v>209</v>
      </c>
      <c r="LQ7" s="59"/>
      <c r="LR7" s="68">
        <v>0.1</v>
      </c>
      <c r="LS7" s="69"/>
      <c r="LT7" s="70" t="s">
        <v>269</v>
      </c>
      <c r="LU7" s="71" t="s">
        <v>150</v>
      </c>
      <c r="LV7" s="59"/>
      <c r="LW7" s="68">
        <v>0.1</v>
      </c>
      <c r="LX7" s="69"/>
      <c r="LY7" s="70" t="s">
        <v>270</v>
      </c>
      <c r="LZ7" s="71" t="s">
        <v>209</v>
      </c>
      <c r="MA7" s="61"/>
      <c r="MB7" s="29"/>
    </row>
    <row r="8" ht="23.25" customHeight="1">
      <c r="A8" s="23"/>
      <c r="B8" s="54"/>
      <c r="C8" s="74">
        <v>0.1</v>
      </c>
      <c r="D8" s="75"/>
      <c r="E8" s="76" t="s">
        <v>271</v>
      </c>
      <c r="F8" s="77">
        <v>44231.0</v>
      </c>
      <c r="G8" s="59"/>
      <c r="H8" s="74">
        <v>0.1</v>
      </c>
      <c r="I8" s="75"/>
      <c r="J8" s="76" t="s">
        <v>225</v>
      </c>
      <c r="K8" s="77">
        <v>44625.0</v>
      </c>
      <c r="L8" s="59"/>
      <c r="M8" s="74">
        <v>0.1</v>
      </c>
      <c r="N8" s="75"/>
      <c r="O8" s="76" t="s">
        <v>272</v>
      </c>
      <c r="P8" s="77">
        <v>44625.0</v>
      </c>
      <c r="Q8" s="59"/>
      <c r="R8" s="74">
        <v>0.1</v>
      </c>
      <c r="S8" s="75"/>
      <c r="T8" s="76" t="s">
        <v>220</v>
      </c>
      <c r="U8" s="77">
        <v>45022.0</v>
      </c>
      <c r="V8" s="59"/>
      <c r="W8" s="74">
        <v>0.1</v>
      </c>
      <c r="X8" s="75"/>
      <c r="Y8" s="76" t="s">
        <v>273</v>
      </c>
      <c r="Z8" s="77">
        <v>44625.0</v>
      </c>
      <c r="AA8" s="59"/>
      <c r="AB8" s="74">
        <v>0.1</v>
      </c>
      <c r="AC8" s="75"/>
      <c r="AD8" s="76" t="s">
        <v>274</v>
      </c>
      <c r="AE8" s="77">
        <v>44657.0</v>
      </c>
      <c r="AF8" s="59"/>
      <c r="AG8" s="74">
        <v>0.1</v>
      </c>
      <c r="AH8" s="75"/>
      <c r="AI8" s="76" t="s">
        <v>275</v>
      </c>
      <c r="AJ8" s="77">
        <v>44657.0</v>
      </c>
      <c r="AK8" s="59"/>
      <c r="AL8" s="74">
        <v>0.1</v>
      </c>
      <c r="AM8" s="75"/>
      <c r="AN8" s="76" t="s">
        <v>276</v>
      </c>
      <c r="AO8" s="77">
        <v>44751.0</v>
      </c>
      <c r="AP8" s="59"/>
      <c r="AQ8" s="74">
        <v>0.1</v>
      </c>
      <c r="AR8" s="75"/>
      <c r="AS8" s="76" t="s">
        <v>277</v>
      </c>
      <c r="AT8" s="77">
        <v>44751.0</v>
      </c>
      <c r="AU8" s="59"/>
      <c r="AV8" s="74">
        <v>0.1</v>
      </c>
      <c r="AW8" s="75"/>
      <c r="AX8" s="76" t="s">
        <v>278</v>
      </c>
      <c r="AY8" s="77">
        <v>44846.0</v>
      </c>
      <c r="AZ8" s="59"/>
      <c r="BA8" s="74">
        <v>0.1</v>
      </c>
      <c r="BB8" s="75"/>
      <c r="BC8" s="76" t="s">
        <v>279</v>
      </c>
      <c r="BD8" s="77">
        <v>44909.0</v>
      </c>
      <c r="BE8" s="59"/>
      <c r="BF8" s="74">
        <v>0.1</v>
      </c>
      <c r="BG8" s="75"/>
      <c r="BH8" s="76" t="s">
        <v>280</v>
      </c>
      <c r="BI8" s="77">
        <v>44909.0</v>
      </c>
      <c r="BJ8" s="59"/>
      <c r="BK8" s="74">
        <v>0.1</v>
      </c>
      <c r="BL8" s="75"/>
      <c r="BM8" s="76" t="s">
        <v>224</v>
      </c>
      <c r="BN8" s="77">
        <v>44909.0</v>
      </c>
      <c r="BO8" s="59"/>
      <c r="BP8" s="74">
        <v>0.1</v>
      </c>
      <c r="BQ8" s="75"/>
      <c r="BR8" s="76" t="s">
        <v>281</v>
      </c>
      <c r="BS8" s="77" t="s">
        <v>95</v>
      </c>
      <c r="BT8" s="59"/>
      <c r="BU8" s="74">
        <v>0.1</v>
      </c>
      <c r="BV8" s="75"/>
      <c r="BW8" s="76" t="s">
        <v>282</v>
      </c>
      <c r="BX8" s="77" t="s">
        <v>97</v>
      </c>
      <c r="BY8" s="59"/>
      <c r="BZ8" s="74">
        <v>0.1</v>
      </c>
      <c r="CA8" s="75"/>
      <c r="CB8" s="76" t="s">
        <v>283</v>
      </c>
      <c r="CC8" s="77" t="s">
        <v>99</v>
      </c>
      <c r="CD8" s="59"/>
      <c r="CE8" s="74">
        <v>0.1</v>
      </c>
      <c r="CF8" s="75"/>
      <c r="CG8" s="76" t="s">
        <v>284</v>
      </c>
      <c r="CH8" s="77" t="s">
        <v>101</v>
      </c>
      <c r="CI8" s="59"/>
      <c r="CJ8" s="74">
        <v>0.1</v>
      </c>
      <c r="CK8" s="75"/>
      <c r="CL8" s="76" t="s">
        <v>285</v>
      </c>
      <c r="CM8" s="77" t="s">
        <v>99</v>
      </c>
      <c r="CN8" s="59"/>
      <c r="CO8" s="74">
        <v>0.1</v>
      </c>
      <c r="CP8" s="75"/>
      <c r="CQ8" s="76" t="s">
        <v>286</v>
      </c>
      <c r="CR8" s="77" t="s">
        <v>104</v>
      </c>
      <c r="CS8" s="59"/>
      <c r="CT8" s="74">
        <v>0.1</v>
      </c>
      <c r="CU8" s="75"/>
      <c r="CV8" s="76" t="s">
        <v>287</v>
      </c>
      <c r="CW8" s="77" t="s">
        <v>104</v>
      </c>
      <c r="CX8" s="59"/>
      <c r="CY8" s="74">
        <v>0.1</v>
      </c>
      <c r="CZ8" s="75"/>
      <c r="DA8" s="76" t="s">
        <v>288</v>
      </c>
      <c r="DB8" s="77" t="s">
        <v>106</v>
      </c>
      <c r="DC8" s="59"/>
      <c r="DD8" s="74">
        <v>0.1</v>
      </c>
      <c r="DE8" s="75"/>
      <c r="DF8" s="76" t="s">
        <v>289</v>
      </c>
      <c r="DG8" s="77" t="s">
        <v>108</v>
      </c>
      <c r="DH8" s="59"/>
      <c r="DI8" s="74">
        <v>0.1</v>
      </c>
      <c r="DJ8" s="75"/>
      <c r="DK8" s="76" t="s">
        <v>290</v>
      </c>
      <c r="DL8" s="77" t="s">
        <v>110</v>
      </c>
      <c r="DM8" s="59"/>
      <c r="DN8" s="74">
        <v>0.1</v>
      </c>
      <c r="DO8" s="75"/>
      <c r="DP8" s="76" t="s">
        <v>193</v>
      </c>
      <c r="DQ8" s="77" t="s">
        <v>112</v>
      </c>
      <c r="DR8" s="59"/>
      <c r="DS8" s="74">
        <v>0.1</v>
      </c>
      <c r="DT8" s="75"/>
      <c r="DU8" s="76" t="s">
        <v>239</v>
      </c>
      <c r="DV8" s="77" t="s">
        <v>114</v>
      </c>
      <c r="DW8" s="59"/>
      <c r="DX8" s="74">
        <v>0.1</v>
      </c>
      <c r="DY8" s="75"/>
      <c r="DZ8" s="76" t="s">
        <v>291</v>
      </c>
      <c r="EA8" s="77" t="s">
        <v>116</v>
      </c>
      <c r="EB8" s="59"/>
      <c r="EC8" s="74">
        <v>0.1</v>
      </c>
      <c r="ED8" s="75"/>
      <c r="EE8" s="76" t="s">
        <v>292</v>
      </c>
      <c r="EF8" s="77" t="s">
        <v>118</v>
      </c>
      <c r="EG8" s="59"/>
      <c r="EH8" s="74">
        <v>0.1</v>
      </c>
      <c r="EI8" s="75"/>
      <c r="EJ8" s="76" t="s">
        <v>292</v>
      </c>
      <c r="EK8" s="77" t="s">
        <v>118</v>
      </c>
      <c r="EL8" s="59"/>
      <c r="EM8" s="74">
        <v>0.1</v>
      </c>
      <c r="EN8" s="75"/>
      <c r="EO8" s="76" t="s">
        <v>293</v>
      </c>
      <c r="EP8" s="77" t="s">
        <v>118</v>
      </c>
      <c r="EQ8" s="59"/>
      <c r="ER8" s="74">
        <v>0.1</v>
      </c>
      <c r="ES8" s="75"/>
      <c r="ET8" s="76" t="s">
        <v>292</v>
      </c>
      <c r="EU8" s="77" t="s">
        <v>118</v>
      </c>
      <c r="EV8" s="59"/>
      <c r="EW8" s="74">
        <v>0.1</v>
      </c>
      <c r="EX8" s="75"/>
      <c r="EY8" s="76" t="s">
        <v>294</v>
      </c>
      <c r="EZ8" s="77" t="s">
        <v>114</v>
      </c>
      <c r="FA8" s="59"/>
      <c r="FB8" s="74">
        <v>0.1</v>
      </c>
      <c r="FC8" s="75"/>
      <c r="FD8" s="76" t="s">
        <v>253</v>
      </c>
      <c r="FE8" s="77" t="s">
        <v>121</v>
      </c>
      <c r="FF8" s="59"/>
      <c r="FG8" s="74">
        <v>0.1</v>
      </c>
      <c r="FH8" s="75"/>
      <c r="FI8" s="76" t="s">
        <v>133</v>
      </c>
      <c r="FJ8" s="77" t="s">
        <v>123</v>
      </c>
      <c r="FK8" s="59"/>
      <c r="FL8" s="74">
        <v>0.1</v>
      </c>
      <c r="FM8" s="75"/>
      <c r="FN8" s="76" t="s">
        <v>295</v>
      </c>
      <c r="FO8" s="77" t="s">
        <v>125</v>
      </c>
      <c r="FP8" s="59"/>
      <c r="FQ8" s="74">
        <v>0.1</v>
      </c>
      <c r="FR8" s="75"/>
      <c r="FS8" s="76" t="s">
        <v>296</v>
      </c>
      <c r="FT8" s="77" t="s">
        <v>127</v>
      </c>
      <c r="FU8" s="59"/>
      <c r="FV8" s="74">
        <v>0.1</v>
      </c>
      <c r="FW8" s="75"/>
      <c r="FX8" s="76" t="s">
        <v>153</v>
      </c>
      <c r="FY8" s="77" t="s">
        <v>127</v>
      </c>
      <c r="FZ8" s="59"/>
      <c r="GA8" s="74">
        <v>0.1</v>
      </c>
      <c r="GB8" s="75"/>
      <c r="GC8" s="76" t="s">
        <v>297</v>
      </c>
      <c r="GD8" s="77" t="s">
        <v>123</v>
      </c>
      <c r="GE8" s="59"/>
      <c r="GF8" s="74">
        <v>0.1</v>
      </c>
      <c r="GG8" s="75"/>
      <c r="GH8" s="76" t="s">
        <v>298</v>
      </c>
      <c r="GI8" s="77" t="s">
        <v>116</v>
      </c>
      <c r="GJ8" s="59"/>
      <c r="GK8" s="74">
        <v>0.1</v>
      </c>
      <c r="GL8" s="75"/>
      <c r="GM8" s="76" t="s">
        <v>249</v>
      </c>
      <c r="GN8" s="77" t="s">
        <v>132</v>
      </c>
      <c r="GO8" s="59"/>
      <c r="GP8" s="74">
        <v>0.1</v>
      </c>
      <c r="GQ8" s="75"/>
      <c r="GR8" s="76" t="s">
        <v>250</v>
      </c>
      <c r="GS8" s="77" t="s">
        <v>132</v>
      </c>
      <c r="GT8" s="59"/>
      <c r="GU8" s="74">
        <v>0.1</v>
      </c>
      <c r="GV8" s="75"/>
      <c r="GW8" s="76" t="s">
        <v>251</v>
      </c>
      <c r="GX8" s="77" t="s">
        <v>132</v>
      </c>
      <c r="GY8" s="59"/>
      <c r="GZ8" s="74">
        <v>0.1</v>
      </c>
      <c r="HA8" s="75"/>
      <c r="HB8" s="76" t="s">
        <v>251</v>
      </c>
      <c r="HC8" s="77" t="s">
        <v>132</v>
      </c>
      <c r="HD8" s="59"/>
      <c r="HE8" s="74">
        <v>0.1</v>
      </c>
      <c r="HF8" s="75"/>
      <c r="HG8" s="76" t="s">
        <v>251</v>
      </c>
      <c r="HH8" s="77" t="s">
        <v>132</v>
      </c>
      <c r="HI8" s="59"/>
      <c r="HJ8" s="74">
        <v>0.1</v>
      </c>
      <c r="HK8" s="75"/>
      <c r="HL8" s="76" t="s">
        <v>243</v>
      </c>
      <c r="HM8" s="77" t="s">
        <v>135</v>
      </c>
      <c r="HN8" s="59"/>
      <c r="HO8" s="74">
        <v>0.1</v>
      </c>
      <c r="HP8" s="75"/>
      <c r="HQ8" s="76" t="s">
        <v>299</v>
      </c>
      <c r="HR8" s="77" t="s">
        <v>135</v>
      </c>
      <c r="HS8" s="59"/>
      <c r="HT8" s="74">
        <v>0.1</v>
      </c>
      <c r="HU8" s="75"/>
      <c r="HV8" s="76" t="s">
        <v>252</v>
      </c>
      <c r="HW8" s="77" t="s">
        <v>135</v>
      </c>
      <c r="HX8" s="59"/>
      <c r="HY8" s="74">
        <v>0.1</v>
      </c>
      <c r="HZ8" s="75"/>
      <c r="IA8" s="76" t="s">
        <v>252</v>
      </c>
      <c r="IB8" s="77" t="s">
        <v>135</v>
      </c>
      <c r="IC8" s="59"/>
      <c r="ID8" s="74">
        <v>0.1</v>
      </c>
      <c r="IE8" s="75"/>
      <c r="IF8" s="76" t="s">
        <v>300</v>
      </c>
      <c r="IG8" s="77" t="s">
        <v>135</v>
      </c>
      <c r="IH8" s="59"/>
      <c r="II8" s="74">
        <v>0.1</v>
      </c>
      <c r="IJ8" s="75"/>
      <c r="IK8" s="76" t="s">
        <v>254</v>
      </c>
      <c r="IL8" s="77" t="s">
        <v>140</v>
      </c>
      <c r="IM8" s="59"/>
      <c r="IN8" s="74">
        <v>0.1</v>
      </c>
      <c r="IO8" s="75"/>
      <c r="IP8" s="76" t="s">
        <v>130</v>
      </c>
      <c r="IQ8" s="77" t="s">
        <v>140</v>
      </c>
      <c r="IR8" s="59"/>
      <c r="IS8" s="74">
        <v>0.1</v>
      </c>
      <c r="IT8" s="75"/>
      <c r="IU8" s="76" t="s">
        <v>255</v>
      </c>
      <c r="IV8" s="77" t="s">
        <v>140</v>
      </c>
      <c r="IW8" s="59"/>
      <c r="IX8" s="74">
        <v>0.1</v>
      </c>
      <c r="IY8" s="75"/>
      <c r="IZ8" s="76" t="s">
        <v>256</v>
      </c>
      <c r="JA8" s="78" t="s">
        <v>144</v>
      </c>
      <c r="JB8" s="59"/>
      <c r="JC8" s="74">
        <v>0.1</v>
      </c>
      <c r="JD8" s="75"/>
      <c r="JE8" s="76" t="s">
        <v>257</v>
      </c>
      <c r="JF8" s="78" t="s">
        <v>144</v>
      </c>
      <c r="JG8" s="59"/>
      <c r="JH8" s="74">
        <v>0.1</v>
      </c>
      <c r="JI8" s="75"/>
      <c r="JJ8" s="76" t="s">
        <v>301</v>
      </c>
      <c r="JK8" s="77" t="s">
        <v>146</v>
      </c>
      <c r="JL8" s="59"/>
      <c r="JM8" s="74">
        <v>0.1</v>
      </c>
      <c r="JN8" s="75"/>
      <c r="JO8" s="76" t="s">
        <v>254</v>
      </c>
      <c r="JP8" s="77" t="s">
        <v>146</v>
      </c>
      <c r="JQ8" s="59"/>
      <c r="JR8" s="74">
        <v>0.1</v>
      </c>
      <c r="JS8" s="75"/>
      <c r="JT8" s="76" t="s">
        <v>302</v>
      </c>
      <c r="JU8" s="77" t="s">
        <v>146</v>
      </c>
      <c r="JV8" s="59"/>
      <c r="JW8" s="51"/>
      <c r="JX8" s="59"/>
      <c r="JY8" s="74">
        <v>0.1</v>
      </c>
      <c r="JZ8" s="75"/>
      <c r="KA8" s="79" t="s">
        <v>261</v>
      </c>
      <c r="KB8" s="77" t="s">
        <v>150</v>
      </c>
      <c r="KC8" s="59"/>
      <c r="KD8" s="74">
        <v>0.1</v>
      </c>
      <c r="KE8" s="75"/>
      <c r="KF8" s="76" t="s">
        <v>262</v>
      </c>
      <c r="KG8" s="77" t="s">
        <v>150</v>
      </c>
      <c r="KH8" s="59"/>
      <c r="KI8" s="74">
        <v>0.1</v>
      </c>
      <c r="KJ8" s="75"/>
      <c r="KK8" s="76" t="s">
        <v>263</v>
      </c>
      <c r="KL8" s="77" t="s">
        <v>209</v>
      </c>
      <c r="KM8" s="59"/>
      <c r="KN8" s="74">
        <v>0.1</v>
      </c>
      <c r="KO8" s="75"/>
      <c r="KP8" s="76" t="s">
        <v>264</v>
      </c>
      <c r="KQ8" s="77" t="s">
        <v>209</v>
      </c>
      <c r="KR8" s="59"/>
      <c r="KS8" s="74">
        <v>0.1</v>
      </c>
      <c r="KT8" s="75"/>
      <c r="KU8" s="76" t="s">
        <v>265</v>
      </c>
      <c r="KV8" s="77" t="s">
        <v>209</v>
      </c>
      <c r="KW8" s="59"/>
      <c r="KX8" s="74">
        <v>0.1</v>
      </c>
      <c r="KY8" s="75"/>
      <c r="KZ8" s="76" t="s">
        <v>266</v>
      </c>
      <c r="LA8" s="77" t="s">
        <v>209</v>
      </c>
      <c r="LB8" s="59"/>
      <c r="LC8" s="74">
        <v>0.1</v>
      </c>
      <c r="LD8" s="75"/>
      <c r="LE8" s="76" t="s">
        <v>267</v>
      </c>
      <c r="LF8" s="77" t="s">
        <v>209</v>
      </c>
      <c r="LG8" s="59"/>
      <c r="LH8" s="74">
        <v>0.1</v>
      </c>
      <c r="LI8" s="75"/>
      <c r="LJ8" s="76" t="s">
        <v>158</v>
      </c>
      <c r="LK8" s="77" t="s">
        <v>209</v>
      </c>
      <c r="LL8" s="59"/>
      <c r="LM8" s="74">
        <v>0.1</v>
      </c>
      <c r="LN8" s="75"/>
      <c r="LO8" s="76" t="s">
        <v>268</v>
      </c>
      <c r="LP8" s="77" t="s">
        <v>209</v>
      </c>
      <c r="LQ8" s="59"/>
      <c r="LR8" s="74">
        <v>0.1</v>
      </c>
      <c r="LS8" s="75"/>
      <c r="LT8" s="76" t="s">
        <v>269</v>
      </c>
      <c r="LU8" s="77" t="s">
        <v>150</v>
      </c>
      <c r="LV8" s="59"/>
      <c r="LW8" s="74">
        <v>0.1</v>
      </c>
      <c r="LX8" s="75"/>
      <c r="LY8" s="76" t="s">
        <v>270</v>
      </c>
      <c r="LZ8" s="77" t="s">
        <v>209</v>
      </c>
      <c r="MA8" s="61"/>
      <c r="MB8" s="29"/>
    </row>
    <row r="9" ht="23.25" customHeight="1">
      <c r="A9" s="23"/>
      <c r="B9" s="54"/>
      <c r="C9" s="74">
        <v>0.1</v>
      </c>
      <c r="D9" s="80"/>
      <c r="E9" s="81" t="s">
        <v>100</v>
      </c>
      <c r="F9" s="82">
        <v>44231.0</v>
      </c>
      <c r="G9" s="59"/>
      <c r="H9" s="74">
        <v>0.1</v>
      </c>
      <c r="I9" s="80"/>
      <c r="J9" s="81" t="s">
        <v>303</v>
      </c>
      <c r="K9" s="82">
        <v>44625.0</v>
      </c>
      <c r="L9" s="59"/>
      <c r="M9" s="74">
        <v>0.1</v>
      </c>
      <c r="N9" s="80"/>
      <c r="O9" s="81" t="s">
        <v>96</v>
      </c>
      <c r="P9" s="82">
        <v>44625.0</v>
      </c>
      <c r="Q9" s="59"/>
      <c r="R9" s="74">
        <v>0.1</v>
      </c>
      <c r="S9" s="80"/>
      <c r="T9" s="81" t="s">
        <v>304</v>
      </c>
      <c r="U9" s="82">
        <v>45022.0</v>
      </c>
      <c r="V9" s="59"/>
      <c r="W9" s="74">
        <v>0.1</v>
      </c>
      <c r="X9" s="80"/>
      <c r="Y9" s="81" t="s">
        <v>305</v>
      </c>
      <c r="Z9" s="82">
        <v>44625.0</v>
      </c>
      <c r="AA9" s="59"/>
      <c r="AB9" s="74">
        <v>0.1</v>
      </c>
      <c r="AC9" s="80"/>
      <c r="AD9" s="81" t="s">
        <v>306</v>
      </c>
      <c r="AE9" s="82">
        <v>44657.0</v>
      </c>
      <c r="AF9" s="59"/>
      <c r="AG9" s="74">
        <v>0.1</v>
      </c>
      <c r="AH9" s="80"/>
      <c r="AI9" s="81" t="s">
        <v>307</v>
      </c>
      <c r="AJ9" s="82">
        <v>44657.0</v>
      </c>
      <c r="AK9" s="59"/>
      <c r="AL9" s="74">
        <v>0.1</v>
      </c>
      <c r="AM9" s="80"/>
      <c r="AN9" s="81" t="s">
        <v>308</v>
      </c>
      <c r="AO9" s="82">
        <v>44751.0</v>
      </c>
      <c r="AP9" s="59"/>
      <c r="AQ9" s="74">
        <v>0.1</v>
      </c>
      <c r="AR9" s="80"/>
      <c r="AS9" s="81" t="s">
        <v>309</v>
      </c>
      <c r="AT9" s="82">
        <v>44751.0</v>
      </c>
      <c r="AU9" s="59"/>
      <c r="AV9" s="74">
        <v>0.1</v>
      </c>
      <c r="AW9" s="80"/>
      <c r="AX9" s="81" t="s">
        <v>310</v>
      </c>
      <c r="AY9" s="82">
        <v>44846.0</v>
      </c>
      <c r="AZ9" s="59"/>
      <c r="BA9" s="74">
        <v>0.1</v>
      </c>
      <c r="BB9" s="80"/>
      <c r="BC9" s="81" t="s">
        <v>311</v>
      </c>
      <c r="BD9" s="82">
        <v>44909.0</v>
      </c>
      <c r="BE9" s="59"/>
      <c r="BF9" s="74">
        <v>0.1</v>
      </c>
      <c r="BG9" s="80"/>
      <c r="BH9" s="81" t="s">
        <v>153</v>
      </c>
      <c r="BI9" s="82">
        <v>44909.0</v>
      </c>
      <c r="BJ9" s="59"/>
      <c r="BK9" s="74">
        <v>0.1</v>
      </c>
      <c r="BL9" s="80"/>
      <c r="BM9" s="81" t="s">
        <v>312</v>
      </c>
      <c r="BN9" s="82">
        <v>44909.0</v>
      </c>
      <c r="BO9" s="59"/>
      <c r="BP9" s="74">
        <v>0.1</v>
      </c>
      <c r="BQ9" s="80"/>
      <c r="BR9" s="81" t="s">
        <v>313</v>
      </c>
      <c r="BS9" s="82" t="s">
        <v>95</v>
      </c>
      <c r="BT9" s="59"/>
      <c r="BU9" s="74">
        <v>0.1</v>
      </c>
      <c r="BV9" s="80"/>
      <c r="BW9" s="81" t="s">
        <v>314</v>
      </c>
      <c r="BX9" s="82" t="s">
        <v>97</v>
      </c>
      <c r="BY9" s="59"/>
      <c r="BZ9" s="74">
        <v>0.1</v>
      </c>
      <c r="CA9" s="80"/>
      <c r="CB9" s="81" t="s">
        <v>315</v>
      </c>
      <c r="CC9" s="82" t="s">
        <v>99</v>
      </c>
      <c r="CD9" s="59"/>
      <c r="CE9" s="74">
        <v>0.1</v>
      </c>
      <c r="CF9" s="80"/>
      <c r="CG9" s="81" t="s">
        <v>316</v>
      </c>
      <c r="CH9" s="82" t="s">
        <v>101</v>
      </c>
      <c r="CI9" s="59"/>
      <c r="CJ9" s="74">
        <v>0.1</v>
      </c>
      <c r="CK9" s="80"/>
      <c r="CL9" s="81" t="s">
        <v>317</v>
      </c>
      <c r="CM9" s="82" t="s">
        <v>99</v>
      </c>
      <c r="CN9" s="59"/>
      <c r="CO9" s="74">
        <v>0.1</v>
      </c>
      <c r="CP9" s="80"/>
      <c r="CQ9" s="81" t="s">
        <v>318</v>
      </c>
      <c r="CR9" s="82" t="s">
        <v>104</v>
      </c>
      <c r="CS9" s="59"/>
      <c r="CT9" s="74">
        <v>0.1</v>
      </c>
      <c r="CU9" s="80"/>
      <c r="CV9" s="81" t="s">
        <v>319</v>
      </c>
      <c r="CW9" s="82" t="s">
        <v>104</v>
      </c>
      <c r="CX9" s="59"/>
      <c r="CY9" s="74">
        <v>0.1</v>
      </c>
      <c r="CZ9" s="80"/>
      <c r="DA9" s="81" t="s">
        <v>320</v>
      </c>
      <c r="DB9" s="82" t="s">
        <v>106</v>
      </c>
      <c r="DC9" s="59"/>
      <c r="DD9" s="74">
        <v>0.1</v>
      </c>
      <c r="DE9" s="80"/>
      <c r="DF9" s="81" t="s">
        <v>321</v>
      </c>
      <c r="DG9" s="82" t="s">
        <v>108</v>
      </c>
      <c r="DH9" s="59"/>
      <c r="DI9" s="74">
        <v>0.1</v>
      </c>
      <c r="DJ9" s="80"/>
      <c r="DK9" s="81" t="s">
        <v>322</v>
      </c>
      <c r="DL9" s="82" t="s">
        <v>110</v>
      </c>
      <c r="DM9" s="59"/>
      <c r="DN9" s="74">
        <v>0.1</v>
      </c>
      <c r="DO9" s="80"/>
      <c r="DP9" s="81" t="s">
        <v>323</v>
      </c>
      <c r="DQ9" s="82" t="s">
        <v>112</v>
      </c>
      <c r="DR9" s="59"/>
      <c r="DS9" s="74">
        <v>0.1</v>
      </c>
      <c r="DT9" s="80"/>
      <c r="DU9" s="81" t="s">
        <v>324</v>
      </c>
      <c r="DV9" s="82" t="s">
        <v>114</v>
      </c>
      <c r="DW9" s="59"/>
      <c r="DX9" s="74">
        <v>0.1</v>
      </c>
      <c r="DY9" s="80"/>
      <c r="DZ9" s="81" t="s">
        <v>291</v>
      </c>
      <c r="EA9" s="82" t="s">
        <v>116</v>
      </c>
      <c r="EB9" s="59"/>
      <c r="EC9" s="74">
        <v>0.1</v>
      </c>
      <c r="ED9" s="80"/>
      <c r="EE9" s="81" t="s">
        <v>292</v>
      </c>
      <c r="EF9" s="82" t="s">
        <v>118</v>
      </c>
      <c r="EG9" s="59"/>
      <c r="EH9" s="74">
        <v>0.1</v>
      </c>
      <c r="EI9" s="80"/>
      <c r="EJ9" s="81" t="s">
        <v>292</v>
      </c>
      <c r="EK9" s="82" t="s">
        <v>118</v>
      </c>
      <c r="EL9" s="59"/>
      <c r="EM9" s="74">
        <v>0.1</v>
      </c>
      <c r="EN9" s="80"/>
      <c r="EO9" s="81" t="s">
        <v>293</v>
      </c>
      <c r="EP9" s="82" t="s">
        <v>118</v>
      </c>
      <c r="EQ9" s="59"/>
      <c r="ER9" s="74">
        <v>0.1</v>
      </c>
      <c r="ES9" s="80"/>
      <c r="ET9" s="81" t="s">
        <v>292</v>
      </c>
      <c r="EU9" s="82" t="s">
        <v>118</v>
      </c>
      <c r="EV9" s="59"/>
      <c r="EW9" s="74">
        <v>0.1</v>
      </c>
      <c r="EX9" s="80"/>
      <c r="EY9" s="81" t="s">
        <v>325</v>
      </c>
      <c r="EZ9" s="82" t="s">
        <v>114</v>
      </c>
      <c r="FA9" s="59"/>
      <c r="FB9" s="74">
        <v>0.1</v>
      </c>
      <c r="FC9" s="80"/>
      <c r="FD9" s="81" t="s">
        <v>326</v>
      </c>
      <c r="FE9" s="82" t="s">
        <v>121</v>
      </c>
      <c r="FF9" s="59"/>
      <c r="FG9" s="74">
        <v>0.1</v>
      </c>
      <c r="FH9" s="80"/>
      <c r="FI9" s="81" t="s">
        <v>327</v>
      </c>
      <c r="FJ9" s="82" t="s">
        <v>123</v>
      </c>
      <c r="FK9" s="59"/>
      <c r="FL9" s="74">
        <v>0.1</v>
      </c>
      <c r="FM9" s="80"/>
      <c r="FN9" s="81" t="s">
        <v>328</v>
      </c>
      <c r="FO9" s="82" t="s">
        <v>125</v>
      </c>
      <c r="FP9" s="59"/>
      <c r="FQ9" s="74">
        <v>0.1</v>
      </c>
      <c r="FR9" s="80"/>
      <c r="FS9" s="81" t="s">
        <v>248</v>
      </c>
      <c r="FT9" s="82" t="s">
        <v>127</v>
      </c>
      <c r="FU9" s="59"/>
      <c r="FV9" s="74">
        <v>0.1</v>
      </c>
      <c r="FW9" s="80"/>
      <c r="FX9" s="81" t="s">
        <v>329</v>
      </c>
      <c r="FY9" s="82" t="s">
        <v>127</v>
      </c>
      <c r="FZ9" s="59"/>
      <c r="GA9" s="74">
        <v>0.1</v>
      </c>
      <c r="GB9" s="80"/>
      <c r="GC9" s="81" t="s">
        <v>330</v>
      </c>
      <c r="GD9" s="82" t="s">
        <v>123</v>
      </c>
      <c r="GE9" s="59"/>
      <c r="GF9" s="74">
        <v>0.1</v>
      </c>
      <c r="GG9" s="80"/>
      <c r="GH9" s="81" t="s">
        <v>330</v>
      </c>
      <c r="GI9" s="82" t="s">
        <v>116</v>
      </c>
      <c r="GJ9" s="59"/>
      <c r="GK9" s="74">
        <v>0.1</v>
      </c>
      <c r="GL9" s="80"/>
      <c r="GM9" s="81" t="s">
        <v>331</v>
      </c>
      <c r="GN9" s="82" t="s">
        <v>132</v>
      </c>
      <c r="GO9" s="59"/>
      <c r="GP9" s="74">
        <v>0.1</v>
      </c>
      <c r="GQ9" s="80"/>
      <c r="GR9" s="81" t="s">
        <v>332</v>
      </c>
      <c r="GS9" s="82" t="s">
        <v>132</v>
      </c>
      <c r="GT9" s="59"/>
      <c r="GU9" s="74">
        <v>0.1</v>
      </c>
      <c r="GV9" s="80"/>
      <c r="GW9" s="81" t="s">
        <v>333</v>
      </c>
      <c r="GX9" s="82" t="s">
        <v>132</v>
      </c>
      <c r="GY9" s="59"/>
      <c r="GZ9" s="74">
        <v>0.1</v>
      </c>
      <c r="HA9" s="80"/>
      <c r="HB9" s="81" t="s">
        <v>188</v>
      </c>
      <c r="HC9" s="82" t="s">
        <v>132</v>
      </c>
      <c r="HD9" s="59"/>
      <c r="HE9" s="74">
        <v>0.1</v>
      </c>
      <c r="HF9" s="80"/>
      <c r="HG9" s="81" t="s">
        <v>188</v>
      </c>
      <c r="HH9" s="82" t="s">
        <v>132</v>
      </c>
      <c r="HI9" s="59"/>
      <c r="HJ9" s="74">
        <v>0.1</v>
      </c>
      <c r="HK9" s="80"/>
      <c r="HL9" s="81" t="s">
        <v>120</v>
      </c>
      <c r="HM9" s="82" t="s">
        <v>135</v>
      </c>
      <c r="HN9" s="59"/>
      <c r="HO9" s="74">
        <v>0.1</v>
      </c>
      <c r="HP9" s="80"/>
      <c r="HQ9" s="81" t="s">
        <v>334</v>
      </c>
      <c r="HR9" s="82" t="s">
        <v>135</v>
      </c>
      <c r="HS9" s="59"/>
      <c r="HT9" s="74">
        <v>0.1</v>
      </c>
      <c r="HU9" s="80"/>
      <c r="HV9" s="81" t="s">
        <v>335</v>
      </c>
      <c r="HW9" s="82" t="s">
        <v>135</v>
      </c>
      <c r="HX9" s="59"/>
      <c r="HY9" s="74">
        <v>0.1</v>
      </c>
      <c r="HZ9" s="80"/>
      <c r="IA9" s="81" t="s">
        <v>336</v>
      </c>
      <c r="IB9" s="82" t="s">
        <v>135</v>
      </c>
      <c r="IC9" s="59"/>
      <c r="ID9" s="74">
        <v>0.1</v>
      </c>
      <c r="IE9" s="80"/>
      <c r="IF9" s="81" t="s">
        <v>337</v>
      </c>
      <c r="IG9" s="82" t="s">
        <v>135</v>
      </c>
      <c r="IH9" s="59"/>
      <c r="II9" s="74">
        <v>0.1</v>
      </c>
      <c r="IJ9" s="80"/>
      <c r="IK9" s="81" t="s">
        <v>138</v>
      </c>
      <c r="IL9" s="82" t="s">
        <v>140</v>
      </c>
      <c r="IM9" s="59"/>
      <c r="IN9" s="74">
        <v>0.1</v>
      </c>
      <c r="IO9" s="80"/>
      <c r="IP9" s="81" t="s">
        <v>201</v>
      </c>
      <c r="IQ9" s="82" t="s">
        <v>140</v>
      </c>
      <c r="IR9" s="59"/>
      <c r="IS9" s="74">
        <v>0.1</v>
      </c>
      <c r="IT9" s="80"/>
      <c r="IU9" s="81" t="s">
        <v>338</v>
      </c>
      <c r="IV9" s="82" t="s">
        <v>140</v>
      </c>
      <c r="IW9" s="59"/>
      <c r="IX9" s="74">
        <v>0.1</v>
      </c>
      <c r="IY9" s="80"/>
      <c r="IZ9" s="81" t="s">
        <v>339</v>
      </c>
      <c r="JA9" s="83" t="s">
        <v>144</v>
      </c>
      <c r="JB9" s="59"/>
      <c r="JC9" s="74">
        <v>0.1</v>
      </c>
      <c r="JD9" s="80"/>
      <c r="JE9" s="81" t="s">
        <v>340</v>
      </c>
      <c r="JF9" s="83" t="s">
        <v>135</v>
      </c>
      <c r="JG9" s="59"/>
      <c r="JH9" s="74">
        <v>0.1</v>
      </c>
      <c r="JI9" s="80"/>
      <c r="JJ9" s="81" t="s">
        <v>196</v>
      </c>
      <c r="JK9" s="82" t="s">
        <v>146</v>
      </c>
      <c r="JL9" s="59"/>
      <c r="JM9" s="74">
        <v>0.1</v>
      </c>
      <c r="JN9" s="80"/>
      <c r="JO9" s="81" t="s">
        <v>255</v>
      </c>
      <c r="JP9" s="82" t="s">
        <v>146</v>
      </c>
      <c r="JQ9" s="59"/>
      <c r="JR9" s="74">
        <v>0.1</v>
      </c>
      <c r="JS9" s="80"/>
      <c r="JT9" s="81" t="s">
        <v>302</v>
      </c>
      <c r="JU9" s="82" t="s">
        <v>146</v>
      </c>
      <c r="JV9" s="59"/>
      <c r="JW9" s="51"/>
      <c r="JX9" s="59"/>
      <c r="JY9" s="74">
        <v>0.1</v>
      </c>
      <c r="JZ9" s="80"/>
      <c r="KA9" s="81" t="s">
        <v>341</v>
      </c>
      <c r="KB9" s="82" t="s">
        <v>150</v>
      </c>
      <c r="KC9" s="59"/>
      <c r="KD9" s="74">
        <v>0.1</v>
      </c>
      <c r="KE9" s="80"/>
      <c r="KF9" s="81" t="s">
        <v>342</v>
      </c>
      <c r="KG9" s="82" t="s">
        <v>150</v>
      </c>
      <c r="KH9" s="59"/>
      <c r="KI9" s="74">
        <v>0.1</v>
      </c>
      <c r="KJ9" s="80"/>
      <c r="KK9" s="81" t="s">
        <v>342</v>
      </c>
      <c r="KL9" s="82" t="s">
        <v>209</v>
      </c>
      <c r="KM9" s="59"/>
      <c r="KN9" s="74">
        <v>0.1</v>
      </c>
      <c r="KO9" s="80"/>
      <c r="KP9" s="81" t="s">
        <v>343</v>
      </c>
      <c r="KQ9" s="82" t="s">
        <v>209</v>
      </c>
      <c r="KR9" s="59"/>
      <c r="KS9" s="74">
        <v>0.1</v>
      </c>
      <c r="KT9" s="80"/>
      <c r="KU9" s="81" t="s">
        <v>344</v>
      </c>
      <c r="KV9" s="82" t="s">
        <v>209</v>
      </c>
      <c r="KW9" s="59"/>
      <c r="KX9" s="74">
        <v>0.1</v>
      </c>
      <c r="KY9" s="80"/>
      <c r="KZ9" s="81" t="s">
        <v>345</v>
      </c>
      <c r="LA9" s="82" t="s">
        <v>209</v>
      </c>
      <c r="LB9" s="59"/>
      <c r="LC9" s="74">
        <v>0.1</v>
      </c>
      <c r="LD9" s="80"/>
      <c r="LE9" s="81" t="s">
        <v>346</v>
      </c>
      <c r="LF9" s="82" t="s">
        <v>209</v>
      </c>
      <c r="LG9" s="59"/>
      <c r="LH9" s="74">
        <v>0.1</v>
      </c>
      <c r="LI9" s="80"/>
      <c r="LJ9" s="81" t="s">
        <v>347</v>
      </c>
      <c r="LK9" s="82" t="s">
        <v>209</v>
      </c>
      <c r="LL9" s="59"/>
      <c r="LM9" s="74">
        <v>0.1</v>
      </c>
      <c r="LN9" s="80"/>
      <c r="LO9" s="81" t="s">
        <v>348</v>
      </c>
      <c r="LP9" s="82" t="s">
        <v>209</v>
      </c>
      <c r="LQ9" s="59"/>
      <c r="LR9" s="74">
        <v>0.1</v>
      </c>
      <c r="LS9" s="80"/>
      <c r="LT9" s="81" t="s">
        <v>349</v>
      </c>
      <c r="LU9" s="82" t="s">
        <v>209</v>
      </c>
      <c r="LV9" s="59"/>
      <c r="LW9" s="74">
        <v>0.1</v>
      </c>
      <c r="LX9" s="80"/>
      <c r="LY9" s="81" t="s">
        <v>350</v>
      </c>
      <c r="LZ9" s="82" t="s">
        <v>209</v>
      </c>
      <c r="MA9" s="61"/>
      <c r="MB9" s="29"/>
    </row>
    <row r="10" ht="23.25" customHeight="1">
      <c r="A10" s="23"/>
      <c r="B10" s="54"/>
      <c r="C10" s="84">
        <v>0.1</v>
      </c>
      <c r="D10" s="85"/>
      <c r="E10" s="86" t="s">
        <v>351</v>
      </c>
      <c r="F10" s="87">
        <v>44231.0</v>
      </c>
      <c r="G10" s="59"/>
      <c r="H10" s="84">
        <v>0.1</v>
      </c>
      <c r="I10" s="85"/>
      <c r="J10" s="86" t="s">
        <v>352</v>
      </c>
      <c r="K10" s="87">
        <v>44657.0</v>
      </c>
      <c r="L10" s="59"/>
      <c r="M10" s="84">
        <v>0.1</v>
      </c>
      <c r="N10" s="85"/>
      <c r="O10" s="86" t="s">
        <v>353</v>
      </c>
      <c r="P10" s="87">
        <v>44625.0</v>
      </c>
      <c r="Q10" s="59"/>
      <c r="R10" s="84">
        <v>0.1</v>
      </c>
      <c r="S10" s="85"/>
      <c r="T10" s="86" t="s">
        <v>96</v>
      </c>
      <c r="U10" s="87">
        <v>45022.0</v>
      </c>
      <c r="V10" s="59"/>
      <c r="W10" s="84">
        <v>0.1</v>
      </c>
      <c r="X10" s="85"/>
      <c r="Y10" s="86" t="s">
        <v>84</v>
      </c>
      <c r="Z10" s="87">
        <v>44625.0</v>
      </c>
      <c r="AA10" s="59"/>
      <c r="AB10" s="84">
        <v>0.1</v>
      </c>
      <c r="AC10" s="85"/>
      <c r="AD10" s="86" t="s">
        <v>354</v>
      </c>
      <c r="AE10" s="87">
        <v>44657.0</v>
      </c>
      <c r="AF10" s="59"/>
      <c r="AG10" s="84">
        <v>0.1</v>
      </c>
      <c r="AH10" s="85"/>
      <c r="AI10" s="86" t="s">
        <v>355</v>
      </c>
      <c r="AJ10" s="87">
        <v>44657.0</v>
      </c>
      <c r="AK10" s="59"/>
      <c r="AL10" s="84">
        <v>0.1</v>
      </c>
      <c r="AM10" s="85"/>
      <c r="AN10" s="86" t="s">
        <v>91</v>
      </c>
      <c r="AO10" s="87">
        <v>44751.0</v>
      </c>
      <c r="AP10" s="59"/>
      <c r="AQ10" s="84">
        <v>0.1</v>
      </c>
      <c r="AR10" s="85"/>
      <c r="AS10" s="86" t="s">
        <v>224</v>
      </c>
      <c r="AT10" s="87">
        <v>44751.0</v>
      </c>
      <c r="AU10" s="59"/>
      <c r="AV10" s="84">
        <v>0.1</v>
      </c>
      <c r="AW10" s="85"/>
      <c r="AX10" s="86" t="s">
        <v>356</v>
      </c>
      <c r="AY10" s="87">
        <v>44846.0</v>
      </c>
      <c r="AZ10" s="59"/>
      <c r="BA10" s="84">
        <v>0.1</v>
      </c>
      <c r="BB10" s="85"/>
      <c r="BC10" s="86" t="s">
        <v>357</v>
      </c>
      <c r="BD10" s="87">
        <v>44909.0</v>
      </c>
      <c r="BE10" s="59"/>
      <c r="BF10" s="84">
        <v>0.1</v>
      </c>
      <c r="BG10" s="85"/>
      <c r="BH10" s="86" t="s">
        <v>358</v>
      </c>
      <c r="BI10" s="87">
        <v>44909.0</v>
      </c>
      <c r="BJ10" s="59"/>
      <c r="BK10" s="84">
        <v>0.1</v>
      </c>
      <c r="BL10" s="85"/>
      <c r="BM10" s="86" t="s">
        <v>359</v>
      </c>
      <c r="BN10" s="87">
        <v>44909.0</v>
      </c>
      <c r="BO10" s="59"/>
      <c r="BP10" s="84">
        <v>0.1</v>
      </c>
      <c r="BQ10" s="85"/>
      <c r="BR10" s="86" t="s">
        <v>360</v>
      </c>
      <c r="BS10" s="87" t="s">
        <v>95</v>
      </c>
      <c r="BT10" s="59"/>
      <c r="BU10" s="84">
        <v>0.1</v>
      </c>
      <c r="BV10" s="85"/>
      <c r="BW10" s="86" t="s">
        <v>361</v>
      </c>
      <c r="BX10" s="87" t="s">
        <v>97</v>
      </c>
      <c r="BY10" s="59"/>
      <c r="BZ10" s="84">
        <v>0.1</v>
      </c>
      <c r="CA10" s="85"/>
      <c r="CB10" s="86" t="s">
        <v>362</v>
      </c>
      <c r="CC10" s="87" t="s">
        <v>99</v>
      </c>
      <c r="CD10" s="59"/>
      <c r="CE10" s="84">
        <v>0.1</v>
      </c>
      <c r="CF10" s="85"/>
      <c r="CG10" s="86" t="s">
        <v>272</v>
      </c>
      <c r="CH10" s="87" t="s">
        <v>101</v>
      </c>
      <c r="CI10" s="59"/>
      <c r="CJ10" s="84">
        <v>0.1</v>
      </c>
      <c r="CK10" s="85"/>
      <c r="CL10" s="86" t="s">
        <v>363</v>
      </c>
      <c r="CM10" s="87" t="s">
        <v>99</v>
      </c>
      <c r="CN10" s="59"/>
      <c r="CO10" s="84">
        <v>0.1</v>
      </c>
      <c r="CP10" s="85"/>
      <c r="CQ10" s="86" t="s">
        <v>364</v>
      </c>
      <c r="CR10" s="87" t="s">
        <v>104</v>
      </c>
      <c r="CS10" s="59"/>
      <c r="CT10" s="84">
        <v>0.1</v>
      </c>
      <c r="CU10" s="85"/>
      <c r="CV10" s="86" t="s">
        <v>365</v>
      </c>
      <c r="CW10" s="87" t="s">
        <v>104</v>
      </c>
      <c r="CX10" s="59"/>
      <c r="CY10" s="84">
        <v>0.1</v>
      </c>
      <c r="CZ10" s="85"/>
      <c r="DA10" s="86" t="s">
        <v>239</v>
      </c>
      <c r="DB10" s="87" t="s">
        <v>106</v>
      </c>
      <c r="DC10" s="59"/>
      <c r="DD10" s="84">
        <v>0.1</v>
      </c>
      <c r="DE10" s="85"/>
      <c r="DF10" s="86" t="s">
        <v>366</v>
      </c>
      <c r="DG10" s="87" t="s">
        <v>108</v>
      </c>
      <c r="DH10" s="59"/>
      <c r="DI10" s="84">
        <v>0.1</v>
      </c>
      <c r="DJ10" s="85"/>
      <c r="DK10" s="86" t="s">
        <v>367</v>
      </c>
      <c r="DL10" s="87" t="s">
        <v>110</v>
      </c>
      <c r="DM10" s="59"/>
      <c r="DN10" s="84">
        <v>0.1</v>
      </c>
      <c r="DO10" s="85"/>
      <c r="DP10" s="86" t="s">
        <v>368</v>
      </c>
      <c r="DQ10" s="87" t="s">
        <v>112</v>
      </c>
      <c r="DR10" s="59"/>
      <c r="DS10" s="84">
        <v>0.1</v>
      </c>
      <c r="DT10" s="85"/>
      <c r="DU10" s="86" t="s">
        <v>369</v>
      </c>
      <c r="DV10" s="87" t="s">
        <v>114</v>
      </c>
      <c r="DW10" s="59"/>
      <c r="DX10" s="84">
        <v>0.1</v>
      </c>
      <c r="DY10" s="85"/>
      <c r="DZ10" s="86" t="s">
        <v>370</v>
      </c>
      <c r="EA10" s="87" t="s">
        <v>116</v>
      </c>
      <c r="EB10" s="59"/>
      <c r="EC10" s="84">
        <v>0.1</v>
      </c>
      <c r="ED10" s="85"/>
      <c r="EE10" s="86" t="s">
        <v>371</v>
      </c>
      <c r="EF10" s="87" t="s">
        <v>118</v>
      </c>
      <c r="EG10" s="59"/>
      <c r="EH10" s="84">
        <v>0.1</v>
      </c>
      <c r="EI10" s="85"/>
      <c r="EJ10" s="86" t="s">
        <v>371</v>
      </c>
      <c r="EK10" s="87" t="s">
        <v>118</v>
      </c>
      <c r="EL10" s="59"/>
      <c r="EM10" s="84">
        <v>0.1</v>
      </c>
      <c r="EN10" s="85"/>
      <c r="EO10" s="86" t="s">
        <v>371</v>
      </c>
      <c r="EP10" s="87" t="s">
        <v>118</v>
      </c>
      <c r="EQ10" s="59"/>
      <c r="ER10" s="84">
        <v>0.1</v>
      </c>
      <c r="ES10" s="85"/>
      <c r="ET10" s="86" t="s">
        <v>371</v>
      </c>
      <c r="EU10" s="87" t="s">
        <v>118</v>
      </c>
      <c r="EV10" s="59"/>
      <c r="EW10" s="84">
        <v>0.1</v>
      </c>
      <c r="EX10" s="85"/>
      <c r="EY10" s="86" t="s">
        <v>372</v>
      </c>
      <c r="EZ10" s="87" t="s">
        <v>114</v>
      </c>
      <c r="FA10" s="59"/>
      <c r="FB10" s="84">
        <v>0.1</v>
      </c>
      <c r="FC10" s="85"/>
      <c r="FD10" s="86" t="s">
        <v>153</v>
      </c>
      <c r="FE10" s="87" t="s">
        <v>121</v>
      </c>
      <c r="FF10" s="59"/>
      <c r="FG10" s="84">
        <v>0.1</v>
      </c>
      <c r="FH10" s="85"/>
      <c r="FI10" s="86" t="s">
        <v>139</v>
      </c>
      <c r="FJ10" s="87" t="s">
        <v>123</v>
      </c>
      <c r="FK10" s="59"/>
      <c r="FL10" s="84">
        <v>0.1</v>
      </c>
      <c r="FM10" s="85"/>
      <c r="FN10" s="86" t="s">
        <v>373</v>
      </c>
      <c r="FO10" s="87" t="s">
        <v>125</v>
      </c>
      <c r="FP10" s="59"/>
      <c r="FQ10" s="84">
        <v>0.1</v>
      </c>
      <c r="FR10" s="85"/>
      <c r="FS10" s="86" t="s">
        <v>374</v>
      </c>
      <c r="FT10" s="87" t="s">
        <v>127</v>
      </c>
      <c r="FU10" s="59"/>
      <c r="FV10" s="84">
        <v>0.1</v>
      </c>
      <c r="FW10" s="85"/>
      <c r="FX10" s="86" t="s">
        <v>329</v>
      </c>
      <c r="FY10" s="87" t="s">
        <v>127</v>
      </c>
      <c r="FZ10" s="59"/>
      <c r="GA10" s="84">
        <v>0.1</v>
      </c>
      <c r="GB10" s="85"/>
      <c r="GC10" s="86" t="s">
        <v>375</v>
      </c>
      <c r="GD10" s="87" t="s">
        <v>123</v>
      </c>
      <c r="GE10" s="59"/>
      <c r="GF10" s="84">
        <v>0.1</v>
      </c>
      <c r="GG10" s="85"/>
      <c r="GH10" s="86" t="s">
        <v>330</v>
      </c>
      <c r="GI10" s="87" t="s">
        <v>116</v>
      </c>
      <c r="GJ10" s="59"/>
      <c r="GK10" s="84">
        <v>0.1</v>
      </c>
      <c r="GL10" s="85"/>
      <c r="GM10" s="86" t="s">
        <v>331</v>
      </c>
      <c r="GN10" s="87" t="s">
        <v>132</v>
      </c>
      <c r="GO10" s="59"/>
      <c r="GP10" s="84">
        <v>0.1</v>
      </c>
      <c r="GQ10" s="85"/>
      <c r="GR10" s="86" t="s">
        <v>332</v>
      </c>
      <c r="GS10" s="87" t="s">
        <v>132</v>
      </c>
      <c r="GT10" s="59"/>
      <c r="GU10" s="84">
        <v>0.1</v>
      </c>
      <c r="GV10" s="85"/>
      <c r="GW10" s="86" t="s">
        <v>333</v>
      </c>
      <c r="GX10" s="87" t="s">
        <v>132</v>
      </c>
      <c r="GY10" s="59"/>
      <c r="GZ10" s="84">
        <v>0.1</v>
      </c>
      <c r="HA10" s="85"/>
      <c r="HB10" s="86" t="s">
        <v>188</v>
      </c>
      <c r="HC10" s="87" t="s">
        <v>132</v>
      </c>
      <c r="HD10" s="59"/>
      <c r="HE10" s="84">
        <v>0.1</v>
      </c>
      <c r="HF10" s="85"/>
      <c r="HG10" s="86" t="s">
        <v>188</v>
      </c>
      <c r="HH10" s="87" t="s">
        <v>132</v>
      </c>
      <c r="HI10" s="59"/>
      <c r="HJ10" s="84">
        <v>0.1</v>
      </c>
      <c r="HK10" s="85"/>
      <c r="HL10" s="86" t="s">
        <v>376</v>
      </c>
      <c r="HM10" s="87" t="s">
        <v>135</v>
      </c>
      <c r="HN10" s="59"/>
      <c r="HO10" s="84">
        <v>0.1</v>
      </c>
      <c r="HP10" s="85"/>
      <c r="HQ10" s="86" t="s">
        <v>377</v>
      </c>
      <c r="HR10" s="87" t="s">
        <v>135</v>
      </c>
      <c r="HS10" s="59"/>
      <c r="HT10" s="84">
        <v>0.1</v>
      </c>
      <c r="HU10" s="85"/>
      <c r="HV10" s="86" t="s">
        <v>378</v>
      </c>
      <c r="HW10" s="87" t="s">
        <v>135</v>
      </c>
      <c r="HX10" s="59"/>
      <c r="HY10" s="84">
        <v>0.1</v>
      </c>
      <c r="HZ10" s="85"/>
      <c r="IA10" s="86" t="s">
        <v>379</v>
      </c>
      <c r="IB10" s="87" t="s">
        <v>135</v>
      </c>
      <c r="IC10" s="59"/>
      <c r="ID10" s="84">
        <v>0.1</v>
      </c>
      <c r="IE10" s="85"/>
      <c r="IF10" s="86" t="s">
        <v>337</v>
      </c>
      <c r="IG10" s="87" t="s">
        <v>135</v>
      </c>
      <c r="IH10" s="59"/>
      <c r="II10" s="84">
        <v>0.1</v>
      </c>
      <c r="IJ10" s="85"/>
      <c r="IK10" s="86" t="s">
        <v>138</v>
      </c>
      <c r="IL10" s="87" t="s">
        <v>140</v>
      </c>
      <c r="IM10" s="59"/>
      <c r="IN10" s="84">
        <v>0.1</v>
      </c>
      <c r="IO10" s="85"/>
      <c r="IP10" s="86" t="s">
        <v>196</v>
      </c>
      <c r="IQ10" s="87" t="s">
        <v>140</v>
      </c>
      <c r="IR10" s="59"/>
      <c r="IS10" s="84">
        <v>0.1</v>
      </c>
      <c r="IT10" s="85"/>
      <c r="IU10" s="86" t="s">
        <v>142</v>
      </c>
      <c r="IV10" s="87" t="s">
        <v>140</v>
      </c>
      <c r="IW10" s="59"/>
      <c r="IX10" s="84">
        <v>0.1</v>
      </c>
      <c r="IY10" s="85"/>
      <c r="IZ10" s="86" t="s">
        <v>339</v>
      </c>
      <c r="JA10" s="88" t="s">
        <v>144</v>
      </c>
      <c r="JB10" s="59"/>
      <c r="JC10" s="84">
        <v>0.1</v>
      </c>
      <c r="JD10" s="85"/>
      <c r="JE10" s="86" t="s">
        <v>340</v>
      </c>
      <c r="JF10" s="88" t="s">
        <v>135</v>
      </c>
      <c r="JG10" s="59"/>
      <c r="JH10" s="84">
        <v>0.1</v>
      </c>
      <c r="JI10" s="85"/>
      <c r="JJ10" s="86" t="s">
        <v>380</v>
      </c>
      <c r="JK10" s="87" t="s">
        <v>146</v>
      </c>
      <c r="JL10" s="59"/>
      <c r="JM10" s="84">
        <v>0.1</v>
      </c>
      <c r="JN10" s="85"/>
      <c r="JO10" s="86" t="s">
        <v>381</v>
      </c>
      <c r="JP10" s="87" t="s">
        <v>146</v>
      </c>
      <c r="JQ10" s="59"/>
      <c r="JR10" s="84">
        <v>0.1</v>
      </c>
      <c r="JS10" s="85"/>
      <c r="JT10" s="86" t="s">
        <v>382</v>
      </c>
      <c r="JU10" s="87" t="s">
        <v>146</v>
      </c>
      <c r="JV10" s="59"/>
      <c r="JW10" s="51"/>
      <c r="JX10" s="59"/>
      <c r="JY10" s="84">
        <v>0.1</v>
      </c>
      <c r="JZ10" s="85"/>
      <c r="KA10" s="86" t="s">
        <v>341</v>
      </c>
      <c r="KB10" s="87" t="s">
        <v>150</v>
      </c>
      <c r="KC10" s="59"/>
      <c r="KD10" s="84">
        <v>0.1</v>
      </c>
      <c r="KE10" s="85"/>
      <c r="KF10" s="86" t="s">
        <v>383</v>
      </c>
      <c r="KG10" s="87" t="s">
        <v>150</v>
      </c>
      <c r="KH10" s="59"/>
      <c r="KI10" s="84">
        <v>0.1</v>
      </c>
      <c r="KJ10" s="85"/>
      <c r="KK10" s="86" t="s">
        <v>342</v>
      </c>
      <c r="KL10" s="87" t="s">
        <v>150</v>
      </c>
      <c r="KM10" s="59"/>
      <c r="KN10" s="84">
        <v>0.1</v>
      </c>
      <c r="KO10" s="85"/>
      <c r="KP10" s="86" t="s">
        <v>343</v>
      </c>
      <c r="KQ10" s="87" t="s">
        <v>150</v>
      </c>
      <c r="KR10" s="59"/>
      <c r="KS10" s="84">
        <v>0.1</v>
      </c>
      <c r="KT10" s="85"/>
      <c r="KU10" s="86" t="s">
        <v>344</v>
      </c>
      <c r="KV10" s="87" t="s">
        <v>150</v>
      </c>
      <c r="KW10" s="59"/>
      <c r="KX10" s="84">
        <v>0.1</v>
      </c>
      <c r="KY10" s="85"/>
      <c r="KZ10" s="86" t="s">
        <v>345</v>
      </c>
      <c r="LA10" s="87" t="s">
        <v>150</v>
      </c>
      <c r="LB10" s="59"/>
      <c r="LC10" s="84">
        <v>0.1</v>
      </c>
      <c r="LD10" s="85"/>
      <c r="LE10" s="86" t="s">
        <v>346</v>
      </c>
      <c r="LF10" s="87" t="s">
        <v>150</v>
      </c>
      <c r="LG10" s="59"/>
      <c r="LH10" s="84">
        <v>0.1</v>
      </c>
      <c r="LI10" s="85"/>
      <c r="LJ10" s="86" t="s">
        <v>347</v>
      </c>
      <c r="LK10" s="87" t="s">
        <v>150</v>
      </c>
      <c r="LL10" s="59"/>
      <c r="LM10" s="84">
        <v>0.1</v>
      </c>
      <c r="LN10" s="85"/>
      <c r="LO10" s="86" t="s">
        <v>348</v>
      </c>
      <c r="LP10" s="87" t="s">
        <v>150</v>
      </c>
      <c r="LQ10" s="59"/>
      <c r="LR10" s="84">
        <v>0.1</v>
      </c>
      <c r="LS10" s="85"/>
      <c r="LT10" s="86" t="s">
        <v>349</v>
      </c>
      <c r="LU10" s="87" t="s">
        <v>150</v>
      </c>
      <c r="LV10" s="59"/>
      <c r="LW10" s="84">
        <v>0.1</v>
      </c>
      <c r="LX10" s="85"/>
      <c r="LY10" s="86" t="s">
        <v>350</v>
      </c>
      <c r="LZ10" s="87" t="s">
        <v>150</v>
      </c>
      <c r="MA10" s="61"/>
      <c r="MB10" s="29"/>
    </row>
    <row r="11" ht="23.25" customHeight="1">
      <c r="A11" s="23"/>
      <c r="B11" s="54"/>
      <c r="C11" s="89">
        <v>0.05</v>
      </c>
      <c r="D11" s="56"/>
      <c r="E11" s="57" t="s">
        <v>384</v>
      </c>
      <c r="F11" s="58">
        <v>44260.0</v>
      </c>
      <c r="G11" s="59"/>
      <c r="H11" s="89">
        <v>0.05</v>
      </c>
      <c r="I11" s="56"/>
      <c r="J11" s="90" t="s">
        <v>385</v>
      </c>
      <c r="K11" s="58">
        <v>44625.0</v>
      </c>
      <c r="L11" s="59"/>
      <c r="M11" s="89">
        <v>0.05</v>
      </c>
      <c r="N11" s="56"/>
      <c r="O11" s="57" t="s">
        <v>386</v>
      </c>
      <c r="P11" s="58">
        <v>44625.0</v>
      </c>
      <c r="Q11" s="59"/>
      <c r="R11" s="89">
        <v>0.05</v>
      </c>
      <c r="S11" s="56"/>
      <c r="T11" s="57" t="s">
        <v>387</v>
      </c>
      <c r="U11" s="58">
        <v>45022.0</v>
      </c>
      <c r="V11" s="59"/>
      <c r="W11" s="89">
        <v>0.05</v>
      </c>
      <c r="X11" s="56"/>
      <c r="Y11" s="57" t="s">
        <v>388</v>
      </c>
      <c r="Z11" s="58">
        <v>44625.0</v>
      </c>
      <c r="AA11" s="59"/>
      <c r="AB11" s="89">
        <v>0.05</v>
      </c>
      <c r="AC11" s="56"/>
      <c r="AD11" s="57" t="s">
        <v>389</v>
      </c>
      <c r="AE11" s="58">
        <v>44657.0</v>
      </c>
      <c r="AF11" s="59"/>
      <c r="AG11" s="89">
        <v>0.05</v>
      </c>
      <c r="AH11" s="56"/>
      <c r="AI11" s="57" t="s">
        <v>390</v>
      </c>
      <c r="AJ11" s="58">
        <v>44657.0</v>
      </c>
      <c r="AK11" s="59"/>
      <c r="AL11" s="89">
        <v>0.05</v>
      </c>
      <c r="AM11" s="56"/>
      <c r="AN11" s="57" t="s">
        <v>391</v>
      </c>
      <c r="AO11" s="58">
        <v>44751.0</v>
      </c>
      <c r="AP11" s="59"/>
      <c r="AQ11" s="89">
        <v>0.05</v>
      </c>
      <c r="AR11" s="56"/>
      <c r="AS11" s="57" t="s">
        <v>324</v>
      </c>
      <c r="AT11" s="58">
        <v>44751.0</v>
      </c>
      <c r="AU11" s="59"/>
      <c r="AV11" s="89">
        <v>0.05</v>
      </c>
      <c r="AW11" s="56"/>
      <c r="AX11" s="57" t="s">
        <v>392</v>
      </c>
      <c r="AY11" s="58">
        <v>44846.0</v>
      </c>
      <c r="AZ11" s="59"/>
      <c r="BA11" s="89">
        <v>0.05</v>
      </c>
      <c r="BB11" s="56"/>
      <c r="BC11" s="57" t="s">
        <v>393</v>
      </c>
      <c r="BD11" s="58">
        <v>44909.0</v>
      </c>
      <c r="BE11" s="59"/>
      <c r="BF11" s="89">
        <v>0.05</v>
      </c>
      <c r="BG11" s="56"/>
      <c r="BH11" s="57" t="s">
        <v>394</v>
      </c>
      <c r="BI11" s="58">
        <v>44909.0</v>
      </c>
      <c r="BJ11" s="59"/>
      <c r="BK11" s="89">
        <v>0.05</v>
      </c>
      <c r="BL11" s="56"/>
      <c r="BM11" s="57" t="s">
        <v>395</v>
      </c>
      <c r="BN11" s="58">
        <v>44909.0</v>
      </c>
      <c r="BO11" s="59"/>
      <c r="BP11" s="89">
        <v>0.05</v>
      </c>
      <c r="BQ11" s="56"/>
      <c r="BR11" s="57" t="s">
        <v>396</v>
      </c>
      <c r="BS11" s="58" t="s">
        <v>95</v>
      </c>
      <c r="BT11" s="59"/>
      <c r="BU11" s="89">
        <v>0.05</v>
      </c>
      <c r="BV11" s="56"/>
      <c r="BW11" s="57" t="s">
        <v>397</v>
      </c>
      <c r="BX11" s="58" t="s">
        <v>97</v>
      </c>
      <c r="BY11" s="59"/>
      <c r="BZ11" s="89">
        <v>0.05</v>
      </c>
      <c r="CA11" s="56"/>
      <c r="CB11" s="57" t="s">
        <v>398</v>
      </c>
      <c r="CC11" s="58" t="s">
        <v>99</v>
      </c>
      <c r="CD11" s="59"/>
      <c r="CE11" s="89">
        <v>0.05</v>
      </c>
      <c r="CF11" s="56"/>
      <c r="CG11" s="57" t="s">
        <v>399</v>
      </c>
      <c r="CH11" s="58" t="s">
        <v>101</v>
      </c>
      <c r="CI11" s="59"/>
      <c r="CJ11" s="89">
        <v>0.05</v>
      </c>
      <c r="CK11" s="56"/>
      <c r="CL11" s="57" t="s">
        <v>400</v>
      </c>
      <c r="CM11" s="58" t="s">
        <v>99</v>
      </c>
      <c r="CN11" s="59"/>
      <c r="CO11" s="89">
        <v>0.05</v>
      </c>
      <c r="CP11" s="56"/>
      <c r="CQ11" s="57" t="s">
        <v>401</v>
      </c>
      <c r="CR11" s="58" t="s">
        <v>104</v>
      </c>
      <c r="CS11" s="59"/>
      <c r="CT11" s="89">
        <v>0.05</v>
      </c>
      <c r="CU11" s="56"/>
      <c r="CV11" s="57" t="s">
        <v>359</v>
      </c>
      <c r="CW11" s="58" t="s">
        <v>104</v>
      </c>
      <c r="CX11" s="59"/>
      <c r="CY11" s="89">
        <v>0.05</v>
      </c>
      <c r="CZ11" s="56"/>
      <c r="DA11" s="57" t="s">
        <v>402</v>
      </c>
      <c r="DB11" s="58" t="s">
        <v>106</v>
      </c>
      <c r="DC11" s="59"/>
      <c r="DD11" s="89">
        <v>0.05</v>
      </c>
      <c r="DE11" s="56"/>
      <c r="DF11" s="57" t="s">
        <v>283</v>
      </c>
      <c r="DG11" s="58" t="s">
        <v>108</v>
      </c>
      <c r="DH11" s="59"/>
      <c r="DI11" s="89">
        <v>0.05</v>
      </c>
      <c r="DJ11" s="56"/>
      <c r="DK11" s="57" t="s">
        <v>403</v>
      </c>
      <c r="DL11" s="58" t="s">
        <v>110</v>
      </c>
      <c r="DM11" s="59"/>
      <c r="DN11" s="89">
        <v>0.05</v>
      </c>
      <c r="DO11" s="56"/>
      <c r="DP11" s="57" t="s">
        <v>404</v>
      </c>
      <c r="DQ11" s="58" t="s">
        <v>112</v>
      </c>
      <c r="DR11" s="59"/>
      <c r="DS11" s="89">
        <v>0.05</v>
      </c>
      <c r="DT11" s="56"/>
      <c r="DU11" s="57" t="s">
        <v>405</v>
      </c>
      <c r="DV11" s="58" t="s">
        <v>114</v>
      </c>
      <c r="DW11" s="59"/>
      <c r="DX11" s="89">
        <v>0.05</v>
      </c>
      <c r="DY11" s="56"/>
      <c r="DZ11" s="57" t="s">
        <v>406</v>
      </c>
      <c r="EA11" s="58" t="s">
        <v>116</v>
      </c>
      <c r="EB11" s="59"/>
      <c r="EC11" s="89">
        <v>0.05</v>
      </c>
      <c r="ED11" s="56"/>
      <c r="EE11" s="57" t="s">
        <v>349</v>
      </c>
      <c r="EF11" s="58" t="s">
        <v>118</v>
      </c>
      <c r="EG11" s="59"/>
      <c r="EH11" s="89">
        <v>0.05</v>
      </c>
      <c r="EI11" s="56"/>
      <c r="EJ11" s="57" t="s">
        <v>349</v>
      </c>
      <c r="EK11" s="58" t="s">
        <v>118</v>
      </c>
      <c r="EL11" s="59"/>
      <c r="EM11" s="89">
        <v>0.05</v>
      </c>
      <c r="EN11" s="56"/>
      <c r="EO11" s="57" t="s">
        <v>349</v>
      </c>
      <c r="EP11" s="58" t="s">
        <v>118</v>
      </c>
      <c r="EQ11" s="59"/>
      <c r="ER11" s="89">
        <v>0.05</v>
      </c>
      <c r="ES11" s="56"/>
      <c r="ET11" s="57" t="s">
        <v>349</v>
      </c>
      <c r="EU11" s="58" t="s">
        <v>118</v>
      </c>
      <c r="EV11" s="59"/>
      <c r="EW11" s="89">
        <v>0.05</v>
      </c>
      <c r="EX11" s="56"/>
      <c r="EY11" s="57" t="s">
        <v>407</v>
      </c>
      <c r="EZ11" s="58" t="s">
        <v>114</v>
      </c>
      <c r="FA11" s="59"/>
      <c r="FB11" s="89">
        <v>0.05</v>
      </c>
      <c r="FC11" s="56"/>
      <c r="FD11" s="57" t="s">
        <v>408</v>
      </c>
      <c r="FE11" s="58" t="s">
        <v>121</v>
      </c>
      <c r="FF11" s="59"/>
      <c r="FG11" s="89">
        <v>0.05</v>
      </c>
      <c r="FH11" s="56"/>
      <c r="FI11" s="57" t="s">
        <v>409</v>
      </c>
      <c r="FJ11" s="58" t="s">
        <v>123</v>
      </c>
      <c r="FK11" s="59"/>
      <c r="FL11" s="89">
        <v>0.05</v>
      </c>
      <c r="FM11" s="56"/>
      <c r="FN11" s="57" t="s">
        <v>410</v>
      </c>
      <c r="FO11" s="58" t="s">
        <v>125</v>
      </c>
      <c r="FP11" s="59"/>
      <c r="FQ11" s="89">
        <v>0.05</v>
      </c>
      <c r="FR11" s="56"/>
      <c r="FS11" s="57" t="s">
        <v>411</v>
      </c>
      <c r="FT11" s="58" t="s">
        <v>127</v>
      </c>
      <c r="FU11" s="59"/>
      <c r="FV11" s="89">
        <v>0.05</v>
      </c>
      <c r="FW11" s="56"/>
      <c r="FX11" s="57" t="s">
        <v>412</v>
      </c>
      <c r="FY11" s="58" t="s">
        <v>127</v>
      </c>
      <c r="FZ11" s="59"/>
      <c r="GA11" s="89">
        <v>0.05</v>
      </c>
      <c r="GB11" s="56"/>
      <c r="GC11" s="57" t="s">
        <v>413</v>
      </c>
      <c r="GD11" s="58" t="s">
        <v>123</v>
      </c>
      <c r="GE11" s="59"/>
      <c r="GF11" s="89">
        <v>0.05</v>
      </c>
      <c r="GG11" s="56"/>
      <c r="GH11" s="57" t="s">
        <v>198</v>
      </c>
      <c r="GI11" s="58" t="s">
        <v>116</v>
      </c>
      <c r="GJ11" s="59"/>
      <c r="GK11" s="89">
        <v>0.05</v>
      </c>
      <c r="GL11" s="56"/>
      <c r="GM11" s="57" t="s">
        <v>200</v>
      </c>
      <c r="GN11" s="58" t="s">
        <v>132</v>
      </c>
      <c r="GO11" s="59"/>
      <c r="GP11" s="89">
        <v>0.05</v>
      </c>
      <c r="GQ11" s="56"/>
      <c r="GR11" s="57" t="s">
        <v>200</v>
      </c>
      <c r="GS11" s="58" t="s">
        <v>132</v>
      </c>
      <c r="GT11" s="59"/>
      <c r="GU11" s="89">
        <v>0.05</v>
      </c>
      <c r="GV11" s="56"/>
      <c r="GW11" s="57" t="s">
        <v>200</v>
      </c>
      <c r="GX11" s="58" t="s">
        <v>132</v>
      </c>
      <c r="GY11" s="59"/>
      <c r="GZ11" s="89">
        <v>0.05</v>
      </c>
      <c r="HA11" s="56"/>
      <c r="HB11" s="57" t="s">
        <v>200</v>
      </c>
      <c r="HC11" s="58" t="s">
        <v>132</v>
      </c>
      <c r="HD11" s="59"/>
      <c r="HE11" s="89">
        <v>0.05</v>
      </c>
      <c r="HF11" s="56"/>
      <c r="HG11" s="57" t="s">
        <v>333</v>
      </c>
      <c r="HH11" s="58" t="s">
        <v>132</v>
      </c>
      <c r="HI11" s="59"/>
      <c r="HJ11" s="89">
        <v>0.05</v>
      </c>
      <c r="HK11" s="56"/>
      <c r="HL11" s="57" t="s">
        <v>414</v>
      </c>
      <c r="HM11" s="58" t="s">
        <v>135</v>
      </c>
      <c r="HN11" s="59"/>
      <c r="HO11" s="89">
        <v>0.05</v>
      </c>
      <c r="HP11" s="56"/>
      <c r="HQ11" s="57" t="s">
        <v>415</v>
      </c>
      <c r="HR11" s="58" t="s">
        <v>135</v>
      </c>
      <c r="HS11" s="59"/>
      <c r="HT11" s="89">
        <v>0.05</v>
      </c>
      <c r="HU11" s="56"/>
      <c r="HV11" s="57" t="s">
        <v>416</v>
      </c>
      <c r="HW11" s="58" t="s">
        <v>135</v>
      </c>
      <c r="HX11" s="59"/>
      <c r="HY11" s="89">
        <v>0.05</v>
      </c>
      <c r="HZ11" s="56"/>
      <c r="IA11" s="57" t="s">
        <v>414</v>
      </c>
      <c r="IB11" s="58" t="s">
        <v>135</v>
      </c>
      <c r="IC11" s="59"/>
      <c r="ID11" s="89">
        <v>0.05</v>
      </c>
      <c r="IE11" s="56"/>
      <c r="IF11" s="57" t="s">
        <v>363</v>
      </c>
      <c r="IG11" s="58" t="s">
        <v>135</v>
      </c>
      <c r="IH11" s="59"/>
      <c r="II11" s="89">
        <v>0.05</v>
      </c>
      <c r="IJ11" s="56"/>
      <c r="IK11" s="57" t="s">
        <v>417</v>
      </c>
      <c r="IL11" s="58" t="s">
        <v>140</v>
      </c>
      <c r="IM11" s="59"/>
      <c r="IN11" s="89">
        <v>0.05</v>
      </c>
      <c r="IO11" s="56"/>
      <c r="IP11" s="57" t="s">
        <v>418</v>
      </c>
      <c r="IQ11" s="58" t="s">
        <v>140</v>
      </c>
      <c r="IR11" s="59"/>
      <c r="IS11" s="89">
        <v>0.05</v>
      </c>
      <c r="IT11" s="56"/>
      <c r="IU11" s="57" t="s">
        <v>338</v>
      </c>
      <c r="IV11" s="58" t="s">
        <v>140</v>
      </c>
      <c r="IW11" s="59"/>
      <c r="IX11" s="89">
        <v>0.05</v>
      </c>
      <c r="IY11" s="56"/>
      <c r="IZ11" s="57" t="s">
        <v>419</v>
      </c>
      <c r="JA11" s="60" t="s">
        <v>144</v>
      </c>
      <c r="JB11" s="59"/>
      <c r="JC11" s="89">
        <v>0.05</v>
      </c>
      <c r="JD11" s="56"/>
      <c r="JE11" s="57" t="s">
        <v>420</v>
      </c>
      <c r="JF11" s="60" t="s">
        <v>144</v>
      </c>
      <c r="JG11" s="59"/>
      <c r="JH11" s="89">
        <v>0.05</v>
      </c>
      <c r="JI11" s="56"/>
      <c r="JJ11" s="57" t="s">
        <v>421</v>
      </c>
      <c r="JK11" s="58" t="s">
        <v>146</v>
      </c>
      <c r="JL11" s="59"/>
      <c r="JM11" s="89">
        <v>0.05</v>
      </c>
      <c r="JN11" s="56"/>
      <c r="JO11" s="57" t="s">
        <v>381</v>
      </c>
      <c r="JP11" s="58" t="s">
        <v>146</v>
      </c>
      <c r="JQ11" s="59"/>
      <c r="JR11" s="89">
        <v>0.05</v>
      </c>
      <c r="JS11" s="56"/>
      <c r="JT11" s="57" t="s">
        <v>422</v>
      </c>
      <c r="JU11" s="58" t="s">
        <v>146</v>
      </c>
      <c r="JV11" s="59"/>
      <c r="JW11" s="51"/>
      <c r="JX11" s="59"/>
      <c r="JY11" s="89">
        <v>0.05</v>
      </c>
      <c r="JZ11" s="56"/>
      <c r="KA11" s="57" t="s">
        <v>423</v>
      </c>
      <c r="KB11" s="58" t="s">
        <v>150</v>
      </c>
      <c r="KC11" s="59"/>
      <c r="KD11" s="89">
        <v>0.05</v>
      </c>
      <c r="KE11" s="56"/>
      <c r="KF11" s="57" t="s">
        <v>414</v>
      </c>
      <c r="KG11" s="58" t="s">
        <v>150</v>
      </c>
      <c r="KH11" s="59"/>
      <c r="KI11" s="89">
        <v>0.05</v>
      </c>
      <c r="KJ11" s="56"/>
      <c r="KK11" s="57" t="s">
        <v>262</v>
      </c>
      <c r="KL11" s="58" t="s">
        <v>150</v>
      </c>
      <c r="KM11" s="59"/>
      <c r="KN11" s="89">
        <v>0.05</v>
      </c>
      <c r="KO11" s="56"/>
      <c r="KP11" s="57" t="s">
        <v>424</v>
      </c>
      <c r="KQ11" s="58" t="s">
        <v>150</v>
      </c>
      <c r="KR11" s="59"/>
      <c r="KS11" s="89">
        <v>0.05</v>
      </c>
      <c r="KT11" s="56"/>
      <c r="KU11" s="57" t="s">
        <v>425</v>
      </c>
      <c r="KV11" s="58" t="s">
        <v>150</v>
      </c>
      <c r="KW11" s="59"/>
      <c r="KX11" s="89">
        <v>0.05</v>
      </c>
      <c r="KY11" s="56"/>
      <c r="KZ11" s="57" t="s">
        <v>426</v>
      </c>
      <c r="LA11" s="58" t="s">
        <v>150</v>
      </c>
      <c r="LB11" s="59"/>
      <c r="LC11" s="89">
        <v>0.05</v>
      </c>
      <c r="LD11" s="56"/>
      <c r="LE11" s="57" t="s">
        <v>427</v>
      </c>
      <c r="LF11" s="58" t="s">
        <v>150</v>
      </c>
      <c r="LG11" s="59"/>
      <c r="LH11" s="89">
        <v>0.05</v>
      </c>
      <c r="LI11" s="56"/>
      <c r="LJ11" s="57" t="s">
        <v>320</v>
      </c>
      <c r="LK11" s="58" t="s">
        <v>150</v>
      </c>
      <c r="LL11" s="59"/>
      <c r="LM11" s="89">
        <v>0.05</v>
      </c>
      <c r="LN11" s="56"/>
      <c r="LO11" s="57" t="s">
        <v>269</v>
      </c>
      <c r="LP11" s="58" t="s">
        <v>150</v>
      </c>
      <c r="LQ11" s="59"/>
      <c r="LR11" s="89">
        <v>0.05</v>
      </c>
      <c r="LS11" s="56"/>
      <c r="LT11" s="57" t="s">
        <v>260</v>
      </c>
      <c r="LU11" s="58" t="s">
        <v>150</v>
      </c>
      <c r="LV11" s="59"/>
      <c r="LW11" s="89">
        <v>0.05</v>
      </c>
      <c r="LX11" s="56"/>
      <c r="LY11" s="57" t="s">
        <v>428</v>
      </c>
      <c r="LZ11" s="58" t="s">
        <v>150</v>
      </c>
      <c r="MA11" s="61"/>
      <c r="MB11" s="29"/>
    </row>
    <row r="12" ht="23.25" customHeight="1">
      <c r="A12" s="23"/>
      <c r="B12" s="54"/>
      <c r="C12" s="91">
        <v>0.05</v>
      </c>
      <c r="D12" s="63"/>
      <c r="E12" s="64" t="s">
        <v>384</v>
      </c>
      <c r="F12" s="65">
        <v>44260.0</v>
      </c>
      <c r="G12" s="59"/>
      <c r="H12" s="91">
        <v>0.05</v>
      </c>
      <c r="I12" s="63"/>
      <c r="J12" s="64" t="s">
        <v>429</v>
      </c>
      <c r="K12" s="65">
        <v>44625.0</v>
      </c>
      <c r="L12" s="59"/>
      <c r="M12" s="91">
        <v>0.05</v>
      </c>
      <c r="N12" s="63"/>
      <c r="O12" s="64" t="s">
        <v>430</v>
      </c>
      <c r="P12" s="65">
        <v>44625.0</v>
      </c>
      <c r="Q12" s="59"/>
      <c r="R12" s="91">
        <v>0.05</v>
      </c>
      <c r="S12" s="63"/>
      <c r="T12" s="64" t="s">
        <v>387</v>
      </c>
      <c r="U12" s="65">
        <v>45022.0</v>
      </c>
      <c r="V12" s="59"/>
      <c r="W12" s="91">
        <v>0.05</v>
      </c>
      <c r="X12" s="63"/>
      <c r="Y12" s="64" t="s">
        <v>431</v>
      </c>
      <c r="Z12" s="65">
        <v>44657.0</v>
      </c>
      <c r="AA12" s="59"/>
      <c r="AB12" s="91">
        <v>0.05</v>
      </c>
      <c r="AC12" s="63"/>
      <c r="AD12" s="64" t="s">
        <v>432</v>
      </c>
      <c r="AE12" s="65">
        <v>44657.0</v>
      </c>
      <c r="AF12" s="59"/>
      <c r="AG12" s="91">
        <v>0.05</v>
      </c>
      <c r="AH12" s="63"/>
      <c r="AI12" s="64" t="s">
        <v>433</v>
      </c>
      <c r="AJ12" s="65">
        <v>44657.0</v>
      </c>
      <c r="AK12" s="59"/>
      <c r="AL12" s="91">
        <v>0.05</v>
      </c>
      <c r="AM12" s="63"/>
      <c r="AN12" s="64" t="s">
        <v>287</v>
      </c>
      <c r="AO12" s="65">
        <v>44751.0</v>
      </c>
      <c r="AP12" s="59"/>
      <c r="AQ12" s="91">
        <v>0.05</v>
      </c>
      <c r="AR12" s="63"/>
      <c r="AS12" s="64" t="s">
        <v>434</v>
      </c>
      <c r="AT12" s="65">
        <v>44751.0</v>
      </c>
      <c r="AU12" s="59"/>
      <c r="AV12" s="91">
        <v>0.05</v>
      </c>
      <c r="AW12" s="63"/>
      <c r="AX12" s="64" t="s">
        <v>392</v>
      </c>
      <c r="AY12" s="65">
        <v>44846.0</v>
      </c>
      <c r="AZ12" s="59"/>
      <c r="BA12" s="91">
        <v>0.05</v>
      </c>
      <c r="BB12" s="63"/>
      <c r="BC12" s="64" t="s">
        <v>393</v>
      </c>
      <c r="BD12" s="65">
        <v>44909.0</v>
      </c>
      <c r="BE12" s="59"/>
      <c r="BF12" s="91">
        <v>0.05</v>
      </c>
      <c r="BG12" s="63"/>
      <c r="BH12" s="64" t="s">
        <v>286</v>
      </c>
      <c r="BI12" s="65">
        <v>44909.0</v>
      </c>
      <c r="BJ12" s="59"/>
      <c r="BK12" s="91">
        <v>0.05</v>
      </c>
      <c r="BL12" s="63"/>
      <c r="BM12" s="64" t="s">
        <v>435</v>
      </c>
      <c r="BN12" s="65">
        <v>44909.0</v>
      </c>
      <c r="BO12" s="59"/>
      <c r="BP12" s="91">
        <v>0.05</v>
      </c>
      <c r="BQ12" s="63"/>
      <c r="BR12" s="64" t="s">
        <v>436</v>
      </c>
      <c r="BS12" s="65" t="s">
        <v>95</v>
      </c>
      <c r="BT12" s="59"/>
      <c r="BU12" s="91">
        <v>0.05</v>
      </c>
      <c r="BV12" s="63"/>
      <c r="BW12" s="64" t="s">
        <v>437</v>
      </c>
      <c r="BX12" s="65" t="s">
        <v>97</v>
      </c>
      <c r="BY12" s="59"/>
      <c r="BZ12" s="91">
        <v>0.05</v>
      </c>
      <c r="CA12" s="63"/>
      <c r="CB12" s="64" t="s">
        <v>438</v>
      </c>
      <c r="CC12" s="65" t="s">
        <v>99</v>
      </c>
      <c r="CD12" s="59"/>
      <c r="CE12" s="91">
        <v>0.05</v>
      </c>
      <c r="CF12" s="63"/>
      <c r="CG12" s="64" t="s">
        <v>231</v>
      </c>
      <c r="CH12" s="65" t="s">
        <v>101</v>
      </c>
      <c r="CI12" s="59"/>
      <c r="CJ12" s="91">
        <v>0.05</v>
      </c>
      <c r="CK12" s="63"/>
      <c r="CL12" s="64" t="s">
        <v>400</v>
      </c>
      <c r="CM12" s="65" t="s">
        <v>99</v>
      </c>
      <c r="CN12" s="59"/>
      <c r="CO12" s="91">
        <v>0.05</v>
      </c>
      <c r="CP12" s="63"/>
      <c r="CQ12" s="64" t="s">
        <v>401</v>
      </c>
      <c r="CR12" s="65" t="s">
        <v>104</v>
      </c>
      <c r="CS12" s="59"/>
      <c r="CT12" s="91">
        <v>0.05</v>
      </c>
      <c r="CU12" s="63"/>
      <c r="CV12" s="64" t="s">
        <v>439</v>
      </c>
      <c r="CW12" s="65" t="s">
        <v>104</v>
      </c>
      <c r="CX12" s="59"/>
      <c r="CY12" s="91">
        <v>0.05</v>
      </c>
      <c r="CZ12" s="63"/>
      <c r="DA12" s="64" t="s">
        <v>402</v>
      </c>
      <c r="DB12" s="65" t="s">
        <v>106</v>
      </c>
      <c r="DC12" s="59"/>
      <c r="DD12" s="91">
        <v>0.05</v>
      </c>
      <c r="DE12" s="63"/>
      <c r="DF12" s="64" t="s">
        <v>283</v>
      </c>
      <c r="DG12" s="65" t="s">
        <v>108</v>
      </c>
      <c r="DH12" s="59"/>
      <c r="DI12" s="91">
        <v>0.05</v>
      </c>
      <c r="DJ12" s="63"/>
      <c r="DK12" s="64" t="s">
        <v>440</v>
      </c>
      <c r="DL12" s="65" t="s">
        <v>110</v>
      </c>
      <c r="DM12" s="59"/>
      <c r="DN12" s="91">
        <v>0.05</v>
      </c>
      <c r="DO12" s="63"/>
      <c r="DP12" s="64" t="s">
        <v>404</v>
      </c>
      <c r="DQ12" s="65" t="s">
        <v>112</v>
      </c>
      <c r="DR12" s="59"/>
      <c r="DS12" s="91">
        <v>0.05</v>
      </c>
      <c r="DT12" s="63"/>
      <c r="DU12" s="64" t="s">
        <v>405</v>
      </c>
      <c r="DV12" s="65" t="s">
        <v>114</v>
      </c>
      <c r="DW12" s="59"/>
      <c r="DX12" s="91">
        <v>0.05</v>
      </c>
      <c r="DY12" s="63"/>
      <c r="DZ12" s="64" t="s">
        <v>406</v>
      </c>
      <c r="EA12" s="65" t="s">
        <v>116</v>
      </c>
      <c r="EB12" s="59"/>
      <c r="EC12" s="91">
        <v>0.05</v>
      </c>
      <c r="ED12" s="63"/>
      <c r="EE12" s="64" t="s">
        <v>441</v>
      </c>
      <c r="EF12" s="65" t="s">
        <v>118</v>
      </c>
      <c r="EG12" s="59"/>
      <c r="EH12" s="91">
        <v>0.05</v>
      </c>
      <c r="EI12" s="63"/>
      <c r="EJ12" s="64" t="s">
        <v>441</v>
      </c>
      <c r="EK12" s="65" t="s">
        <v>118</v>
      </c>
      <c r="EL12" s="59"/>
      <c r="EM12" s="91">
        <v>0.05</v>
      </c>
      <c r="EN12" s="63"/>
      <c r="EO12" s="64" t="s">
        <v>441</v>
      </c>
      <c r="EP12" s="65" t="s">
        <v>118</v>
      </c>
      <c r="EQ12" s="59"/>
      <c r="ER12" s="91">
        <v>0.05</v>
      </c>
      <c r="ES12" s="63"/>
      <c r="ET12" s="64" t="s">
        <v>441</v>
      </c>
      <c r="EU12" s="65" t="s">
        <v>118</v>
      </c>
      <c r="EV12" s="59"/>
      <c r="EW12" s="91">
        <v>0.05</v>
      </c>
      <c r="EX12" s="63"/>
      <c r="EY12" s="64" t="s">
        <v>408</v>
      </c>
      <c r="EZ12" s="65" t="s">
        <v>114</v>
      </c>
      <c r="FA12" s="59"/>
      <c r="FB12" s="91">
        <v>0.05</v>
      </c>
      <c r="FC12" s="63"/>
      <c r="FD12" s="64" t="s">
        <v>408</v>
      </c>
      <c r="FE12" s="65" t="s">
        <v>121</v>
      </c>
      <c r="FF12" s="59"/>
      <c r="FG12" s="91">
        <v>0.05</v>
      </c>
      <c r="FH12" s="63"/>
      <c r="FI12" s="64" t="s">
        <v>409</v>
      </c>
      <c r="FJ12" s="65" t="s">
        <v>123</v>
      </c>
      <c r="FK12" s="59"/>
      <c r="FL12" s="91">
        <v>0.05</v>
      </c>
      <c r="FM12" s="63"/>
      <c r="FN12" s="64" t="s">
        <v>410</v>
      </c>
      <c r="FO12" s="65" t="s">
        <v>125</v>
      </c>
      <c r="FP12" s="59"/>
      <c r="FQ12" s="91">
        <v>0.05</v>
      </c>
      <c r="FR12" s="63"/>
      <c r="FS12" s="64" t="s">
        <v>411</v>
      </c>
      <c r="FT12" s="65" t="s">
        <v>127</v>
      </c>
      <c r="FU12" s="59"/>
      <c r="FV12" s="91">
        <v>0.05</v>
      </c>
      <c r="FW12" s="63"/>
      <c r="FX12" s="64" t="s">
        <v>412</v>
      </c>
      <c r="FY12" s="65" t="s">
        <v>127</v>
      </c>
      <c r="FZ12" s="59"/>
      <c r="GA12" s="91">
        <v>0.05</v>
      </c>
      <c r="GB12" s="63"/>
      <c r="GC12" s="64" t="s">
        <v>413</v>
      </c>
      <c r="GD12" s="65" t="s">
        <v>123</v>
      </c>
      <c r="GE12" s="59"/>
      <c r="GF12" s="91">
        <v>0.05</v>
      </c>
      <c r="GG12" s="63"/>
      <c r="GH12" s="64" t="s">
        <v>198</v>
      </c>
      <c r="GI12" s="65" t="s">
        <v>116</v>
      </c>
      <c r="GJ12" s="59"/>
      <c r="GK12" s="91">
        <v>0.05</v>
      </c>
      <c r="GL12" s="63"/>
      <c r="GM12" s="64" t="s">
        <v>200</v>
      </c>
      <c r="GN12" s="65" t="s">
        <v>132</v>
      </c>
      <c r="GO12" s="59"/>
      <c r="GP12" s="91">
        <v>0.05</v>
      </c>
      <c r="GQ12" s="63"/>
      <c r="GR12" s="64" t="s">
        <v>200</v>
      </c>
      <c r="GS12" s="65" t="s">
        <v>132</v>
      </c>
      <c r="GT12" s="59"/>
      <c r="GU12" s="91">
        <v>0.05</v>
      </c>
      <c r="GV12" s="63"/>
      <c r="GW12" s="64" t="s">
        <v>200</v>
      </c>
      <c r="GX12" s="65" t="s">
        <v>132</v>
      </c>
      <c r="GY12" s="59"/>
      <c r="GZ12" s="91">
        <v>0.05</v>
      </c>
      <c r="HA12" s="63"/>
      <c r="HB12" s="64" t="s">
        <v>200</v>
      </c>
      <c r="HC12" s="65" t="s">
        <v>132</v>
      </c>
      <c r="HD12" s="59"/>
      <c r="HE12" s="91">
        <v>0.05</v>
      </c>
      <c r="HF12" s="63"/>
      <c r="HG12" s="64" t="s">
        <v>333</v>
      </c>
      <c r="HH12" s="65" t="s">
        <v>132</v>
      </c>
      <c r="HI12" s="59"/>
      <c r="HJ12" s="91">
        <v>0.05</v>
      </c>
      <c r="HK12" s="63"/>
      <c r="HL12" s="64" t="s">
        <v>414</v>
      </c>
      <c r="HM12" s="65" t="s">
        <v>135</v>
      </c>
      <c r="HN12" s="59"/>
      <c r="HO12" s="91">
        <v>0.05</v>
      </c>
      <c r="HP12" s="63"/>
      <c r="HQ12" s="64" t="s">
        <v>415</v>
      </c>
      <c r="HR12" s="65" t="s">
        <v>135</v>
      </c>
      <c r="HS12" s="59"/>
      <c r="HT12" s="91">
        <v>0.05</v>
      </c>
      <c r="HU12" s="63"/>
      <c r="HV12" s="64" t="s">
        <v>416</v>
      </c>
      <c r="HW12" s="65" t="s">
        <v>135</v>
      </c>
      <c r="HX12" s="59"/>
      <c r="HY12" s="91">
        <v>0.05</v>
      </c>
      <c r="HZ12" s="63"/>
      <c r="IA12" s="64" t="s">
        <v>414</v>
      </c>
      <c r="IB12" s="65" t="s">
        <v>135</v>
      </c>
      <c r="IC12" s="59"/>
      <c r="ID12" s="91">
        <v>0.05</v>
      </c>
      <c r="IE12" s="63"/>
      <c r="IF12" s="64" t="s">
        <v>363</v>
      </c>
      <c r="IG12" s="65" t="s">
        <v>135</v>
      </c>
      <c r="IH12" s="59"/>
      <c r="II12" s="91">
        <v>0.05</v>
      </c>
      <c r="IJ12" s="63"/>
      <c r="IK12" s="64" t="s">
        <v>417</v>
      </c>
      <c r="IL12" s="65" t="s">
        <v>140</v>
      </c>
      <c r="IM12" s="59"/>
      <c r="IN12" s="91">
        <v>0.05</v>
      </c>
      <c r="IO12" s="63"/>
      <c r="IP12" s="64" t="s">
        <v>418</v>
      </c>
      <c r="IQ12" s="65" t="s">
        <v>140</v>
      </c>
      <c r="IR12" s="59"/>
      <c r="IS12" s="91">
        <v>0.05</v>
      </c>
      <c r="IT12" s="63"/>
      <c r="IU12" s="64" t="s">
        <v>423</v>
      </c>
      <c r="IV12" s="65" t="s">
        <v>140</v>
      </c>
      <c r="IW12" s="59"/>
      <c r="IX12" s="91">
        <v>0.05</v>
      </c>
      <c r="IY12" s="63"/>
      <c r="IZ12" s="64" t="s">
        <v>419</v>
      </c>
      <c r="JA12" s="67" t="s">
        <v>144</v>
      </c>
      <c r="JB12" s="59"/>
      <c r="JC12" s="91">
        <v>0.05</v>
      </c>
      <c r="JD12" s="63"/>
      <c r="JE12" s="64" t="s">
        <v>420</v>
      </c>
      <c r="JF12" s="67" t="s">
        <v>144</v>
      </c>
      <c r="JG12" s="59"/>
      <c r="JH12" s="91">
        <v>0.05</v>
      </c>
      <c r="JI12" s="63"/>
      <c r="JJ12" s="64" t="s">
        <v>442</v>
      </c>
      <c r="JK12" s="65" t="s">
        <v>146</v>
      </c>
      <c r="JL12" s="59"/>
      <c r="JM12" s="91">
        <v>0.05</v>
      </c>
      <c r="JN12" s="63"/>
      <c r="JO12" s="64" t="s">
        <v>255</v>
      </c>
      <c r="JP12" s="65" t="s">
        <v>146</v>
      </c>
      <c r="JQ12" s="59"/>
      <c r="JR12" s="91">
        <v>0.05</v>
      </c>
      <c r="JS12" s="63"/>
      <c r="JT12" s="64" t="s">
        <v>443</v>
      </c>
      <c r="JU12" s="65" t="s">
        <v>146</v>
      </c>
      <c r="JV12" s="59"/>
      <c r="JW12" s="51"/>
      <c r="JX12" s="59"/>
      <c r="JY12" s="91">
        <v>0.05</v>
      </c>
      <c r="JZ12" s="63"/>
      <c r="KA12" s="64" t="s">
        <v>423</v>
      </c>
      <c r="KB12" s="65" t="s">
        <v>150</v>
      </c>
      <c r="KC12" s="59"/>
      <c r="KD12" s="91">
        <v>0.05</v>
      </c>
      <c r="KE12" s="63"/>
      <c r="KF12" s="64" t="s">
        <v>414</v>
      </c>
      <c r="KG12" s="65" t="s">
        <v>150</v>
      </c>
      <c r="KH12" s="59"/>
      <c r="KI12" s="91">
        <v>0.05</v>
      </c>
      <c r="KJ12" s="63"/>
      <c r="KK12" s="64" t="s">
        <v>262</v>
      </c>
      <c r="KL12" s="65" t="s">
        <v>150</v>
      </c>
      <c r="KM12" s="59"/>
      <c r="KN12" s="91">
        <v>0.05</v>
      </c>
      <c r="KO12" s="63"/>
      <c r="KP12" s="64" t="s">
        <v>424</v>
      </c>
      <c r="KQ12" s="65" t="s">
        <v>150</v>
      </c>
      <c r="KR12" s="59"/>
      <c r="KS12" s="91">
        <v>0.05</v>
      </c>
      <c r="KT12" s="63"/>
      <c r="KU12" s="64" t="s">
        <v>425</v>
      </c>
      <c r="KV12" s="65" t="s">
        <v>150</v>
      </c>
      <c r="KW12" s="59"/>
      <c r="KX12" s="91">
        <v>0.05</v>
      </c>
      <c r="KY12" s="63"/>
      <c r="KZ12" s="64" t="s">
        <v>426</v>
      </c>
      <c r="LA12" s="65" t="s">
        <v>150</v>
      </c>
      <c r="LB12" s="59"/>
      <c r="LC12" s="91">
        <v>0.05</v>
      </c>
      <c r="LD12" s="63"/>
      <c r="LE12" s="64" t="s">
        <v>427</v>
      </c>
      <c r="LF12" s="65" t="s">
        <v>150</v>
      </c>
      <c r="LG12" s="59"/>
      <c r="LH12" s="91">
        <v>0.05</v>
      </c>
      <c r="LI12" s="63"/>
      <c r="LJ12" s="64" t="s">
        <v>320</v>
      </c>
      <c r="LK12" s="65" t="s">
        <v>150</v>
      </c>
      <c r="LL12" s="59"/>
      <c r="LM12" s="91">
        <v>0.05</v>
      </c>
      <c r="LN12" s="63"/>
      <c r="LO12" s="64" t="s">
        <v>269</v>
      </c>
      <c r="LP12" s="65" t="s">
        <v>150</v>
      </c>
      <c r="LQ12" s="59"/>
      <c r="LR12" s="91">
        <v>0.05</v>
      </c>
      <c r="LS12" s="63"/>
      <c r="LT12" s="64" t="s">
        <v>260</v>
      </c>
      <c r="LU12" s="65" t="s">
        <v>150</v>
      </c>
      <c r="LV12" s="59"/>
      <c r="LW12" s="91">
        <v>0.05</v>
      </c>
      <c r="LX12" s="63"/>
      <c r="LY12" s="64" t="s">
        <v>428</v>
      </c>
      <c r="LZ12" s="65" t="s">
        <v>150</v>
      </c>
      <c r="MA12" s="61"/>
      <c r="MB12" s="29"/>
    </row>
    <row r="13" ht="23.25" customHeight="1">
      <c r="A13" s="23"/>
      <c r="B13" s="54"/>
      <c r="C13" s="92">
        <v>0.04</v>
      </c>
      <c r="D13" s="69"/>
      <c r="E13" s="70" t="s">
        <v>444</v>
      </c>
      <c r="F13" s="71">
        <v>44231.0</v>
      </c>
      <c r="G13" s="59"/>
      <c r="H13" s="92">
        <v>0.04</v>
      </c>
      <c r="I13" s="69"/>
      <c r="J13" s="70" t="s">
        <v>445</v>
      </c>
      <c r="K13" s="71">
        <v>44625.0</v>
      </c>
      <c r="L13" s="59"/>
      <c r="M13" s="92">
        <v>0.04</v>
      </c>
      <c r="N13" s="69"/>
      <c r="O13" s="70" t="s">
        <v>172</v>
      </c>
      <c r="P13" s="71">
        <v>44625.0</v>
      </c>
      <c r="Q13" s="59"/>
      <c r="R13" s="92">
        <v>0.04</v>
      </c>
      <c r="S13" s="69"/>
      <c r="T13" s="70" t="s">
        <v>446</v>
      </c>
      <c r="U13" s="71">
        <v>45022.0</v>
      </c>
      <c r="V13" s="59"/>
      <c r="W13" s="92">
        <v>0.04</v>
      </c>
      <c r="X13" s="69"/>
      <c r="Y13" s="70" t="s">
        <v>163</v>
      </c>
      <c r="Z13" s="71">
        <v>44625.0</v>
      </c>
      <c r="AA13" s="59"/>
      <c r="AB13" s="92">
        <v>0.04</v>
      </c>
      <c r="AC13" s="69"/>
      <c r="AD13" s="70" t="s">
        <v>356</v>
      </c>
      <c r="AE13" s="71">
        <v>44657.0</v>
      </c>
      <c r="AF13" s="59"/>
      <c r="AG13" s="92">
        <v>0.04</v>
      </c>
      <c r="AH13" s="69"/>
      <c r="AI13" s="70" t="s">
        <v>447</v>
      </c>
      <c r="AJ13" s="71">
        <v>44657.0</v>
      </c>
      <c r="AK13" s="59"/>
      <c r="AL13" s="92">
        <v>0.04</v>
      </c>
      <c r="AM13" s="69"/>
      <c r="AN13" s="70" t="s">
        <v>323</v>
      </c>
      <c r="AO13" s="71">
        <v>44751.0</v>
      </c>
      <c r="AP13" s="59"/>
      <c r="AQ13" s="92">
        <v>0.04</v>
      </c>
      <c r="AR13" s="69"/>
      <c r="AS13" s="70" t="s">
        <v>170</v>
      </c>
      <c r="AT13" s="71">
        <v>44751.0</v>
      </c>
      <c r="AU13" s="59"/>
      <c r="AV13" s="92">
        <v>0.04</v>
      </c>
      <c r="AW13" s="69"/>
      <c r="AX13" s="70" t="s">
        <v>431</v>
      </c>
      <c r="AY13" s="71">
        <v>44846.0</v>
      </c>
      <c r="AZ13" s="59"/>
      <c r="BA13" s="92">
        <v>0.04</v>
      </c>
      <c r="BB13" s="69"/>
      <c r="BC13" s="70" t="s">
        <v>448</v>
      </c>
      <c r="BD13" s="71">
        <v>44909.0</v>
      </c>
      <c r="BE13" s="59"/>
      <c r="BF13" s="92">
        <v>0.04</v>
      </c>
      <c r="BG13" s="69"/>
      <c r="BH13" s="70" t="s">
        <v>449</v>
      </c>
      <c r="BI13" s="71">
        <v>44909.0</v>
      </c>
      <c r="BJ13" s="59"/>
      <c r="BK13" s="92">
        <v>0.04</v>
      </c>
      <c r="BL13" s="69"/>
      <c r="BM13" s="70" t="s">
        <v>435</v>
      </c>
      <c r="BN13" s="71">
        <v>44909.0</v>
      </c>
      <c r="BO13" s="59"/>
      <c r="BP13" s="92">
        <v>0.04</v>
      </c>
      <c r="BQ13" s="69"/>
      <c r="BR13" s="70" t="s">
        <v>450</v>
      </c>
      <c r="BS13" s="71" t="s">
        <v>95</v>
      </c>
      <c r="BT13" s="59"/>
      <c r="BU13" s="92">
        <v>0.04</v>
      </c>
      <c r="BV13" s="69"/>
      <c r="BW13" s="70" t="s">
        <v>451</v>
      </c>
      <c r="BX13" s="71" t="s">
        <v>97</v>
      </c>
      <c r="BY13" s="59"/>
      <c r="BZ13" s="92">
        <v>0.04</v>
      </c>
      <c r="CA13" s="69"/>
      <c r="CB13" s="70" t="s">
        <v>452</v>
      </c>
      <c r="CC13" s="71" t="s">
        <v>99</v>
      </c>
      <c r="CD13" s="59"/>
      <c r="CE13" s="92">
        <v>0.04</v>
      </c>
      <c r="CF13" s="69"/>
      <c r="CG13" s="70" t="s">
        <v>89</v>
      </c>
      <c r="CH13" s="71" t="s">
        <v>101</v>
      </c>
      <c r="CI13" s="59"/>
      <c r="CJ13" s="92">
        <v>0.04</v>
      </c>
      <c r="CK13" s="69"/>
      <c r="CL13" s="70" t="s">
        <v>453</v>
      </c>
      <c r="CM13" s="71" t="s">
        <v>99</v>
      </c>
      <c r="CN13" s="59"/>
      <c r="CO13" s="92">
        <v>0.04</v>
      </c>
      <c r="CP13" s="69"/>
      <c r="CQ13" s="70" t="s">
        <v>454</v>
      </c>
      <c r="CR13" s="71" t="s">
        <v>104</v>
      </c>
      <c r="CS13" s="59"/>
      <c r="CT13" s="92">
        <v>0.04</v>
      </c>
      <c r="CU13" s="69"/>
      <c r="CV13" s="70" t="s">
        <v>319</v>
      </c>
      <c r="CW13" s="71" t="s">
        <v>104</v>
      </c>
      <c r="CX13" s="59"/>
      <c r="CY13" s="92">
        <v>0.04</v>
      </c>
      <c r="CZ13" s="69"/>
      <c r="DA13" s="70" t="s">
        <v>455</v>
      </c>
      <c r="DB13" s="71" t="s">
        <v>106</v>
      </c>
      <c r="DC13" s="59"/>
      <c r="DD13" s="92">
        <v>0.04</v>
      </c>
      <c r="DE13" s="69"/>
      <c r="DF13" s="70" t="s">
        <v>456</v>
      </c>
      <c r="DG13" s="71" t="s">
        <v>108</v>
      </c>
      <c r="DH13" s="59"/>
      <c r="DI13" s="92">
        <v>0.04</v>
      </c>
      <c r="DJ13" s="69"/>
      <c r="DK13" s="70" t="s">
        <v>457</v>
      </c>
      <c r="DL13" s="71" t="s">
        <v>110</v>
      </c>
      <c r="DM13" s="59"/>
      <c r="DN13" s="92">
        <v>0.04</v>
      </c>
      <c r="DO13" s="69"/>
      <c r="DP13" s="70" t="s">
        <v>352</v>
      </c>
      <c r="DQ13" s="71" t="s">
        <v>112</v>
      </c>
      <c r="DR13" s="59"/>
      <c r="DS13" s="92">
        <v>0.04</v>
      </c>
      <c r="DT13" s="69"/>
      <c r="DU13" s="70" t="s">
        <v>271</v>
      </c>
      <c r="DV13" s="71" t="s">
        <v>114</v>
      </c>
      <c r="DW13" s="59"/>
      <c r="DX13" s="92">
        <v>0.04</v>
      </c>
      <c r="DY13" s="69"/>
      <c r="DZ13" s="70" t="s">
        <v>458</v>
      </c>
      <c r="EA13" s="71" t="s">
        <v>116</v>
      </c>
      <c r="EB13" s="59"/>
      <c r="EC13" s="92">
        <v>0.04</v>
      </c>
      <c r="ED13" s="69"/>
      <c r="EE13" s="70" t="s">
        <v>459</v>
      </c>
      <c r="EF13" s="71" t="s">
        <v>118</v>
      </c>
      <c r="EG13" s="59"/>
      <c r="EH13" s="92">
        <v>0.04</v>
      </c>
      <c r="EI13" s="69"/>
      <c r="EJ13" s="70" t="s">
        <v>460</v>
      </c>
      <c r="EK13" s="71" t="s">
        <v>118</v>
      </c>
      <c r="EL13" s="59"/>
      <c r="EM13" s="92">
        <v>0.04</v>
      </c>
      <c r="EN13" s="69"/>
      <c r="EO13" s="70" t="s">
        <v>459</v>
      </c>
      <c r="EP13" s="71" t="s">
        <v>118</v>
      </c>
      <c r="EQ13" s="59"/>
      <c r="ER13" s="92">
        <v>0.04</v>
      </c>
      <c r="ES13" s="69"/>
      <c r="ET13" s="70" t="s">
        <v>459</v>
      </c>
      <c r="EU13" s="71" t="s">
        <v>118</v>
      </c>
      <c r="EV13" s="59"/>
      <c r="EW13" s="92">
        <v>0.04</v>
      </c>
      <c r="EX13" s="69"/>
      <c r="EY13" s="70" t="s">
        <v>461</v>
      </c>
      <c r="EZ13" s="71" t="s">
        <v>114</v>
      </c>
      <c r="FA13" s="59"/>
      <c r="FB13" s="92">
        <v>0.04</v>
      </c>
      <c r="FC13" s="69"/>
      <c r="FD13" s="70" t="s">
        <v>462</v>
      </c>
      <c r="FE13" s="71" t="s">
        <v>121</v>
      </c>
      <c r="FF13" s="59"/>
      <c r="FG13" s="92">
        <v>0.04</v>
      </c>
      <c r="FH13" s="69"/>
      <c r="FI13" s="70" t="s">
        <v>463</v>
      </c>
      <c r="FJ13" s="71" t="s">
        <v>123</v>
      </c>
      <c r="FK13" s="59"/>
      <c r="FL13" s="92">
        <v>0.04</v>
      </c>
      <c r="FM13" s="69"/>
      <c r="FN13" s="70" t="s">
        <v>464</v>
      </c>
      <c r="FO13" s="71" t="s">
        <v>125</v>
      </c>
      <c r="FP13" s="59"/>
      <c r="FQ13" s="92">
        <v>0.04</v>
      </c>
      <c r="FR13" s="69"/>
      <c r="FS13" s="70" t="s">
        <v>465</v>
      </c>
      <c r="FT13" s="71" t="s">
        <v>127</v>
      </c>
      <c r="FU13" s="59"/>
      <c r="FV13" s="92">
        <v>0.04</v>
      </c>
      <c r="FW13" s="69"/>
      <c r="FX13" s="70" t="s">
        <v>372</v>
      </c>
      <c r="FY13" s="71" t="s">
        <v>127</v>
      </c>
      <c r="FZ13" s="59"/>
      <c r="GA13" s="92">
        <v>0.04</v>
      </c>
      <c r="GB13" s="69"/>
      <c r="GC13" s="70" t="s">
        <v>466</v>
      </c>
      <c r="GD13" s="71" t="s">
        <v>123</v>
      </c>
      <c r="GE13" s="59"/>
      <c r="GF13" s="92">
        <v>0.04</v>
      </c>
      <c r="GG13" s="69"/>
      <c r="GH13" s="70" t="s">
        <v>200</v>
      </c>
      <c r="GI13" s="71" t="s">
        <v>116</v>
      </c>
      <c r="GJ13" s="59"/>
      <c r="GK13" s="92">
        <v>0.04</v>
      </c>
      <c r="GL13" s="69"/>
      <c r="GM13" s="70" t="s">
        <v>410</v>
      </c>
      <c r="GN13" s="71" t="s">
        <v>132</v>
      </c>
      <c r="GO13" s="59"/>
      <c r="GP13" s="92">
        <v>0.04</v>
      </c>
      <c r="GQ13" s="69"/>
      <c r="GR13" s="70" t="s">
        <v>467</v>
      </c>
      <c r="GS13" s="71" t="s">
        <v>132</v>
      </c>
      <c r="GT13" s="59"/>
      <c r="GU13" s="92">
        <v>0.04</v>
      </c>
      <c r="GV13" s="69"/>
      <c r="GW13" s="70" t="s">
        <v>124</v>
      </c>
      <c r="GX13" s="71" t="s">
        <v>132</v>
      </c>
      <c r="GY13" s="59"/>
      <c r="GZ13" s="92">
        <v>0.04</v>
      </c>
      <c r="HA13" s="69"/>
      <c r="HB13" s="70" t="s">
        <v>468</v>
      </c>
      <c r="HC13" s="71" t="s">
        <v>132</v>
      </c>
      <c r="HD13" s="59"/>
      <c r="HE13" s="92">
        <v>0.04</v>
      </c>
      <c r="HF13" s="69"/>
      <c r="HG13" s="70" t="s">
        <v>200</v>
      </c>
      <c r="HH13" s="71" t="s">
        <v>132</v>
      </c>
      <c r="HI13" s="59"/>
      <c r="HJ13" s="92">
        <v>0.04</v>
      </c>
      <c r="HK13" s="69"/>
      <c r="HL13" s="70" t="s">
        <v>441</v>
      </c>
      <c r="HM13" s="71" t="s">
        <v>135</v>
      </c>
      <c r="HN13" s="59"/>
      <c r="HO13" s="92">
        <v>0.04</v>
      </c>
      <c r="HP13" s="69"/>
      <c r="HQ13" s="70" t="s">
        <v>469</v>
      </c>
      <c r="HR13" s="71" t="s">
        <v>135</v>
      </c>
      <c r="HS13" s="59"/>
      <c r="HT13" s="92">
        <v>0.04</v>
      </c>
      <c r="HU13" s="69"/>
      <c r="HV13" s="70" t="s">
        <v>470</v>
      </c>
      <c r="HW13" s="71" t="s">
        <v>135</v>
      </c>
      <c r="HX13" s="59"/>
      <c r="HY13" s="92">
        <v>0.04</v>
      </c>
      <c r="HZ13" s="69"/>
      <c r="IA13" s="70" t="s">
        <v>469</v>
      </c>
      <c r="IB13" s="71" t="s">
        <v>135</v>
      </c>
      <c r="IC13" s="59"/>
      <c r="ID13" s="92">
        <v>0.04</v>
      </c>
      <c r="IE13" s="69"/>
      <c r="IF13" s="70" t="s">
        <v>471</v>
      </c>
      <c r="IG13" s="71" t="s">
        <v>135</v>
      </c>
      <c r="IH13" s="59"/>
      <c r="II13" s="92">
        <v>0.04</v>
      </c>
      <c r="IJ13" s="69"/>
      <c r="IK13" s="70" t="s">
        <v>472</v>
      </c>
      <c r="IL13" s="71" t="s">
        <v>140</v>
      </c>
      <c r="IM13" s="59"/>
      <c r="IN13" s="92">
        <v>0.04</v>
      </c>
      <c r="IO13" s="69"/>
      <c r="IP13" s="70" t="s">
        <v>472</v>
      </c>
      <c r="IQ13" s="71" t="s">
        <v>140</v>
      </c>
      <c r="IR13" s="59"/>
      <c r="IS13" s="92">
        <v>0.04</v>
      </c>
      <c r="IT13" s="69"/>
      <c r="IU13" s="70" t="s">
        <v>473</v>
      </c>
      <c r="IV13" s="71" t="s">
        <v>140</v>
      </c>
      <c r="IW13" s="59"/>
      <c r="IX13" s="92">
        <v>0.04</v>
      </c>
      <c r="IY13" s="69"/>
      <c r="IZ13" s="70" t="s">
        <v>292</v>
      </c>
      <c r="JA13" s="72" t="s">
        <v>144</v>
      </c>
      <c r="JB13" s="59"/>
      <c r="JC13" s="92">
        <v>0.04</v>
      </c>
      <c r="JD13" s="69"/>
      <c r="JE13" s="70" t="s">
        <v>426</v>
      </c>
      <c r="JF13" s="72" t="s">
        <v>144</v>
      </c>
      <c r="JG13" s="59"/>
      <c r="JH13" s="92">
        <v>0.04</v>
      </c>
      <c r="JI13" s="69"/>
      <c r="JJ13" s="70" t="s">
        <v>474</v>
      </c>
      <c r="JK13" s="71" t="s">
        <v>146</v>
      </c>
      <c r="JL13" s="59"/>
      <c r="JM13" s="92">
        <v>0.04</v>
      </c>
      <c r="JN13" s="69"/>
      <c r="JO13" s="70" t="s">
        <v>475</v>
      </c>
      <c r="JP13" s="71" t="s">
        <v>146</v>
      </c>
      <c r="JQ13" s="59"/>
      <c r="JR13" s="92">
        <v>0.04</v>
      </c>
      <c r="JS13" s="69"/>
      <c r="JT13" s="70" t="s">
        <v>443</v>
      </c>
      <c r="JU13" s="71" t="s">
        <v>146</v>
      </c>
      <c r="JV13" s="59"/>
      <c r="JW13" s="51"/>
      <c r="JX13" s="59"/>
      <c r="JY13" s="92">
        <v>0.04</v>
      </c>
      <c r="JZ13" s="69"/>
      <c r="KA13" s="70" t="s">
        <v>198</v>
      </c>
      <c r="KB13" s="71" t="s">
        <v>150</v>
      </c>
      <c r="KC13" s="59"/>
      <c r="KD13" s="92">
        <v>0.04</v>
      </c>
      <c r="KE13" s="69"/>
      <c r="KF13" s="70" t="s">
        <v>421</v>
      </c>
      <c r="KG13" s="71" t="s">
        <v>150</v>
      </c>
      <c r="KH13" s="59"/>
      <c r="KI13" s="92">
        <v>0.04</v>
      </c>
      <c r="KJ13" s="69"/>
      <c r="KK13" s="70" t="s">
        <v>425</v>
      </c>
      <c r="KL13" s="71" t="s">
        <v>150</v>
      </c>
      <c r="KM13" s="59"/>
      <c r="KN13" s="92">
        <v>0.04</v>
      </c>
      <c r="KO13" s="69"/>
      <c r="KP13" s="70" t="s">
        <v>476</v>
      </c>
      <c r="KQ13" s="71" t="s">
        <v>150</v>
      </c>
      <c r="KR13" s="59"/>
      <c r="KS13" s="92">
        <v>0.04</v>
      </c>
      <c r="KT13" s="69"/>
      <c r="KU13" s="70" t="s">
        <v>201</v>
      </c>
      <c r="KV13" s="71" t="s">
        <v>150</v>
      </c>
      <c r="KW13" s="59"/>
      <c r="KX13" s="92">
        <v>0.04</v>
      </c>
      <c r="KY13" s="69"/>
      <c r="KZ13" s="70" t="s">
        <v>477</v>
      </c>
      <c r="LA13" s="71" t="s">
        <v>150</v>
      </c>
      <c r="LB13" s="59"/>
      <c r="LC13" s="92">
        <v>0.04</v>
      </c>
      <c r="LD13" s="69"/>
      <c r="LE13" s="70" t="s">
        <v>478</v>
      </c>
      <c r="LF13" s="71" t="s">
        <v>150</v>
      </c>
      <c r="LG13" s="59"/>
      <c r="LH13" s="92">
        <v>0.04</v>
      </c>
      <c r="LI13" s="69"/>
      <c r="LJ13" s="70" t="s">
        <v>479</v>
      </c>
      <c r="LK13" s="71" t="s">
        <v>150</v>
      </c>
      <c r="LL13" s="59"/>
      <c r="LM13" s="92">
        <v>0.04</v>
      </c>
      <c r="LN13" s="69"/>
      <c r="LO13" s="70" t="s">
        <v>459</v>
      </c>
      <c r="LP13" s="71" t="s">
        <v>150</v>
      </c>
      <c r="LQ13" s="59"/>
      <c r="LR13" s="92">
        <v>0.04</v>
      </c>
      <c r="LS13" s="69"/>
      <c r="LT13" s="70" t="s">
        <v>480</v>
      </c>
      <c r="LU13" s="71" t="s">
        <v>150</v>
      </c>
      <c r="LV13" s="59"/>
      <c r="LW13" s="92">
        <v>0.04</v>
      </c>
      <c r="LX13" s="69"/>
      <c r="LY13" s="70" t="s">
        <v>206</v>
      </c>
      <c r="LZ13" s="71" t="s">
        <v>150</v>
      </c>
      <c r="MA13" s="61"/>
      <c r="MB13" s="29"/>
    </row>
    <row r="14" ht="23.25" customHeight="1">
      <c r="A14" s="23"/>
      <c r="B14" s="54"/>
      <c r="C14" s="93">
        <v>0.04</v>
      </c>
      <c r="D14" s="85"/>
      <c r="E14" s="86" t="s">
        <v>444</v>
      </c>
      <c r="F14" s="87">
        <v>44231.0</v>
      </c>
      <c r="G14" s="59"/>
      <c r="H14" s="93">
        <v>0.04</v>
      </c>
      <c r="I14" s="85"/>
      <c r="J14" s="86" t="s">
        <v>445</v>
      </c>
      <c r="K14" s="87">
        <v>44625.0</v>
      </c>
      <c r="L14" s="59"/>
      <c r="M14" s="93">
        <v>0.04</v>
      </c>
      <c r="N14" s="85"/>
      <c r="O14" s="86" t="s">
        <v>226</v>
      </c>
      <c r="P14" s="87">
        <v>44625.0</v>
      </c>
      <c r="Q14" s="59"/>
      <c r="R14" s="93">
        <v>0.04</v>
      </c>
      <c r="S14" s="85"/>
      <c r="T14" s="86" t="s">
        <v>446</v>
      </c>
      <c r="U14" s="87">
        <v>45022.0</v>
      </c>
      <c r="V14" s="59"/>
      <c r="W14" s="93">
        <v>0.04</v>
      </c>
      <c r="X14" s="85"/>
      <c r="Y14" s="86" t="s">
        <v>481</v>
      </c>
      <c r="Z14" s="87">
        <v>44625.0</v>
      </c>
      <c r="AA14" s="59"/>
      <c r="AB14" s="93">
        <v>0.04</v>
      </c>
      <c r="AC14" s="85"/>
      <c r="AD14" s="86" t="s">
        <v>356</v>
      </c>
      <c r="AE14" s="87">
        <v>44657.0</v>
      </c>
      <c r="AF14" s="59"/>
      <c r="AG14" s="93">
        <v>0.04</v>
      </c>
      <c r="AH14" s="85"/>
      <c r="AI14" s="86" t="s">
        <v>482</v>
      </c>
      <c r="AJ14" s="87">
        <v>44657.0</v>
      </c>
      <c r="AK14" s="59"/>
      <c r="AL14" s="93">
        <v>0.04</v>
      </c>
      <c r="AM14" s="85"/>
      <c r="AN14" s="86" t="s">
        <v>483</v>
      </c>
      <c r="AO14" s="87">
        <v>44751.0</v>
      </c>
      <c r="AP14" s="59"/>
      <c r="AQ14" s="93">
        <v>0.04</v>
      </c>
      <c r="AR14" s="85"/>
      <c r="AS14" s="86" t="s">
        <v>273</v>
      </c>
      <c r="AT14" s="87">
        <v>44751.0</v>
      </c>
      <c r="AU14" s="59"/>
      <c r="AV14" s="93">
        <v>0.04</v>
      </c>
      <c r="AW14" s="85"/>
      <c r="AX14" s="86" t="s">
        <v>484</v>
      </c>
      <c r="AY14" s="87">
        <v>44846.0</v>
      </c>
      <c r="AZ14" s="59"/>
      <c r="BA14" s="93">
        <v>0.04</v>
      </c>
      <c r="BB14" s="85"/>
      <c r="BC14" s="86" t="s">
        <v>485</v>
      </c>
      <c r="BD14" s="87">
        <v>44909.0</v>
      </c>
      <c r="BE14" s="59"/>
      <c r="BF14" s="93">
        <v>0.04</v>
      </c>
      <c r="BG14" s="85"/>
      <c r="BH14" s="86" t="s">
        <v>449</v>
      </c>
      <c r="BI14" s="87">
        <v>44909.0</v>
      </c>
      <c r="BJ14" s="59"/>
      <c r="BK14" s="93">
        <v>0.04</v>
      </c>
      <c r="BL14" s="85"/>
      <c r="BM14" s="86" t="s">
        <v>290</v>
      </c>
      <c r="BN14" s="87">
        <v>44909.0</v>
      </c>
      <c r="BO14" s="59"/>
      <c r="BP14" s="93">
        <v>0.04</v>
      </c>
      <c r="BQ14" s="85"/>
      <c r="BR14" s="86" t="s">
        <v>450</v>
      </c>
      <c r="BS14" s="87" t="s">
        <v>95</v>
      </c>
      <c r="BT14" s="59"/>
      <c r="BU14" s="93">
        <v>0.04</v>
      </c>
      <c r="BV14" s="85"/>
      <c r="BW14" s="86" t="s">
        <v>481</v>
      </c>
      <c r="BX14" s="87" t="s">
        <v>97</v>
      </c>
      <c r="BY14" s="59"/>
      <c r="BZ14" s="93">
        <v>0.04</v>
      </c>
      <c r="CA14" s="85"/>
      <c r="CB14" s="86" t="s">
        <v>196</v>
      </c>
      <c r="CC14" s="87" t="s">
        <v>99</v>
      </c>
      <c r="CD14" s="59"/>
      <c r="CE14" s="93">
        <v>0.04</v>
      </c>
      <c r="CF14" s="85"/>
      <c r="CG14" s="86" t="s">
        <v>89</v>
      </c>
      <c r="CH14" s="87" t="s">
        <v>101</v>
      </c>
      <c r="CI14" s="59"/>
      <c r="CJ14" s="93">
        <v>0.04</v>
      </c>
      <c r="CK14" s="85"/>
      <c r="CL14" s="86" t="s">
        <v>453</v>
      </c>
      <c r="CM14" s="87" t="s">
        <v>99</v>
      </c>
      <c r="CN14" s="59"/>
      <c r="CO14" s="93">
        <v>0.04</v>
      </c>
      <c r="CP14" s="85"/>
      <c r="CQ14" s="86" t="s">
        <v>454</v>
      </c>
      <c r="CR14" s="87" t="s">
        <v>104</v>
      </c>
      <c r="CS14" s="59"/>
      <c r="CT14" s="93">
        <v>0.04</v>
      </c>
      <c r="CU14" s="85"/>
      <c r="CV14" s="86" t="s">
        <v>486</v>
      </c>
      <c r="CW14" s="87" t="s">
        <v>104</v>
      </c>
      <c r="CX14" s="59"/>
      <c r="CY14" s="93">
        <v>0.04</v>
      </c>
      <c r="CZ14" s="85"/>
      <c r="DA14" s="86" t="s">
        <v>455</v>
      </c>
      <c r="DB14" s="87" t="s">
        <v>106</v>
      </c>
      <c r="DC14" s="59"/>
      <c r="DD14" s="93">
        <v>0.04</v>
      </c>
      <c r="DE14" s="85"/>
      <c r="DF14" s="86" t="s">
        <v>456</v>
      </c>
      <c r="DG14" s="87" t="s">
        <v>108</v>
      </c>
      <c r="DH14" s="59"/>
      <c r="DI14" s="93">
        <v>0.04</v>
      </c>
      <c r="DJ14" s="85"/>
      <c r="DK14" s="86" t="s">
        <v>334</v>
      </c>
      <c r="DL14" s="87" t="s">
        <v>110</v>
      </c>
      <c r="DM14" s="59"/>
      <c r="DN14" s="93">
        <v>0.04</v>
      </c>
      <c r="DO14" s="85"/>
      <c r="DP14" s="86" t="s">
        <v>352</v>
      </c>
      <c r="DQ14" s="87" t="s">
        <v>112</v>
      </c>
      <c r="DR14" s="59"/>
      <c r="DS14" s="93">
        <v>0.04</v>
      </c>
      <c r="DT14" s="85"/>
      <c r="DU14" s="86" t="s">
        <v>271</v>
      </c>
      <c r="DV14" s="87" t="s">
        <v>114</v>
      </c>
      <c r="DW14" s="59"/>
      <c r="DX14" s="93">
        <v>0.04</v>
      </c>
      <c r="DY14" s="85"/>
      <c r="DZ14" s="86" t="s">
        <v>458</v>
      </c>
      <c r="EA14" s="87" t="s">
        <v>116</v>
      </c>
      <c r="EB14" s="59"/>
      <c r="EC14" s="93">
        <v>0.04</v>
      </c>
      <c r="ED14" s="85"/>
      <c r="EE14" s="86" t="s">
        <v>459</v>
      </c>
      <c r="EF14" s="87" t="s">
        <v>118</v>
      </c>
      <c r="EG14" s="59"/>
      <c r="EH14" s="93">
        <v>0.04</v>
      </c>
      <c r="EI14" s="85"/>
      <c r="EJ14" s="86" t="s">
        <v>460</v>
      </c>
      <c r="EK14" s="87" t="s">
        <v>118</v>
      </c>
      <c r="EL14" s="59"/>
      <c r="EM14" s="93">
        <v>0.04</v>
      </c>
      <c r="EN14" s="85"/>
      <c r="EO14" s="86" t="s">
        <v>459</v>
      </c>
      <c r="EP14" s="87" t="s">
        <v>118</v>
      </c>
      <c r="EQ14" s="59"/>
      <c r="ER14" s="93">
        <v>0.04</v>
      </c>
      <c r="ES14" s="85"/>
      <c r="ET14" s="86" t="s">
        <v>459</v>
      </c>
      <c r="EU14" s="87" t="s">
        <v>118</v>
      </c>
      <c r="EV14" s="59"/>
      <c r="EW14" s="93">
        <v>0.04</v>
      </c>
      <c r="EX14" s="85"/>
      <c r="EY14" s="86" t="s">
        <v>461</v>
      </c>
      <c r="EZ14" s="87" t="s">
        <v>114</v>
      </c>
      <c r="FA14" s="59"/>
      <c r="FB14" s="93">
        <v>0.04</v>
      </c>
      <c r="FC14" s="85"/>
      <c r="FD14" s="86" t="s">
        <v>462</v>
      </c>
      <c r="FE14" s="87" t="s">
        <v>121</v>
      </c>
      <c r="FF14" s="59"/>
      <c r="FG14" s="93">
        <v>0.04</v>
      </c>
      <c r="FH14" s="85"/>
      <c r="FI14" s="86" t="s">
        <v>463</v>
      </c>
      <c r="FJ14" s="87" t="s">
        <v>123</v>
      </c>
      <c r="FK14" s="59"/>
      <c r="FL14" s="93">
        <v>0.04</v>
      </c>
      <c r="FM14" s="85"/>
      <c r="FN14" s="86" t="s">
        <v>464</v>
      </c>
      <c r="FO14" s="87" t="s">
        <v>125</v>
      </c>
      <c r="FP14" s="59"/>
      <c r="FQ14" s="93">
        <v>0.04</v>
      </c>
      <c r="FR14" s="85"/>
      <c r="FS14" s="86" t="s">
        <v>472</v>
      </c>
      <c r="FT14" s="87" t="s">
        <v>127</v>
      </c>
      <c r="FU14" s="59"/>
      <c r="FV14" s="93">
        <v>0.04</v>
      </c>
      <c r="FW14" s="85"/>
      <c r="FX14" s="86" t="s">
        <v>372</v>
      </c>
      <c r="FY14" s="87" t="s">
        <v>127</v>
      </c>
      <c r="FZ14" s="59"/>
      <c r="GA14" s="93">
        <v>0.04</v>
      </c>
      <c r="GB14" s="85"/>
      <c r="GC14" s="86" t="s">
        <v>466</v>
      </c>
      <c r="GD14" s="87" t="s">
        <v>123</v>
      </c>
      <c r="GE14" s="59"/>
      <c r="GF14" s="93">
        <v>0.04</v>
      </c>
      <c r="GG14" s="85"/>
      <c r="GH14" s="86" t="s">
        <v>200</v>
      </c>
      <c r="GI14" s="87" t="s">
        <v>116</v>
      </c>
      <c r="GJ14" s="59"/>
      <c r="GK14" s="93">
        <v>0.04</v>
      </c>
      <c r="GL14" s="85"/>
      <c r="GM14" s="86" t="s">
        <v>410</v>
      </c>
      <c r="GN14" s="87" t="s">
        <v>132</v>
      </c>
      <c r="GO14" s="59"/>
      <c r="GP14" s="93">
        <v>0.04</v>
      </c>
      <c r="GQ14" s="85"/>
      <c r="GR14" s="86" t="s">
        <v>467</v>
      </c>
      <c r="GS14" s="87" t="s">
        <v>132</v>
      </c>
      <c r="GT14" s="59"/>
      <c r="GU14" s="93">
        <v>0.04</v>
      </c>
      <c r="GV14" s="85"/>
      <c r="GW14" s="86" t="s">
        <v>124</v>
      </c>
      <c r="GX14" s="87" t="s">
        <v>132</v>
      </c>
      <c r="GY14" s="59"/>
      <c r="GZ14" s="93">
        <v>0.04</v>
      </c>
      <c r="HA14" s="85"/>
      <c r="HB14" s="86" t="s">
        <v>468</v>
      </c>
      <c r="HC14" s="87" t="s">
        <v>132</v>
      </c>
      <c r="HD14" s="59"/>
      <c r="HE14" s="93">
        <v>0.04</v>
      </c>
      <c r="HF14" s="85"/>
      <c r="HG14" s="86" t="s">
        <v>200</v>
      </c>
      <c r="HH14" s="87" t="s">
        <v>132</v>
      </c>
      <c r="HI14" s="59"/>
      <c r="HJ14" s="93">
        <v>0.04</v>
      </c>
      <c r="HK14" s="85"/>
      <c r="HL14" s="86" t="s">
        <v>441</v>
      </c>
      <c r="HM14" s="87" t="s">
        <v>135</v>
      </c>
      <c r="HN14" s="59"/>
      <c r="HO14" s="93">
        <v>0.04</v>
      </c>
      <c r="HP14" s="85"/>
      <c r="HQ14" s="86" t="s">
        <v>469</v>
      </c>
      <c r="HR14" s="87" t="s">
        <v>135</v>
      </c>
      <c r="HS14" s="59"/>
      <c r="HT14" s="93">
        <v>0.04</v>
      </c>
      <c r="HU14" s="85"/>
      <c r="HV14" s="86" t="s">
        <v>470</v>
      </c>
      <c r="HW14" s="87" t="s">
        <v>135</v>
      </c>
      <c r="HX14" s="59"/>
      <c r="HY14" s="93">
        <v>0.04</v>
      </c>
      <c r="HZ14" s="85"/>
      <c r="IA14" s="86" t="s">
        <v>469</v>
      </c>
      <c r="IB14" s="87" t="s">
        <v>135</v>
      </c>
      <c r="IC14" s="59"/>
      <c r="ID14" s="93">
        <v>0.04</v>
      </c>
      <c r="IE14" s="85"/>
      <c r="IF14" s="86" t="s">
        <v>471</v>
      </c>
      <c r="IG14" s="87" t="s">
        <v>135</v>
      </c>
      <c r="IH14" s="59"/>
      <c r="II14" s="93">
        <v>0.04</v>
      </c>
      <c r="IJ14" s="85"/>
      <c r="IK14" s="86" t="s">
        <v>472</v>
      </c>
      <c r="IL14" s="87" t="s">
        <v>140</v>
      </c>
      <c r="IM14" s="59"/>
      <c r="IN14" s="93">
        <v>0.04</v>
      </c>
      <c r="IO14" s="85"/>
      <c r="IP14" s="86" t="s">
        <v>472</v>
      </c>
      <c r="IQ14" s="87" t="s">
        <v>140</v>
      </c>
      <c r="IR14" s="59"/>
      <c r="IS14" s="93">
        <v>0.04</v>
      </c>
      <c r="IT14" s="85"/>
      <c r="IU14" s="86" t="s">
        <v>473</v>
      </c>
      <c r="IV14" s="87" t="s">
        <v>140</v>
      </c>
      <c r="IW14" s="59"/>
      <c r="IX14" s="93">
        <v>0.04</v>
      </c>
      <c r="IY14" s="85"/>
      <c r="IZ14" s="86" t="s">
        <v>292</v>
      </c>
      <c r="JA14" s="88" t="s">
        <v>144</v>
      </c>
      <c r="JB14" s="59"/>
      <c r="JC14" s="93">
        <v>0.04</v>
      </c>
      <c r="JD14" s="85"/>
      <c r="JE14" s="86" t="s">
        <v>426</v>
      </c>
      <c r="JF14" s="88" t="s">
        <v>144</v>
      </c>
      <c r="JG14" s="59"/>
      <c r="JH14" s="93">
        <v>0.04</v>
      </c>
      <c r="JI14" s="85"/>
      <c r="JJ14" s="86" t="s">
        <v>380</v>
      </c>
      <c r="JK14" s="87" t="s">
        <v>146</v>
      </c>
      <c r="JL14" s="59"/>
      <c r="JM14" s="93">
        <v>0.04</v>
      </c>
      <c r="JN14" s="85"/>
      <c r="JO14" s="86" t="s">
        <v>475</v>
      </c>
      <c r="JP14" s="87" t="s">
        <v>146</v>
      </c>
      <c r="JQ14" s="59"/>
      <c r="JR14" s="93">
        <v>0.04</v>
      </c>
      <c r="JS14" s="85"/>
      <c r="JT14" s="86" t="s">
        <v>260</v>
      </c>
      <c r="JU14" s="87" t="s">
        <v>146</v>
      </c>
      <c r="JV14" s="59"/>
      <c r="JW14" s="51"/>
      <c r="JX14" s="59"/>
      <c r="JY14" s="93">
        <v>0.04</v>
      </c>
      <c r="JZ14" s="85"/>
      <c r="KA14" s="86" t="s">
        <v>198</v>
      </c>
      <c r="KB14" s="87" t="s">
        <v>150</v>
      </c>
      <c r="KC14" s="59"/>
      <c r="KD14" s="93">
        <v>0.04</v>
      </c>
      <c r="KE14" s="85"/>
      <c r="KF14" s="86" t="s">
        <v>421</v>
      </c>
      <c r="KG14" s="87" t="s">
        <v>150</v>
      </c>
      <c r="KH14" s="59"/>
      <c r="KI14" s="93">
        <v>0.04</v>
      </c>
      <c r="KJ14" s="85"/>
      <c r="KK14" s="86" t="s">
        <v>425</v>
      </c>
      <c r="KL14" s="87" t="s">
        <v>150</v>
      </c>
      <c r="KM14" s="59"/>
      <c r="KN14" s="93">
        <v>0.04</v>
      </c>
      <c r="KO14" s="85"/>
      <c r="KP14" s="86" t="s">
        <v>476</v>
      </c>
      <c r="KQ14" s="87" t="s">
        <v>150</v>
      </c>
      <c r="KR14" s="59"/>
      <c r="KS14" s="93">
        <v>0.04</v>
      </c>
      <c r="KT14" s="85"/>
      <c r="KU14" s="86" t="s">
        <v>201</v>
      </c>
      <c r="KV14" s="87" t="s">
        <v>150</v>
      </c>
      <c r="KW14" s="59"/>
      <c r="KX14" s="93">
        <v>0.04</v>
      </c>
      <c r="KY14" s="85"/>
      <c r="KZ14" s="86" t="s">
        <v>477</v>
      </c>
      <c r="LA14" s="87" t="s">
        <v>150</v>
      </c>
      <c r="LB14" s="59"/>
      <c r="LC14" s="93">
        <v>0.04</v>
      </c>
      <c r="LD14" s="85"/>
      <c r="LE14" s="86" t="s">
        <v>478</v>
      </c>
      <c r="LF14" s="87" t="s">
        <v>150</v>
      </c>
      <c r="LG14" s="59"/>
      <c r="LH14" s="93">
        <v>0.04</v>
      </c>
      <c r="LI14" s="85"/>
      <c r="LJ14" s="86" t="s">
        <v>479</v>
      </c>
      <c r="LK14" s="87" t="s">
        <v>150</v>
      </c>
      <c r="LL14" s="59"/>
      <c r="LM14" s="93">
        <v>0.04</v>
      </c>
      <c r="LN14" s="85"/>
      <c r="LO14" s="86" t="s">
        <v>487</v>
      </c>
      <c r="LP14" s="87" t="s">
        <v>150</v>
      </c>
      <c r="LQ14" s="59"/>
      <c r="LR14" s="93">
        <v>0.04</v>
      </c>
      <c r="LS14" s="85"/>
      <c r="LT14" s="86" t="s">
        <v>480</v>
      </c>
      <c r="LU14" s="87" t="s">
        <v>150</v>
      </c>
      <c r="LV14" s="59"/>
      <c r="LW14" s="93">
        <v>0.04</v>
      </c>
      <c r="LX14" s="85"/>
      <c r="LY14" s="86" t="s">
        <v>206</v>
      </c>
      <c r="LZ14" s="87" t="s">
        <v>150</v>
      </c>
      <c r="MA14" s="61"/>
      <c r="MB14" s="29"/>
    </row>
    <row r="15" ht="23.25" customHeight="1">
      <c r="A15" s="23"/>
      <c r="B15" s="54"/>
      <c r="C15" s="94">
        <v>0.01</v>
      </c>
      <c r="D15" s="56"/>
      <c r="E15" s="57" t="s">
        <v>488</v>
      </c>
      <c r="F15" s="58">
        <v>44231.0</v>
      </c>
      <c r="G15" s="59"/>
      <c r="H15" s="94">
        <v>0.01</v>
      </c>
      <c r="I15" s="56"/>
      <c r="J15" s="57" t="s">
        <v>195</v>
      </c>
      <c r="K15" s="58">
        <v>44625.0</v>
      </c>
      <c r="L15" s="59"/>
      <c r="M15" s="94">
        <v>0.01</v>
      </c>
      <c r="N15" s="56"/>
      <c r="O15" s="57" t="s">
        <v>489</v>
      </c>
      <c r="P15" s="58">
        <v>44625.0</v>
      </c>
      <c r="Q15" s="59"/>
      <c r="R15" s="94">
        <v>0.01</v>
      </c>
      <c r="S15" s="56"/>
      <c r="T15" s="57" t="s">
        <v>490</v>
      </c>
      <c r="U15" s="58">
        <v>45022.0</v>
      </c>
      <c r="V15" s="59"/>
      <c r="W15" s="94">
        <v>0.01</v>
      </c>
      <c r="X15" s="56"/>
      <c r="Y15" s="57" t="s">
        <v>491</v>
      </c>
      <c r="Z15" s="58">
        <v>44625.0</v>
      </c>
      <c r="AA15" s="59"/>
      <c r="AB15" s="94">
        <v>0.01</v>
      </c>
      <c r="AC15" s="56"/>
      <c r="AD15" s="57" t="s">
        <v>492</v>
      </c>
      <c r="AE15" s="58">
        <v>44688.0</v>
      </c>
      <c r="AF15" s="59"/>
      <c r="AG15" s="94">
        <v>0.01</v>
      </c>
      <c r="AH15" s="56"/>
      <c r="AI15" s="57" t="s">
        <v>493</v>
      </c>
      <c r="AJ15" s="58">
        <v>44688.0</v>
      </c>
      <c r="AK15" s="59"/>
      <c r="AL15" s="94">
        <v>0.01</v>
      </c>
      <c r="AM15" s="56"/>
      <c r="AN15" s="57" t="s">
        <v>494</v>
      </c>
      <c r="AO15" s="58">
        <v>44751.0</v>
      </c>
      <c r="AP15" s="59"/>
      <c r="AQ15" s="94">
        <v>0.01</v>
      </c>
      <c r="AR15" s="56"/>
      <c r="AS15" s="57" t="s">
        <v>495</v>
      </c>
      <c r="AT15" s="58">
        <v>44751.0</v>
      </c>
      <c r="AU15" s="59"/>
      <c r="AV15" s="94">
        <v>0.01</v>
      </c>
      <c r="AW15" s="56"/>
      <c r="AX15" s="57" t="s">
        <v>496</v>
      </c>
      <c r="AY15" s="58">
        <v>44846.0</v>
      </c>
      <c r="AZ15" s="59"/>
      <c r="BA15" s="94">
        <v>0.01</v>
      </c>
      <c r="BB15" s="56"/>
      <c r="BC15" s="57" t="s">
        <v>497</v>
      </c>
      <c r="BD15" s="58">
        <v>44909.0</v>
      </c>
      <c r="BE15" s="59"/>
      <c r="BF15" s="94">
        <v>0.01</v>
      </c>
      <c r="BG15" s="56"/>
      <c r="BH15" s="57" t="s">
        <v>394</v>
      </c>
      <c r="BI15" s="58">
        <v>44909.0</v>
      </c>
      <c r="BJ15" s="59"/>
      <c r="BK15" s="94">
        <v>0.01</v>
      </c>
      <c r="BL15" s="56"/>
      <c r="BM15" s="57" t="s">
        <v>498</v>
      </c>
      <c r="BN15" s="58">
        <v>44909.0</v>
      </c>
      <c r="BO15" s="59"/>
      <c r="BP15" s="94">
        <v>0.01</v>
      </c>
      <c r="BQ15" s="56"/>
      <c r="BR15" s="57" t="s">
        <v>185</v>
      </c>
      <c r="BS15" s="58" t="s">
        <v>95</v>
      </c>
      <c r="BT15" s="59"/>
      <c r="BU15" s="94">
        <v>0.01</v>
      </c>
      <c r="BV15" s="56"/>
      <c r="BW15" s="57" t="s">
        <v>499</v>
      </c>
      <c r="BX15" s="58" t="s">
        <v>97</v>
      </c>
      <c r="BY15" s="59"/>
      <c r="BZ15" s="94">
        <v>0.01</v>
      </c>
      <c r="CA15" s="56"/>
      <c r="CB15" s="57" t="s">
        <v>500</v>
      </c>
      <c r="CC15" s="58" t="s">
        <v>99</v>
      </c>
      <c r="CD15" s="59"/>
      <c r="CE15" s="94">
        <v>0.01</v>
      </c>
      <c r="CF15" s="56"/>
      <c r="CG15" s="57" t="s">
        <v>501</v>
      </c>
      <c r="CH15" s="58" t="s">
        <v>101</v>
      </c>
      <c r="CI15" s="59"/>
      <c r="CJ15" s="94">
        <v>0.01</v>
      </c>
      <c r="CK15" s="56"/>
      <c r="CL15" s="57" t="s">
        <v>502</v>
      </c>
      <c r="CM15" s="58" t="s">
        <v>99</v>
      </c>
      <c r="CN15" s="59"/>
      <c r="CO15" s="94">
        <v>0.01</v>
      </c>
      <c r="CP15" s="56"/>
      <c r="CQ15" s="57" t="s">
        <v>413</v>
      </c>
      <c r="CR15" s="58" t="s">
        <v>104</v>
      </c>
      <c r="CS15" s="59"/>
      <c r="CT15" s="94">
        <v>0.01</v>
      </c>
      <c r="CU15" s="56"/>
      <c r="CV15" s="57" t="s">
        <v>503</v>
      </c>
      <c r="CW15" s="58" t="s">
        <v>104</v>
      </c>
      <c r="CX15" s="59"/>
      <c r="CY15" s="94">
        <v>0.01</v>
      </c>
      <c r="CZ15" s="56"/>
      <c r="DA15" s="57" t="s">
        <v>294</v>
      </c>
      <c r="DB15" s="58" t="s">
        <v>106</v>
      </c>
      <c r="DC15" s="59"/>
      <c r="DD15" s="94">
        <v>0.01</v>
      </c>
      <c r="DE15" s="56"/>
      <c r="DF15" s="57" t="s">
        <v>212</v>
      </c>
      <c r="DG15" s="58" t="s">
        <v>108</v>
      </c>
      <c r="DH15" s="59"/>
      <c r="DI15" s="94">
        <v>0.01</v>
      </c>
      <c r="DJ15" s="56"/>
      <c r="DK15" s="57" t="s">
        <v>372</v>
      </c>
      <c r="DL15" s="58" t="s">
        <v>110</v>
      </c>
      <c r="DM15" s="59"/>
      <c r="DN15" s="94">
        <v>0.01</v>
      </c>
      <c r="DO15" s="56"/>
      <c r="DP15" s="57" t="s">
        <v>504</v>
      </c>
      <c r="DQ15" s="58" t="s">
        <v>112</v>
      </c>
      <c r="DR15" s="59"/>
      <c r="DS15" s="94">
        <v>0.01</v>
      </c>
      <c r="DT15" s="56"/>
      <c r="DU15" s="57" t="s">
        <v>505</v>
      </c>
      <c r="DV15" s="58" t="s">
        <v>114</v>
      </c>
      <c r="DW15" s="59"/>
      <c r="DX15" s="94">
        <v>0.01</v>
      </c>
      <c r="DY15" s="56"/>
      <c r="DZ15" s="57" t="s">
        <v>506</v>
      </c>
      <c r="EA15" s="58" t="s">
        <v>116</v>
      </c>
      <c r="EB15" s="59"/>
      <c r="EC15" s="94">
        <v>0.01</v>
      </c>
      <c r="ED15" s="56"/>
      <c r="EE15" s="57" t="s">
        <v>507</v>
      </c>
      <c r="EF15" s="58" t="s">
        <v>118</v>
      </c>
      <c r="EG15" s="59"/>
      <c r="EH15" s="94">
        <v>0.01</v>
      </c>
      <c r="EI15" s="56"/>
      <c r="EJ15" s="57" t="s">
        <v>507</v>
      </c>
      <c r="EK15" s="58" t="s">
        <v>118</v>
      </c>
      <c r="EL15" s="59"/>
      <c r="EM15" s="94">
        <v>0.01</v>
      </c>
      <c r="EN15" s="56"/>
      <c r="EO15" s="57" t="s">
        <v>507</v>
      </c>
      <c r="EP15" s="58" t="s">
        <v>118</v>
      </c>
      <c r="EQ15" s="59"/>
      <c r="ER15" s="94">
        <v>0.01</v>
      </c>
      <c r="ES15" s="56"/>
      <c r="ET15" s="57" t="s">
        <v>508</v>
      </c>
      <c r="EU15" s="58" t="s">
        <v>118</v>
      </c>
      <c r="EV15" s="59"/>
      <c r="EW15" s="94">
        <v>0.01</v>
      </c>
      <c r="EX15" s="56"/>
      <c r="EY15" s="57" t="s">
        <v>509</v>
      </c>
      <c r="EZ15" s="58" t="s">
        <v>114</v>
      </c>
      <c r="FA15" s="59"/>
      <c r="FB15" s="94">
        <v>0.01</v>
      </c>
      <c r="FC15" s="56"/>
      <c r="FD15" s="57" t="s">
        <v>510</v>
      </c>
      <c r="FE15" s="58" t="s">
        <v>121</v>
      </c>
      <c r="FF15" s="59"/>
      <c r="FG15" s="94">
        <v>0.01</v>
      </c>
      <c r="FH15" s="56"/>
      <c r="FI15" s="57" t="s">
        <v>511</v>
      </c>
      <c r="FJ15" s="58" t="s">
        <v>123</v>
      </c>
      <c r="FK15" s="59"/>
      <c r="FL15" s="94">
        <v>0.01</v>
      </c>
      <c r="FM15" s="56"/>
      <c r="FN15" s="57" t="s">
        <v>511</v>
      </c>
      <c r="FO15" s="58" t="s">
        <v>125</v>
      </c>
      <c r="FP15" s="59"/>
      <c r="FQ15" s="94">
        <v>0.01</v>
      </c>
      <c r="FR15" s="56"/>
      <c r="FS15" s="57" t="s">
        <v>512</v>
      </c>
      <c r="FT15" s="58" t="s">
        <v>127</v>
      </c>
      <c r="FU15" s="59"/>
      <c r="FV15" s="94">
        <v>0.01</v>
      </c>
      <c r="FW15" s="56"/>
      <c r="FX15" s="57" t="s">
        <v>513</v>
      </c>
      <c r="FY15" s="58" t="s">
        <v>127</v>
      </c>
      <c r="FZ15" s="59"/>
      <c r="GA15" s="94">
        <v>0.01</v>
      </c>
      <c r="GB15" s="56"/>
      <c r="GC15" s="57" t="s">
        <v>514</v>
      </c>
      <c r="GD15" s="58" t="s">
        <v>123</v>
      </c>
      <c r="GE15" s="59"/>
      <c r="GF15" s="94">
        <v>0.01</v>
      </c>
      <c r="GG15" s="56"/>
      <c r="GH15" s="57" t="s">
        <v>515</v>
      </c>
      <c r="GI15" s="58" t="s">
        <v>116</v>
      </c>
      <c r="GJ15" s="59"/>
      <c r="GK15" s="94">
        <v>0.01</v>
      </c>
      <c r="GL15" s="56"/>
      <c r="GM15" s="57" t="s">
        <v>516</v>
      </c>
      <c r="GN15" s="58" t="s">
        <v>132</v>
      </c>
      <c r="GO15" s="59"/>
      <c r="GP15" s="94">
        <v>0.01</v>
      </c>
      <c r="GQ15" s="56"/>
      <c r="GR15" s="57" t="s">
        <v>517</v>
      </c>
      <c r="GS15" s="58" t="s">
        <v>132</v>
      </c>
      <c r="GT15" s="59"/>
      <c r="GU15" s="94">
        <v>0.01</v>
      </c>
      <c r="GV15" s="56"/>
      <c r="GW15" s="57" t="s">
        <v>517</v>
      </c>
      <c r="GX15" s="58" t="s">
        <v>132</v>
      </c>
      <c r="GY15" s="59"/>
      <c r="GZ15" s="94">
        <v>0.01</v>
      </c>
      <c r="HA15" s="56"/>
      <c r="HB15" s="57" t="s">
        <v>516</v>
      </c>
      <c r="HC15" s="58" t="s">
        <v>132</v>
      </c>
      <c r="HD15" s="59"/>
      <c r="HE15" s="94">
        <v>0.01</v>
      </c>
      <c r="HF15" s="56"/>
      <c r="HG15" s="57" t="s">
        <v>516</v>
      </c>
      <c r="HH15" s="58" t="s">
        <v>132</v>
      </c>
      <c r="HI15" s="59"/>
      <c r="HJ15" s="94">
        <v>0.01</v>
      </c>
      <c r="HK15" s="56"/>
      <c r="HL15" s="57" t="s">
        <v>518</v>
      </c>
      <c r="HM15" s="58" t="s">
        <v>135</v>
      </c>
      <c r="HN15" s="59"/>
      <c r="HO15" s="94">
        <v>0.01</v>
      </c>
      <c r="HP15" s="56"/>
      <c r="HQ15" s="57" t="s">
        <v>518</v>
      </c>
      <c r="HR15" s="58" t="s">
        <v>135</v>
      </c>
      <c r="HS15" s="59"/>
      <c r="HT15" s="94">
        <v>0.01</v>
      </c>
      <c r="HU15" s="56"/>
      <c r="HV15" s="57" t="s">
        <v>518</v>
      </c>
      <c r="HW15" s="58" t="s">
        <v>135</v>
      </c>
      <c r="HX15" s="59"/>
      <c r="HY15" s="94">
        <v>0.01</v>
      </c>
      <c r="HZ15" s="56"/>
      <c r="IA15" s="57" t="s">
        <v>518</v>
      </c>
      <c r="IB15" s="58" t="s">
        <v>135</v>
      </c>
      <c r="IC15" s="59"/>
      <c r="ID15" s="94">
        <v>0.01</v>
      </c>
      <c r="IE15" s="56"/>
      <c r="IF15" s="57" t="s">
        <v>471</v>
      </c>
      <c r="IG15" s="58" t="s">
        <v>135</v>
      </c>
      <c r="IH15" s="59"/>
      <c r="II15" s="94">
        <v>0.01</v>
      </c>
      <c r="IJ15" s="56"/>
      <c r="IK15" s="57" t="s">
        <v>519</v>
      </c>
      <c r="IL15" s="58" t="s">
        <v>140</v>
      </c>
      <c r="IM15" s="59"/>
      <c r="IN15" s="94">
        <v>0.01</v>
      </c>
      <c r="IO15" s="56"/>
      <c r="IP15" s="57" t="s">
        <v>519</v>
      </c>
      <c r="IQ15" s="58" t="s">
        <v>140</v>
      </c>
      <c r="IR15" s="59"/>
      <c r="IS15" s="94">
        <v>0.01</v>
      </c>
      <c r="IT15" s="56"/>
      <c r="IU15" s="57" t="s">
        <v>519</v>
      </c>
      <c r="IV15" s="58" t="s">
        <v>140</v>
      </c>
      <c r="IW15" s="59"/>
      <c r="IX15" s="94">
        <v>0.01</v>
      </c>
      <c r="IY15" s="56"/>
      <c r="IZ15" s="57" t="s">
        <v>143</v>
      </c>
      <c r="JA15" s="60" t="s">
        <v>144</v>
      </c>
      <c r="JB15" s="59"/>
      <c r="JC15" s="94">
        <v>0.01</v>
      </c>
      <c r="JD15" s="56"/>
      <c r="JE15" s="57" t="s">
        <v>143</v>
      </c>
      <c r="JF15" s="60" t="s">
        <v>144</v>
      </c>
      <c r="JG15" s="59"/>
      <c r="JH15" s="94">
        <v>0.01</v>
      </c>
      <c r="JI15" s="56"/>
      <c r="JJ15" s="57" t="s">
        <v>203</v>
      </c>
      <c r="JK15" s="58" t="s">
        <v>146</v>
      </c>
      <c r="JL15" s="59"/>
      <c r="JM15" s="94">
        <v>0.01</v>
      </c>
      <c r="JN15" s="56"/>
      <c r="JO15" s="57" t="s">
        <v>147</v>
      </c>
      <c r="JP15" s="58" t="s">
        <v>146</v>
      </c>
      <c r="JQ15" s="59"/>
      <c r="JR15" s="94">
        <v>0.01</v>
      </c>
      <c r="JS15" s="56"/>
      <c r="JT15" s="57" t="s">
        <v>205</v>
      </c>
      <c r="JU15" s="58" t="s">
        <v>146</v>
      </c>
      <c r="JV15" s="59"/>
      <c r="JW15" s="51"/>
      <c r="JX15" s="59"/>
      <c r="JY15" s="94">
        <v>0.01</v>
      </c>
      <c r="JZ15" s="56"/>
      <c r="KA15" s="57" t="s">
        <v>198</v>
      </c>
      <c r="KB15" s="58" t="s">
        <v>150</v>
      </c>
      <c r="KC15" s="59"/>
      <c r="KD15" s="94">
        <v>0.01</v>
      </c>
      <c r="KE15" s="56"/>
      <c r="KF15" s="57" t="s">
        <v>421</v>
      </c>
      <c r="KG15" s="58" t="s">
        <v>150</v>
      </c>
      <c r="KH15" s="59"/>
      <c r="KI15" s="94">
        <v>0.01</v>
      </c>
      <c r="KJ15" s="56"/>
      <c r="KK15" s="57" t="s">
        <v>425</v>
      </c>
      <c r="KL15" s="58" t="s">
        <v>150</v>
      </c>
      <c r="KM15" s="59"/>
      <c r="KN15" s="94">
        <v>0.01</v>
      </c>
      <c r="KO15" s="56"/>
      <c r="KP15" s="57" t="s">
        <v>520</v>
      </c>
      <c r="KQ15" s="58" t="s">
        <v>150</v>
      </c>
      <c r="KR15" s="59"/>
      <c r="KS15" s="94">
        <v>0.01</v>
      </c>
      <c r="KT15" s="56"/>
      <c r="KU15" s="57" t="s">
        <v>520</v>
      </c>
      <c r="KV15" s="58" t="s">
        <v>150</v>
      </c>
      <c r="KW15" s="59"/>
      <c r="KX15" s="94">
        <v>0.01</v>
      </c>
      <c r="KY15" s="56"/>
      <c r="KZ15" s="57" t="s">
        <v>521</v>
      </c>
      <c r="LA15" s="58" t="s">
        <v>150</v>
      </c>
      <c r="LB15" s="59"/>
      <c r="LC15" s="94">
        <v>0.01</v>
      </c>
      <c r="LD15" s="56"/>
      <c r="LE15" s="57" t="s">
        <v>522</v>
      </c>
      <c r="LF15" s="58" t="s">
        <v>150</v>
      </c>
      <c r="LG15" s="59"/>
      <c r="LH15" s="94">
        <v>0.01</v>
      </c>
      <c r="LI15" s="56"/>
      <c r="LJ15" s="57" t="s">
        <v>372</v>
      </c>
      <c r="LK15" s="58" t="s">
        <v>150</v>
      </c>
      <c r="LL15" s="59"/>
      <c r="LM15" s="94">
        <v>0.01</v>
      </c>
      <c r="LN15" s="56"/>
      <c r="LO15" s="57" t="s">
        <v>348</v>
      </c>
      <c r="LP15" s="58" t="s">
        <v>150</v>
      </c>
      <c r="LQ15" s="59"/>
      <c r="LR15" s="94">
        <v>0.01</v>
      </c>
      <c r="LS15" s="56"/>
      <c r="LT15" s="57" t="s">
        <v>349</v>
      </c>
      <c r="LU15" s="58" t="s">
        <v>150</v>
      </c>
      <c r="LV15" s="59"/>
      <c r="LW15" s="94">
        <v>0.01</v>
      </c>
      <c r="LX15" s="56"/>
      <c r="LY15" s="57" t="s">
        <v>523</v>
      </c>
      <c r="LZ15" s="58" t="s">
        <v>150</v>
      </c>
      <c r="MA15" s="61"/>
      <c r="MB15" s="29"/>
    </row>
    <row r="16" ht="24.0" customHeight="1">
      <c r="A16" s="23"/>
      <c r="B16" s="54"/>
      <c r="C16" s="95">
        <v>0.01</v>
      </c>
      <c r="D16" s="96"/>
      <c r="E16" s="97" t="s">
        <v>488</v>
      </c>
      <c r="F16" s="98">
        <v>44231.0</v>
      </c>
      <c r="G16" s="59"/>
      <c r="H16" s="95">
        <v>0.01</v>
      </c>
      <c r="I16" s="96"/>
      <c r="J16" s="97" t="s">
        <v>195</v>
      </c>
      <c r="K16" s="98">
        <v>44625.0</v>
      </c>
      <c r="L16" s="59"/>
      <c r="M16" s="95">
        <v>0.01</v>
      </c>
      <c r="N16" s="96"/>
      <c r="O16" s="97" t="s">
        <v>489</v>
      </c>
      <c r="P16" s="98">
        <v>44625.0</v>
      </c>
      <c r="Q16" s="59"/>
      <c r="R16" s="95">
        <v>0.01</v>
      </c>
      <c r="S16" s="96"/>
      <c r="T16" s="97" t="s">
        <v>490</v>
      </c>
      <c r="U16" s="98">
        <v>45022.0</v>
      </c>
      <c r="V16" s="59"/>
      <c r="W16" s="95">
        <v>0.01</v>
      </c>
      <c r="X16" s="96"/>
      <c r="Y16" s="97" t="s">
        <v>491</v>
      </c>
      <c r="Z16" s="98">
        <v>44625.0</v>
      </c>
      <c r="AA16" s="59"/>
      <c r="AB16" s="95">
        <v>0.01</v>
      </c>
      <c r="AC16" s="96"/>
      <c r="AD16" s="97" t="s">
        <v>492</v>
      </c>
      <c r="AE16" s="98">
        <v>44657.0</v>
      </c>
      <c r="AF16" s="59"/>
      <c r="AG16" s="95">
        <v>0.01</v>
      </c>
      <c r="AH16" s="96"/>
      <c r="AI16" s="97" t="s">
        <v>493</v>
      </c>
      <c r="AJ16" s="98">
        <v>44657.0</v>
      </c>
      <c r="AK16" s="59"/>
      <c r="AL16" s="95">
        <v>0.01</v>
      </c>
      <c r="AM16" s="96"/>
      <c r="AN16" s="97" t="s">
        <v>494</v>
      </c>
      <c r="AO16" s="98">
        <v>44751.0</v>
      </c>
      <c r="AP16" s="59"/>
      <c r="AQ16" s="95">
        <v>0.01</v>
      </c>
      <c r="AR16" s="96"/>
      <c r="AS16" s="97" t="s">
        <v>368</v>
      </c>
      <c r="AT16" s="98">
        <v>44751.0</v>
      </c>
      <c r="AU16" s="59"/>
      <c r="AV16" s="95">
        <v>0.01</v>
      </c>
      <c r="AW16" s="96"/>
      <c r="AX16" s="97" t="s">
        <v>524</v>
      </c>
      <c r="AY16" s="98">
        <v>44846.0</v>
      </c>
      <c r="AZ16" s="59"/>
      <c r="BA16" s="95">
        <v>0.01</v>
      </c>
      <c r="BB16" s="96"/>
      <c r="BC16" s="97" t="s">
        <v>328</v>
      </c>
      <c r="BD16" s="98">
        <v>44909.0</v>
      </c>
      <c r="BE16" s="59"/>
      <c r="BF16" s="95">
        <v>0.01</v>
      </c>
      <c r="BG16" s="96"/>
      <c r="BH16" s="97" t="s">
        <v>525</v>
      </c>
      <c r="BI16" s="98">
        <v>44909.0</v>
      </c>
      <c r="BJ16" s="59"/>
      <c r="BK16" s="95">
        <v>0.01</v>
      </c>
      <c r="BL16" s="96"/>
      <c r="BM16" s="97" t="s">
        <v>498</v>
      </c>
      <c r="BN16" s="98">
        <v>44909.0</v>
      </c>
      <c r="BO16" s="59"/>
      <c r="BP16" s="95">
        <v>0.01</v>
      </c>
      <c r="BQ16" s="96"/>
      <c r="BR16" s="97" t="s">
        <v>526</v>
      </c>
      <c r="BS16" s="98" t="s">
        <v>95</v>
      </c>
      <c r="BT16" s="59"/>
      <c r="BU16" s="95">
        <v>0.01</v>
      </c>
      <c r="BV16" s="96"/>
      <c r="BW16" s="97" t="s">
        <v>499</v>
      </c>
      <c r="BX16" s="98" t="s">
        <v>97</v>
      </c>
      <c r="BY16" s="59"/>
      <c r="BZ16" s="95">
        <v>0.01</v>
      </c>
      <c r="CA16" s="96"/>
      <c r="CB16" s="97" t="s">
        <v>500</v>
      </c>
      <c r="CC16" s="98" t="s">
        <v>99</v>
      </c>
      <c r="CD16" s="59"/>
      <c r="CE16" s="95">
        <v>0.01</v>
      </c>
      <c r="CF16" s="96"/>
      <c r="CG16" s="97" t="s">
        <v>501</v>
      </c>
      <c r="CH16" s="98" t="s">
        <v>101</v>
      </c>
      <c r="CI16" s="59"/>
      <c r="CJ16" s="95">
        <v>0.01</v>
      </c>
      <c r="CK16" s="96"/>
      <c r="CL16" s="97" t="s">
        <v>502</v>
      </c>
      <c r="CM16" s="98" t="s">
        <v>99</v>
      </c>
      <c r="CN16" s="59"/>
      <c r="CO16" s="95">
        <v>0.01</v>
      </c>
      <c r="CP16" s="96"/>
      <c r="CQ16" s="97" t="s">
        <v>413</v>
      </c>
      <c r="CR16" s="98" t="s">
        <v>104</v>
      </c>
      <c r="CS16" s="59"/>
      <c r="CT16" s="95">
        <v>0.01</v>
      </c>
      <c r="CU16" s="96"/>
      <c r="CV16" s="97" t="s">
        <v>503</v>
      </c>
      <c r="CW16" s="98" t="s">
        <v>104</v>
      </c>
      <c r="CX16" s="59"/>
      <c r="CY16" s="95">
        <v>0.01</v>
      </c>
      <c r="CZ16" s="96"/>
      <c r="DA16" s="97" t="s">
        <v>294</v>
      </c>
      <c r="DB16" s="98" t="s">
        <v>106</v>
      </c>
      <c r="DC16" s="59"/>
      <c r="DD16" s="95">
        <v>0.01</v>
      </c>
      <c r="DE16" s="96"/>
      <c r="DF16" s="97" t="s">
        <v>212</v>
      </c>
      <c r="DG16" s="98" t="s">
        <v>108</v>
      </c>
      <c r="DH16" s="59"/>
      <c r="DI16" s="95">
        <v>0.01</v>
      </c>
      <c r="DJ16" s="96"/>
      <c r="DK16" s="97" t="s">
        <v>372</v>
      </c>
      <c r="DL16" s="98" t="s">
        <v>110</v>
      </c>
      <c r="DM16" s="59"/>
      <c r="DN16" s="95">
        <v>0.01</v>
      </c>
      <c r="DO16" s="96"/>
      <c r="DP16" s="97" t="s">
        <v>504</v>
      </c>
      <c r="DQ16" s="98" t="s">
        <v>112</v>
      </c>
      <c r="DR16" s="59"/>
      <c r="DS16" s="95">
        <v>0.01</v>
      </c>
      <c r="DT16" s="96"/>
      <c r="DU16" s="97" t="s">
        <v>505</v>
      </c>
      <c r="DV16" s="98" t="s">
        <v>114</v>
      </c>
      <c r="DW16" s="59"/>
      <c r="DX16" s="95">
        <v>0.01</v>
      </c>
      <c r="DY16" s="96"/>
      <c r="DZ16" s="97" t="s">
        <v>506</v>
      </c>
      <c r="EA16" s="98" t="s">
        <v>116</v>
      </c>
      <c r="EB16" s="59"/>
      <c r="EC16" s="95">
        <v>0.01</v>
      </c>
      <c r="ED16" s="96"/>
      <c r="EE16" s="97" t="s">
        <v>507</v>
      </c>
      <c r="EF16" s="98" t="s">
        <v>118</v>
      </c>
      <c r="EG16" s="59"/>
      <c r="EH16" s="95">
        <v>0.01</v>
      </c>
      <c r="EI16" s="96"/>
      <c r="EJ16" s="97" t="s">
        <v>507</v>
      </c>
      <c r="EK16" s="98" t="s">
        <v>118</v>
      </c>
      <c r="EL16" s="59"/>
      <c r="EM16" s="95">
        <v>0.01</v>
      </c>
      <c r="EN16" s="96"/>
      <c r="EO16" s="97" t="s">
        <v>507</v>
      </c>
      <c r="EP16" s="98" t="s">
        <v>118</v>
      </c>
      <c r="EQ16" s="59"/>
      <c r="ER16" s="95">
        <v>0.01</v>
      </c>
      <c r="ES16" s="96"/>
      <c r="ET16" s="97" t="s">
        <v>508</v>
      </c>
      <c r="EU16" s="98" t="s">
        <v>118</v>
      </c>
      <c r="EV16" s="59"/>
      <c r="EW16" s="95">
        <v>0.01</v>
      </c>
      <c r="EX16" s="96"/>
      <c r="EY16" s="97" t="s">
        <v>325</v>
      </c>
      <c r="EZ16" s="98" t="s">
        <v>114</v>
      </c>
      <c r="FA16" s="59"/>
      <c r="FB16" s="95">
        <v>0.01</v>
      </c>
      <c r="FC16" s="96"/>
      <c r="FD16" s="97" t="s">
        <v>510</v>
      </c>
      <c r="FE16" s="98" t="s">
        <v>121</v>
      </c>
      <c r="FF16" s="59"/>
      <c r="FG16" s="95">
        <v>0.01</v>
      </c>
      <c r="FH16" s="96"/>
      <c r="FI16" s="97" t="s">
        <v>527</v>
      </c>
      <c r="FJ16" s="98" t="s">
        <v>123</v>
      </c>
      <c r="FK16" s="59"/>
      <c r="FL16" s="95">
        <v>0.01</v>
      </c>
      <c r="FM16" s="96"/>
      <c r="FN16" s="97" t="s">
        <v>528</v>
      </c>
      <c r="FO16" s="98" t="s">
        <v>125</v>
      </c>
      <c r="FP16" s="59"/>
      <c r="FQ16" s="95">
        <v>0.01</v>
      </c>
      <c r="FR16" s="96"/>
      <c r="FS16" s="97" t="s">
        <v>512</v>
      </c>
      <c r="FT16" s="98" t="s">
        <v>127</v>
      </c>
      <c r="FU16" s="59"/>
      <c r="FV16" s="95">
        <v>0.01</v>
      </c>
      <c r="FW16" s="96"/>
      <c r="FX16" s="97" t="s">
        <v>513</v>
      </c>
      <c r="FY16" s="98" t="s">
        <v>127</v>
      </c>
      <c r="FZ16" s="59"/>
      <c r="GA16" s="95">
        <v>0.01</v>
      </c>
      <c r="GB16" s="96"/>
      <c r="GC16" s="97" t="s">
        <v>514</v>
      </c>
      <c r="GD16" s="98" t="s">
        <v>123</v>
      </c>
      <c r="GE16" s="59"/>
      <c r="GF16" s="95">
        <v>0.01</v>
      </c>
      <c r="GG16" s="96"/>
      <c r="GH16" s="97" t="s">
        <v>515</v>
      </c>
      <c r="GI16" s="98" t="s">
        <v>116</v>
      </c>
      <c r="GJ16" s="59"/>
      <c r="GK16" s="95">
        <v>0.01</v>
      </c>
      <c r="GL16" s="96"/>
      <c r="GM16" s="97" t="s">
        <v>516</v>
      </c>
      <c r="GN16" s="98" t="s">
        <v>132</v>
      </c>
      <c r="GO16" s="59"/>
      <c r="GP16" s="95">
        <v>0.01</v>
      </c>
      <c r="GQ16" s="96"/>
      <c r="GR16" s="97" t="s">
        <v>517</v>
      </c>
      <c r="GS16" s="98" t="s">
        <v>132</v>
      </c>
      <c r="GT16" s="59"/>
      <c r="GU16" s="95">
        <v>0.01</v>
      </c>
      <c r="GV16" s="96"/>
      <c r="GW16" s="97" t="s">
        <v>517</v>
      </c>
      <c r="GX16" s="98" t="s">
        <v>132</v>
      </c>
      <c r="GY16" s="59"/>
      <c r="GZ16" s="95">
        <v>0.01</v>
      </c>
      <c r="HA16" s="96"/>
      <c r="HB16" s="97" t="s">
        <v>516</v>
      </c>
      <c r="HC16" s="98" t="s">
        <v>132</v>
      </c>
      <c r="HD16" s="59"/>
      <c r="HE16" s="95">
        <v>0.01</v>
      </c>
      <c r="HF16" s="96"/>
      <c r="HG16" s="97" t="s">
        <v>516</v>
      </c>
      <c r="HH16" s="98" t="s">
        <v>132</v>
      </c>
      <c r="HI16" s="59"/>
      <c r="HJ16" s="95">
        <v>0.01</v>
      </c>
      <c r="HK16" s="96"/>
      <c r="HL16" s="97" t="s">
        <v>518</v>
      </c>
      <c r="HM16" s="98" t="s">
        <v>135</v>
      </c>
      <c r="HN16" s="59"/>
      <c r="HO16" s="95">
        <v>0.01</v>
      </c>
      <c r="HP16" s="96"/>
      <c r="HQ16" s="97" t="s">
        <v>518</v>
      </c>
      <c r="HR16" s="98" t="s">
        <v>135</v>
      </c>
      <c r="HS16" s="59"/>
      <c r="HT16" s="95">
        <v>0.01</v>
      </c>
      <c r="HU16" s="96"/>
      <c r="HV16" s="97" t="s">
        <v>518</v>
      </c>
      <c r="HW16" s="98" t="s">
        <v>135</v>
      </c>
      <c r="HX16" s="59"/>
      <c r="HY16" s="95">
        <v>0.01</v>
      </c>
      <c r="HZ16" s="96"/>
      <c r="IA16" s="97" t="s">
        <v>518</v>
      </c>
      <c r="IB16" s="98" t="s">
        <v>135</v>
      </c>
      <c r="IC16" s="59"/>
      <c r="ID16" s="95">
        <v>0.01</v>
      </c>
      <c r="IE16" s="96"/>
      <c r="IF16" s="97" t="s">
        <v>471</v>
      </c>
      <c r="IG16" s="98" t="s">
        <v>135</v>
      </c>
      <c r="IH16" s="59"/>
      <c r="II16" s="95">
        <v>0.01</v>
      </c>
      <c r="IJ16" s="96"/>
      <c r="IK16" s="97" t="s">
        <v>519</v>
      </c>
      <c r="IL16" s="98" t="s">
        <v>140</v>
      </c>
      <c r="IM16" s="59"/>
      <c r="IN16" s="95">
        <v>0.01</v>
      </c>
      <c r="IO16" s="96"/>
      <c r="IP16" s="97" t="s">
        <v>519</v>
      </c>
      <c r="IQ16" s="98" t="s">
        <v>140</v>
      </c>
      <c r="IR16" s="59"/>
      <c r="IS16" s="95">
        <v>0.01</v>
      </c>
      <c r="IT16" s="96"/>
      <c r="IU16" s="97" t="s">
        <v>519</v>
      </c>
      <c r="IV16" s="98" t="s">
        <v>140</v>
      </c>
      <c r="IW16" s="59"/>
      <c r="IX16" s="95">
        <v>0.01</v>
      </c>
      <c r="IY16" s="96"/>
      <c r="IZ16" s="97" t="s">
        <v>143</v>
      </c>
      <c r="JA16" s="99" t="s">
        <v>144</v>
      </c>
      <c r="JB16" s="59"/>
      <c r="JC16" s="95">
        <v>0.01</v>
      </c>
      <c r="JD16" s="96"/>
      <c r="JE16" s="97" t="s">
        <v>143</v>
      </c>
      <c r="JF16" s="99" t="s">
        <v>144</v>
      </c>
      <c r="JG16" s="59"/>
      <c r="JH16" s="95">
        <v>0.01</v>
      </c>
      <c r="JI16" s="96"/>
      <c r="JJ16" s="97" t="s">
        <v>380</v>
      </c>
      <c r="JK16" s="98" t="s">
        <v>146</v>
      </c>
      <c r="JL16" s="59"/>
      <c r="JM16" s="95">
        <v>0.01</v>
      </c>
      <c r="JN16" s="96"/>
      <c r="JO16" s="97" t="s">
        <v>259</v>
      </c>
      <c r="JP16" s="98" t="s">
        <v>146</v>
      </c>
      <c r="JQ16" s="59"/>
      <c r="JR16" s="95">
        <v>0.01</v>
      </c>
      <c r="JS16" s="96"/>
      <c r="JT16" s="97" t="s">
        <v>148</v>
      </c>
      <c r="JU16" s="98" t="s">
        <v>146</v>
      </c>
      <c r="JV16" s="59"/>
      <c r="JW16" s="51"/>
      <c r="JX16" s="59"/>
      <c r="JY16" s="95">
        <v>0.01</v>
      </c>
      <c r="JZ16" s="96"/>
      <c r="KA16" s="97" t="s">
        <v>198</v>
      </c>
      <c r="KB16" s="98" t="s">
        <v>150</v>
      </c>
      <c r="KC16" s="59"/>
      <c r="KD16" s="95">
        <v>0.01</v>
      </c>
      <c r="KE16" s="96"/>
      <c r="KF16" s="97" t="s">
        <v>421</v>
      </c>
      <c r="KG16" s="98" t="s">
        <v>150</v>
      </c>
      <c r="KH16" s="59"/>
      <c r="KI16" s="95">
        <v>0.01</v>
      </c>
      <c r="KJ16" s="96"/>
      <c r="KK16" s="97" t="s">
        <v>425</v>
      </c>
      <c r="KL16" s="98" t="s">
        <v>150</v>
      </c>
      <c r="KM16" s="59"/>
      <c r="KN16" s="95">
        <v>0.01</v>
      </c>
      <c r="KO16" s="96"/>
      <c r="KP16" s="97" t="s">
        <v>520</v>
      </c>
      <c r="KQ16" s="98" t="s">
        <v>150</v>
      </c>
      <c r="KR16" s="59"/>
      <c r="KS16" s="95">
        <v>0.01</v>
      </c>
      <c r="KT16" s="96"/>
      <c r="KU16" s="97" t="s">
        <v>520</v>
      </c>
      <c r="KV16" s="98" t="s">
        <v>150</v>
      </c>
      <c r="KW16" s="59"/>
      <c r="KX16" s="95">
        <v>0.01</v>
      </c>
      <c r="KY16" s="96"/>
      <c r="KZ16" s="97" t="s">
        <v>521</v>
      </c>
      <c r="LA16" s="98" t="s">
        <v>150</v>
      </c>
      <c r="LB16" s="59"/>
      <c r="LC16" s="95">
        <v>0.01</v>
      </c>
      <c r="LD16" s="96"/>
      <c r="LE16" s="97" t="s">
        <v>522</v>
      </c>
      <c r="LF16" s="98" t="s">
        <v>150</v>
      </c>
      <c r="LG16" s="59"/>
      <c r="LH16" s="95">
        <v>0.01</v>
      </c>
      <c r="LI16" s="96"/>
      <c r="LJ16" s="97" t="s">
        <v>372</v>
      </c>
      <c r="LK16" s="98" t="s">
        <v>150</v>
      </c>
      <c r="LL16" s="59"/>
      <c r="LM16" s="95">
        <v>0.01</v>
      </c>
      <c r="LN16" s="96"/>
      <c r="LO16" s="97" t="s">
        <v>348</v>
      </c>
      <c r="LP16" s="98" t="s">
        <v>150</v>
      </c>
      <c r="LQ16" s="59"/>
      <c r="LR16" s="95">
        <v>0.01</v>
      </c>
      <c r="LS16" s="96"/>
      <c r="LT16" s="97" t="s">
        <v>349</v>
      </c>
      <c r="LU16" s="98" t="s">
        <v>150</v>
      </c>
      <c r="LV16" s="59"/>
      <c r="LW16" s="95">
        <v>0.01</v>
      </c>
      <c r="LX16" s="96"/>
      <c r="LY16" s="97" t="s">
        <v>523</v>
      </c>
      <c r="LZ16" s="98" t="s">
        <v>150</v>
      </c>
      <c r="MA16" s="61"/>
      <c r="MB16" s="29"/>
    </row>
    <row r="17" ht="7.5" customHeight="1">
      <c r="A17" s="23"/>
      <c r="B17" s="100"/>
      <c r="C17" s="101"/>
      <c r="D17" s="102"/>
      <c r="E17" s="102"/>
      <c r="F17" s="102"/>
      <c r="G17" s="103"/>
      <c r="H17" s="101"/>
      <c r="I17" s="102"/>
      <c r="J17" s="102"/>
      <c r="K17" s="102"/>
      <c r="L17" s="103"/>
      <c r="M17" s="101"/>
      <c r="N17" s="102"/>
      <c r="O17" s="102"/>
      <c r="P17" s="102"/>
      <c r="Q17" s="103"/>
      <c r="R17" s="101"/>
      <c r="S17" s="102"/>
      <c r="T17" s="102"/>
      <c r="U17" s="102"/>
      <c r="V17" s="103"/>
      <c r="W17" s="101"/>
      <c r="X17" s="102"/>
      <c r="Y17" s="102"/>
      <c r="Z17" s="102"/>
      <c r="AA17" s="103"/>
      <c r="AB17" s="101"/>
      <c r="AC17" s="102"/>
      <c r="AD17" s="102"/>
      <c r="AE17" s="102"/>
      <c r="AF17" s="103"/>
      <c r="AG17" s="101"/>
      <c r="AH17" s="102"/>
      <c r="AI17" s="102"/>
      <c r="AJ17" s="102"/>
      <c r="AK17" s="103"/>
      <c r="AL17" s="101"/>
      <c r="AM17" s="102"/>
      <c r="AN17" s="102"/>
      <c r="AO17" s="102"/>
      <c r="AP17" s="103"/>
      <c r="AQ17" s="101"/>
      <c r="AR17" s="102"/>
      <c r="AS17" s="102"/>
      <c r="AT17" s="102"/>
      <c r="AU17" s="103"/>
      <c r="AV17" s="101"/>
      <c r="AW17" s="102"/>
      <c r="AX17" s="102"/>
      <c r="AY17" s="102"/>
      <c r="AZ17" s="103"/>
      <c r="BA17" s="101"/>
      <c r="BB17" s="102"/>
      <c r="BC17" s="102"/>
      <c r="BD17" s="102"/>
      <c r="BE17" s="103"/>
      <c r="BF17" s="101"/>
      <c r="BG17" s="102"/>
      <c r="BH17" s="102"/>
      <c r="BI17" s="102"/>
      <c r="BJ17" s="103"/>
      <c r="BK17" s="101"/>
      <c r="BL17" s="102"/>
      <c r="BM17" s="102"/>
      <c r="BN17" s="102"/>
      <c r="BO17" s="103"/>
      <c r="BP17" s="101"/>
      <c r="BQ17" s="102"/>
      <c r="BR17" s="102"/>
      <c r="BS17" s="102"/>
      <c r="BT17" s="103"/>
      <c r="BU17" s="101"/>
      <c r="BV17" s="102"/>
      <c r="BW17" s="102"/>
      <c r="BX17" s="102"/>
      <c r="BY17" s="103"/>
      <c r="BZ17" s="101"/>
      <c r="CA17" s="102"/>
      <c r="CB17" s="102"/>
      <c r="CC17" s="102"/>
      <c r="CD17" s="103"/>
      <c r="CE17" s="101"/>
      <c r="CF17" s="102"/>
      <c r="CG17" s="102"/>
      <c r="CH17" s="102"/>
      <c r="CI17" s="103"/>
      <c r="CJ17" s="101"/>
      <c r="CK17" s="102"/>
      <c r="CL17" s="102"/>
      <c r="CM17" s="102"/>
      <c r="CN17" s="103"/>
      <c r="CO17" s="101"/>
      <c r="CP17" s="102"/>
      <c r="CQ17" s="102"/>
      <c r="CR17" s="102"/>
      <c r="CS17" s="103"/>
      <c r="CT17" s="101"/>
      <c r="CU17" s="102"/>
      <c r="CV17" s="102"/>
      <c r="CW17" s="102"/>
      <c r="CX17" s="103"/>
      <c r="CY17" s="101"/>
      <c r="CZ17" s="102"/>
      <c r="DA17" s="102"/>
      <c r="DB17" s="102"/>
      <c r="DC17" s="103"/>
      <c r="DD17" s="101"/>
      <c r="DE17" s="102"/>
      <c r="DF17" s="102"/>
      <c r="DG17" s="102"/>
      <c r="DH17" s="103"/>
      <c r="DI17" s="101"/>
      <c r="DJ17" s="102"/>
      <c r="DK17" s="102"/>
      <c r="DL17" s="102"/>
      <c r="DM17" s="103"/>
      <c r="DN17" s="101"/>
      <c r="DO17" s="102"/>
      <c r="DP17" s="102"/>
      <c r="DQ17" s="102"/>
      <c r="DR17" s="103"/>
      <c r="DS17" s="101"/>
      <c r="DT17" s="102"/>
      <c r="DU17" s="102"/>
      <c r="DV17" s="102"/>
      <c r="DW17" s="103"/>
      <c r="DX17" s="101"/>
      <c r="DY17" s="102"/>
      <c r="DZ17" s="102"/>
      <c r="EA17" s="102"/>
      <c r="EB17" s="103"/>
      <c r="EC17" s="101"/>
      <c r="ED17" s="102"/>
      <c r="EE17" s="102"/>
      <c r="EF17" s="102"/>
      <c r="EG17" s="103"/>
      <c r="EH17" s="101"/>
      <c r="EI17" s="102"/>
      <c r="EJ17" s="102"/>
      <c r="EK17" s="102"/>
      <c r="EL17" s="103"/>
      <c r="EM17" s="101"/>
      <c r="EN17" s="102"/>
      <c r="EO17" s="102"/>
      <c r="EP17" s="102"/>
      <c r="EQ17" s="103"/>
      <c r="ER17" s="101"/>
      <c r="ES17" s="102"/>
      <c r="ET17" s="102"/>
      <c r="EU17" s="102"/>
      <c r="EV17" s="103"/>
      <c r="EW17" s="101"/>
      <c r="EX17" s="102"/>
      <c r="EY17" s="102"/>
      <c r="EZ17" s="102"/>
      <c r="FA17" s="103"/>
      <c r="FB17" s="101"/>
      <c r="FC17" s="102"/>
      <c r="FD17" s="102"/>
      <c r="FE17" s="102"/>
      <c r="FF17" s="103"/>
      <c r="FG17" s="101"/>
      <c r="FH17" s="102"/>
      <c r="FI17" s="102"/>
      <c r="FJ17" s="102"/>
      <c r="FK17" s="103"/>
      <c r="FL17" s="101"/>
      <c r="FM17" s="102"/>
      <c r="FN17" s="102"/>
      <c r="FO17" s="102"/>
      <c r="FP17" s="103"/>
      <c r="FQ17" s="101"/>
      <c r="FR17" s="102"/>
      <c r="FS17" s="102"/>
      <c r="FT17" s="102"/>
      <c r="FU17" s="103"/>
      <c r="FV17" s="101"/>
      <c r="FW17" s="102"/>
      <c r="FX17" s="102"/>
      <c r="FY17" s="102"/>
      <c r="FZ17" s="103"/>
      <c r="GA17" s="101"/>
      <c r="GB17" s="102"/>
      <c r="GC17" s="102"/>
      <c r="GD17" s="102"/>
      <c r="GE17" s="103"/>
      <c r="GF17" s="101"/>
      <c r="GG17" s="102"/>
      <c r="GH17" s="102"/>
      <c r="GI17" s="102"/>
      <c r="GJ17" s="103"/>
      <c r="GK17" s="101"/>
      <c r="GL17" s="102"/>
      <c r="GM17" s="102"/>
      <c r="GN17" s="102"/>
      <c r="GO17" s="103"/>
      <c r="GP17" s="101"/>
      <c r="GQ17" s="102"/>
      <c r="GR17" s="102"/>
      <c r="GS17" s="102"/>
      <c r="GT17" s="103"/>
      <c r="GU17" s="101"/>
      <c r="GV17" s="102"/>
      <c r="GW17" s="102"/>
      <c r="GX17" s="102"/>
      <c r="GY17" s="103"/>
      <c r="GZ17" s="101"/>
      <c r="HA17" s="102"/>
      <c r="HB17" s="102"/>
      <c r="HC17" s="102"/>
      <c r="HD17" s="103"/>
      <c r="HE17" s="101"/>
      <c r="HF17" s="102"/>
      <c r="HG17" s="102"/>
      <c r="HH17" s="102"/>
      <c r="HI17" s="103"/>
      <c r="HJ17" s="101"/>
      <c r="HK17" s="102"/>
      <c r="HL17" s="102"/>
      <c r="HM17" s="102"/>
      <c r="HN17" s="103"/>
      <c r="HO17" s="101"/>
      <c r="HP17" s="102"/>
      <c r="HQ17" s="102"/>
      <c r="HR17" s="102"/>
      <c r="HS17" s="103"/>
      <c r="HT17" s="101"/>
      <c r="HU17" s="102"/>
      <c r="HV17" s="102"/>
      <c r="HW17" s="102"/>
      <c r="HX17" s="103"/>
      <c r="HY17" s="101"/>
      <c r="HZ17" s="102"/>
      <c r="IA17" s="102"/>
      <c r="IB17" s="102"/>
      <c r="IC17" s="103"/>
      <c r="ID17" s="101"/>
      <c r="IE17" s="102"/>
      <c r="IF17" s="102"/>
      <c r="IG17" s="102"/>
      <c r="IH17" s="103"/>
      <c r="II17" s="101"/>
      <c r="IJ17" s="102"/>
      <c r="IK17" s="102"/>
      <c r="IL17" s="102"/>
      <c r="IM17" s="103"/>
      <c r="IN17" s="101"/>
      <c r="IO17" s="102"/>
      <c r="IP17" s="102"/>
      <c r="IQ17" s="102"/>
      <c r="IR17" s="103"/>
      <c r="IS17" s="101"/>
      <c r="IT17" s="102"/>
      <c r="IU17" s="102"/>
      <c r="IV17" s="102"/>
      <c r="IW17" s="103"/>
      <c r="IX17" s="101"/>
      <c r="IY17" s="102"/>
      <c r="IZ17" s="102"/>
      <c r="JA17" s="102"/>
      <c r="JB17" s="103"/>
      <c r="JC17" s="101"/>
      <c r="JD17" s="102"/>
      <c r="JE17" s="102"/>
      <c r="JF17" s="102"/>
      <c r="JG17" s="103"/>
      <c r="JH17" s="101"/>
      <c r="JI17" s="102"/>
      <c r="JJ17" s="102"/>
      <c r="JK17" s="102"/>
      <c r="JL17" s="103"/>
      <c r="JM17" s="101"/>
      <c r="JN17" s="102"/>
      <c r="JO17" s="102"/>
      <c r="JP17" s="102"/>
      <c r="JQ17" s="103"/>
      <c r="JR17" s="101"/>
      <c r="JS17" s="102"/>
      <c r="JT17" s="102"/>
      <c r="JU17" s="102"/>
      <c r="JV17" s="103"/>
      <c r="JW17" s="51"/>
      <c r="JX17" s="103"/>
      <c r="JY17" s="101"/>
      <c r="JZ17" s="102"/>
      <c r="KA17" s="102"/>
      <c r="KB17" s="102"/>
      <c r="KC17" s="103"/>
      <c r="KD17" s="101"/>
      <c r="KE17" s="102"/>
      <c r="KF17" s="102"/>
      <c r="KG17" s="102"/>
      <c r="KH17" s="103"/>
      <c r="KI17" s="101"/>
      <c r="KJ17" s="102"/>
      <c r="KK17" s="102"/>
      <c r="KL17" s="102"/>
      <c r="KM17" s="103"/>
      <c r="KN17" s="101"/>
      <c r="KO17" s="102"/>
      <c r="KP17" s="102"/>
      <c r="KQ17" s="102"/>
      <c r="KR17" s="103"/>
      <c r="KS17" s="101"/>
      <c r="KT17" s="102"/>
      <c r="KU17" s="102"/>
      <c r="KV17" s="102"/>
      <c r="KW17" s="103"/>
      <c r="KX17" s="101"/>
      <c r="KY17" s="102"/>
      <c r="KZ17" s="102"/>
      <c r="LA17" s="102"/>
      <c r="LB17" s="103"/>
      <c r="LC17" s="101"/>
      <c r="LD17" s="102"/>
      <c r="LE17" s="102"/>
      <c r="LF17" s="102"/>
      <c r="LG17" s="103"/>
      <c r="LH17" s="101"/>
      <c r="LI17" s="102"/>
      <c r="LJ17" s="102"/>
      <c r="LK17" s="102"/>
      <c r="LL17" s="103"/>
      <c r="LM17" s="101"/>
      <c r="LN17" s="102"/>
      <c r="LO17" s="102"/>
      <c r="LP17" s="102"/>
      <c r="LQ17" s="103"/>
      <c r="LR17" s="101"/>
      <c r="LS17" s="102"/>
      <c r="LT17" s="102"/>
      <c r="LU17" s="102"/>
      <c r="LV17" s="103"/>
      <c r="LW17" s="101"/>
      <c r="LX17" s="102"/>
      <c r="LY17" s="102"/>
      <c r="LZ17" s="102"/>
      <c r="MA17" s="104"/>
      <c r="MB17" s="29"/>
    </row>
    <row r="18" ht="26.25" customHeight="1">
      <c r="A18" s="30"/>
      <c r="B18" s="31"/>
      <c r="C18" s="32" t="str">
        <f>Source!$C9</f>
        <v/>
      </c>
      <c r="D18" s="33" t="s">
        <v>12</v>
      </c>
      <c r="E18" s="34"/>
      <c r="F18" s="35"/>
      <c r="G18" s="36"/>
      <c r="H18" s="32" t="str">
        <f>Source!$C9</f>
        <v/>
      </c>
      <c r="I18" s="33" t="s">
        <v>13</v>
      </c>
      <c r="J18" s="34"/>
      <c r="K18" s="35"/>
      <c r="L18" s="36"/>
      <c r="M18" s="32" t="str">
        <f>Source!$C9</f>
        <v/>
      </c>
      <c r="N18" s="33" t="s">
        <v>14</v>
      </c>
      <c r="O18" s="34"/>
      <c r="P18" s="35"/>
      <c r="Q18" s="36"/>
      <c r="R18" s="32" t="str">
        <f>Source!$C9</f>
        <v/>
      </c>
      <c r="S18" s="33" t="s">
        <v>15</v>
      </c>
      <c r="T18" s="34"/>
      <c r="U18" s="35"/>
      <c r="V18" s="36"/>
      <c r="W18" s="32" t="str">
        <f>Source!$C9</f>
        <v/>
      </c>
      <c r="X18" s="33" t="s">
        <v>16</v>
      </c>
      <c r="Y18" s="34"/>
      <c r="Z18" s="35"/>
      <c r="AA18" s="36"/>
      <c r="AB18" s="32" t="str">
        <f>Source!$C9</f>
        <v/>
      </c>
      <c r="AC18" s="33" t="s">
        <v>17</v>
      </c>
      <c r="AD18" s="34"/>
      <c r="AE18" s="35"/>
      <c r="AF18" s="36"/>
      <c r="AG18" s="32" t="str">
        <f>Source!$C9</f>
        <v/>
      </c>
      <c r="AH18" s="37" t="s">
        <v>18</v>
      </c>
      <c r="AI18" s="34"/>
      <c r="AJ18" s="35"/>
      <c r="AK18" s="36"/>
      <c r="AL18" s="32" t="str">
        <f>Source!$C9</f>
        <v/>
      </c>
      <c r="AM18" s="33" t="s">
        <v>19</v>
      </c>
      <c r="AN18" s="34"/>
      <c r="AO18" s="35"/>
      <c r="AP18" s="36"/>
      <c r="AQ18" s="32" t="str">
        <f>Source!$C9</f>
        <v/>
      </c>
      <c r="AR18" s="33" t="s">
        <v>20</v>
      </c>
      <c r="AS18" s="34"/>
      <c r="AT18" s="35"/>
      <c r="AU18" s="36"/>
      <c r="AV18" s="32" t="str">
        <f>Source!$C9</f>
        <v/>
      </c>
      <c r="AW18" s="33" t="s">
        <v>21</v>
      </c>
      <c r="AX18" s="34"/>
      <c r="AY18" s="35"/>
      <c r="AZ18" s="36"/>
      <c r="BA18" s="32" t="str">
        <f>Source!$C9</f>
        <v/>
      </c>
      <c r="BB18" s="33" t="s">
        <v>22</v>
      </c>
      <c r="BC18" s="34"/>
      <c r="BD18" s="35"/>
      <c r="BE18" s="36"/>
      <c r="BF18" s="32" t="str">
        <f>Source!$C9</f>
        <v/>
      </c>
      <c r="BG18" s="33" t="s">
        <v>23</v>
      </c>
      <c r="BH18" s="34"/>
      <c r="BI18" s="35"/>
      <c r="BJ18" s="36"/>
      <c r="BK18" s="32" t="str">
        <f>Source!$C9</f>
        <v/>
      </c>
      <c r="BL18" s="33" t="s">
        <v>24</v>
      </c>
      <c r="BM18" s="34"/>
      <c r="BN18" s="35"/>
      <c r="BO18" s="36"/>
      <c r="BP18" s="32" t="str">
        <f>Source!$C9</f>
        <v/>
      </c>
      <c r="BQ18" s="33" t="s">
        <v>25</v>
      </c>
      <c r="BR18" s="34"/>
      <c r="BS18" s="35"/>
      <c r="BT18" s="36"/>
      <c r="BU18" s="32" t="str">
        <f>Source!$C9</f>
        <v/>
      </c>
      <c r="BV18" s="33" t="s">
        <v>26</v>
      </c>
      <c r="BW18" s="34"/>
      <c r="BX18" s="35"/>
      <c r="BY18" s="36"/>
      <c r="BZ18" s="32" t="str">
        <f>Source!$C9</f>
        <v/>
      </c>
      <c r="CA18" s="33" t="s">
        <v>27</v>
      </c>
      <c r="CB18" s="34"/>
      <c r="CC18" s="35"/>
      <c r="CD18" s="36"/>
      <c r="CE18" s="32" t="str">
        <f>Source!$C9</f>
        <v/>
      </c>
      <c r="CF18" s="33" t="s">
        <v>28</v>
      </c>
      <c r="CG18" s="34"/>
      <c r="CH18" s="35"/>
      <c r="CI18" s="36"/>
      <c r="CJ18" s="32" t="str">
        <f>Source!$C9</f>
        <v/>
      </c>
      <c r="CK18" s="33" t="s">
        <v>29</v>
      </c>
      <c r="CL18" s="34"/>
      <c r="CM18" s="35"/>
      <c r="CN18" s="36"/>
      <c r="CO18" s="32" t="str">
        <f>Source!$C9</f>
        <v/>
      </c>
      <c r="CP18" s="33" t="s">
        <v>30</v>
      </c>
      <c r="CQ18" s="34"/>
      <c r="CR18" s="35"/>
      <c r="CS18" s="36"/>
      <c r="CT18" s="32" t="str">
        <f>Source!$C9</f>
        <v/>
      </c>
      <c r="CU18" s="33" t="s">
        <v>31</v>
      </c>
      <c r="CV18" s="34"/>
      <c r="CW18" s="35"/>
      <c r="CX18" s="36"/>
      <c r="CY18" s="32" t="str">
        <f>Source!$C9</f>
        <v/>
      </c>
      <c r="CZ18" s="33" t="s">
        <v>32</v>
      </c>
      <c r="DA18" s="34"/>
      <c r="DB18" s="35"/>
      <c r="DC18" s="36"/>
      <c r="DD18" s="32" t="str">
        <f>Source!$C9</f>
        <v/>
      </c>
      <c r="DE18" s="33" t="s">
        <v>33</v>
      </c>
      <c r="DF18" s="34"/>
      <c r="DG18" s="35"/>
      <c r="DH18" s="36"/>
      <c r="DI18" s="32" t="str">
        <f>Source!$C9</f>
        <v/>
      </c>
      <c r="DJ18" s="33" t="s">
        <v>34</v>
      </c>
      <c r="DK18" s="34"/>
      <c r="DL18" s="35"/>
      <c r="DM18" s="36"/>
      <c r="DN18" s="32" t="str">
        <f>Source!$C9</f>
        <v/>
      </c>
      <c r="DO18" s="33" t="s">
        <v>35</v>
      </c>
      <c r="DP18" s="34"/>
      <c r="DQ18" s="35"/>
      <c r="DR18" s="36"/>
      <c r="DS18" s="32" t="str">
        <f>Source!$C9</f>
        <v/>
      </c>
      <c r="DT18" s="33" t="s">
        <v>36</v>
      </c>
      <c r="DU18" s="34"/>
      <c r="DV18" s="35"/>
      <c r="DW18" s="36"/>
      <c r="DX18" s="32" t="str">
        <f>Source!$C9</f>
        <v/>
      </c>
      <c r="DY18" s="33" t="s">
        <v>37</v>
      </c>
      <c r="DZ18" s="34"/>
      <c r="EA18" s="35"/>
      <c r="EB18" s="36"/>
      <c r="EC18" s="32" t="str">
        <f>Source!$C9</f>
        <v/>
      </c>
      <c r="ED18" s="38" t="s">
        <v>38</v>
      </c>
      <c r="EE18" s="34"/>
      <c r="EF18" s="35"/>
      <c r="EG18" s="36"/>
      <c r="EH18" s="32" t="str">
        <f>Source!$C9</f>
        <v/>
      </c>
      <c r="EI18" s="33" t="s">
        <v>39</v>
      </c>
      <c r="EJ18" s="34"/>
      <c r="EK18" s="35"/>
      <c r="EL18" s="36"/>
      <c r="EM18" s="32" t="str">
        <f>Source!$C9</f>
        <v/>
      </c>
      <c r="EN18" s="33" t="s">
        <v>40</v>
      </c>
      <c r="EO18" s="34"/>
      <c r="EP18" s="35"/>
      <c r="EQ18" s="36"/>
      <c r="ER18" s="32" t="str">
        <f>Source!$C9</f>
        <v/>
      </c>
      <c r="ES18" s="33" t="s">
        <v>41</v>
      </c>
      <c r="ET18" s="34"/>
      <c r="EU18" s="35"/>
      <c r="EV18" s="36"/>
      <c r="EW18" s="32" t="str">
        <f>Source!$C9</f>
        <v/>
      </c>
      <c r="EX18" s="33" t="s">
        <v>42</v>
      </c>
      <c r="EY18" s="34"/>
      <c r="EZ18" s="35"/>
      <c r="FA18" s="36"/>
      <c r="FB18" s="32" t="str">
        <f>Source!$C9</f>
        <v/>
      </c>
      <c r="FC18" s="33" t="s">
        <v>43</v>
      </c>
      <c r="FD18" s="34"/>
      <c r="FE18" s="35"/>
      <c r="FF18" s="36"/>
      <c r="FG18" s="32" t="str">
        <f>Source!$C9</f>
        <v/>
      </c>
      <c r="FH18" s="33" t="s">
        <v>44</v>
      </c>
      <c r="FI18" s="34"/>
      <c r="FJ18" s="35"/>
      <c r="FK18" s="36"/>
      <c r="FL18" s="32" t="str">
        <f>Source!$C9</f>
        <v/>
      </c>
      <c r="FM18" s="33" t="s">
        <v>45</v>
      </c>
      <c r="FN18" s="34"/>
      <c r="FO18" s="35"/>
      <c r="FP18" s="36"/>
      <c r="FQ18" s="32" t="str">
        <f>Source!$C9</f>
        <v/>
      </c>
      <c r="FR18" s="33" t="s">
        <v>46</v>
      </c>
      <c r="FS18" s="34"/>
      <c r="FT18" s="35"/>
      <c r="FU18" s="36"/>
      <c r="FV18" s="32" t="str">
        <f>Source!$C9</f>
        <v/>
      </c>
      <c r="FW18" s="33" t="s">
        <v>47</v>
      </c>
      <c r="FX18" s="34"/>
      <c r="FY18" s="35"/>
      <c r="FZ18" s="36"/>
      <c r="GA18" s="32" t="str">
        <f>Source!$C9</f>
        <v/>
      </c>
      <c r="GB18" s="33" t="s">
        <v>48</v>
      </c>
      <c r="GC18" s="34"/>
      <c r="GD18" s="35"/>
      <c r="GE18" s="36"/>
      <c r="GF18" s="32" t="str">
        <f>Source!$C9</f>
        <v/>
      </c>
      <c r="GG18" s="33" t="s">
        <v>49</v>
      </c>
      <c r="GH18" s="34"/>
      <c r="GI18" s="35"/>
      <c r="GJ18" s="36"/>
      <c r="GK18" s="32" t="str">
        <f>Source!$C9</f>
        <v/>
      </c>
      <c r="GL18" s="33" t="s">
        <v>50</v>
      </c>
      <c r="GM18" s="34"/>
      <c r="GN18" s="35"/>
      <c r="GO18" s="36"/>
      <c r="GP18" s="32" t="str">
        <f>Source!$C9</f>
        <v/>
      </c>
      <c r="GQ18" s="33" t="s">
        <v>51</v>
      </c>
      <c r="GR18" s="34"/>
      <c r="GS18" s="35"/>
      <c r="GT18" s="36"/>
      <c r="GU18" s="32" t="str">
        <f>Source!$C9</f>
        <v/>
      </c>
      <c r="GV18" s="33" t="s">
        <v>52</v>
      </c>
      <c r="GW18" s="34"/>
      <c r="GX18" s="35"/>
      <c r="GY18" s="36"/>
      <c r="GZ18" s="32" t="str">
        <f>Source!$C9</f>
        <v/>
      </c>
      <c r="HA18" s="33" t="s">
        <v>53</v>
      </c>
      <c r="HB18" s="34"/>
      <c r="HC18" s="35"/>
      <c r="HD18" s="36"/>
      <c r="HE18" s="32" t="str">
        <f>Source!$C9</f>
        <v/>
      </c>
      <c r="HF18" s="33" t="s">
        <v>54</v>
      </c>
      <c r="HG18" s="34"/>
      <c r="HH18" s="35"/>
      <c r="HI18" s="36"/>
      <c r="HJ18" s="32" t="str">
        <f>Source!$C9</f>
        <v/>
      </c>
      <c r="HK18" s="33" t="s">
        <v>55</v>
      </c>
      <c r="HL18" s="34"/>
      <c r="HM18" s="35"/>
      <c r="HN18" s="36"/>
      <c r="HO18" s="32" t="str">
        <f>Source!$C9</f>
        <v/>
      </c>
      <c r="HP18" s="33" t="s">
        <v>56</v>
      </c>
      <c r="HQ18" s="34"/>
      <c r="HR18" s="35"/>
      <c r="HS18" s="36"/>
      <c r="HT18" s="32" t="str">
        <f>Source!$C9</f>
        <v/>
      </c>
      <c r="HU18" s="33" t="s">
        <v>57</v>
      </c>
      <c r="HV18" s="34"/>
      <c r="HW18" s="35"/>
      <c r="HX18" s="36"/>
      <c r="HY18" s="32" t="str">
        <f>Source!$C9</f>
        <v/>
      </c>
      <c r="HZ18" s="33" t="s">
        <v>58</v>
      </c>
      <c r="IA18" s="34"/>
      <c r="IB18" s="35"/>
      <c r="IC18" s="36"/>
      <c r="ID18" s="32" t="str">
        <f>Source!$C9</f>
        <v/>
      </c>
      <c r="IE18" s="33" t="s">
        <v>59</v>
      </c>
      <c r="IF18" s="34"/>
      <c r="IG18" s="35"/>
      <c r="IH18" s="36"/>
      <c r="II18" s="32" t="str">
        <f>Source!$C9</f>
        <v/>
      </c>
      <c r="IJ18" s="38" t="s">
        <v>60</v>
      </c>
      <c r="IK18" s="34"/>
      <c r="IL18" s="35"/>
      <c r="IM18" s="36"/>
      <c r="IN18" s="32" t="str">
        <f>Source!$C9</f>
        <v/>
      </c>
      <c r="IO18" s="38" t="s">
        <v>61</v>
      </c>
      <c r="IP18" s="34"/>
      <c r="IQ18" s="35"/>
      <c r="IR18" s="36"/>
      <c r="IS18" s="32" t="str">
        <f>Source!$C9</f>
        <v/>
      </c>
      <c r="IT18" s="37" t="s">
        <v>62</v>
      </c>
      <c r="IU18" s="34"/>
      <c r="IV18" s="35"/>
      <c r="IW18" s="36"/>
      <c r="IX18" s="32" t="str">
        <f>Source!$C9</f>
        <v/>
      </c>
      <c r="IY18" s="33" t="s">
        <v>63</v>
      </c>
      <c r="IZ18" s="34"/>
      <c r="JA18" s="35"/>
      <c r="JB18" s="36"/>
      <c r="JC18" s="32" t="str">
        <f>Source!$C9</f>
        <v/>
      </c>
      <c r="JD18" s="33" t="s">
        <v>64</v>
      </c>
      <c r="JE18" s="34"/>
      <c r="JF18" s="35"/>
      <c r="JG18" s="36"/>
      <c r="JH18" s="32" t="str">
        <f>Source!$C9</f>
        <v/>
      </c>
      <c r="JI18" s="33" t="s">
        <v>65</v>
      </c>
      <c r="JJ18" s="34"/>
      <c r="JK18" s="35"/>
      <c r="JL18" s="36"/>
      <c r="JM18" s="32" t="str">
        <f>Source!$C9</f>
        <v/>
      </c>
      <c r="JN18" s="33" t="s">
        <v>66</v>
      </c>
      <c r="JO18" s="34"/>
      <c r="JP18" s="35"/>
      <c r="JQ18" s="36"/>
      <c r="JR18" s="32" t="str">
        <f>Source!$C9</f>
        <v/>
      </c>
      <c r="JS18" s="33" t="s">
        <v>67</v>
      </c>
      <c r="JT18" s="34"/>
      <c r="JU18" s="35"/>
      <c r="JV18" s="36"/>
      <c r="JW18" s="51"/>
      <c r="JX18" s="36"/>
      <c r="JY18" s="32" t="str">
        <f>Source!$C9</f>
        <v/>
      </c>
      <c r="JZ18" s="33" t="s">
        <v>69</v>
      </c>
      <c r="KA18" s="34"/>
      <c r="KB18" s="35"/>
      <c r="KC18" s="36"/>
      <c r="KD18" s="32" t="str">
        <f>Source!$C9</f>
        <v/>
      </c>
      <c r="KE18" s="40" t="s">
        <v>70</v>
      </c>
      <c r="KF18" s="34"/>
      <c r="KG18" s="35"/>
      <c r="KH18" s="36"/>
      <c r="KI18" s="32" t="str">
        <f>Source!$C9</f>
        <v/>
      </c>
      <c r="KJ18" s="33" t="s">
        <v>71</v>
      </c>
      <c r="KK18" s="34"/>
      <c r="KL18" s="35"/>
      <c r="KM18" s="36"/>
      <c r="KN18" s="32" t="str">
        <f>Source!$C9</f>
        <v/>
      </c>
      <c r="KO18" s="33" t="s">
        <v>72</v>
      </c>
      <c r="KP18" s="34"/>
      <c r="KQ18" s="35"/>
      <c r="KR18" s="36"/>
      <c r="KS18" s="32" t="str">
        <f>Source!$C9</f>
        <v/>
      </c>
      <c r="KT18" s="41" t="s">
        <v>73</v>
      </c>
      <c r="KU18" s="34"/>
      <c r="KV18" s="35"/>
      <c r="KW18" s="36"/>
      <c r="KX18" s="32" t="str">
        <f>Source!$C9</f>
        <v/>
      </c>
      <c r="KY18" s="33" t="s">
        <v>74</v>
      </c>
      <c r="KZ18" s="34"/>
      <c r="LA18" s="35"/>
      <c r="LB18" s="36"/>
      <c r="LC18" s="32" t="str">
        <f>Source!$C9</f>
        <v/>
      </c>
      <c r="LD18" s="33" t="s">
        <v>75</v>
      </c>
      <c r="LE18" s="34"/>
      <c r="LF18" s="35"/>
      <c r="LG18" s="36"/>
      <c r="LH18" s="32" t="str">
        <f>Source!$C9</f>
        <v/>
      </c>
      <c r="LI18" s="33" t="s">
        <v>76</v>
      </c>
      <c r="LJ18" s="34"/>
      <c r="LK18" s="35"/>
      <c r="LL18" s="36"/>
      <c r="LM18" s="32" t="str">
        <f>Source!$C9</f>
        <v/>
      </c>
      <c r="LN18" s="33" t="s">
        <v>77</v>
      </c>
      <c r="LO18" s="34"/>
      <c r="LP18" s="35"/>
      <c r="LQ18" s="36"/>
      <c r="LR18" s="32" t="str">
        <f>Source!$C9</f>
        <v/>
      </c>
      <c r="LS18" s="33" t="s">
        <v>78</v>
      </c>
      <c r="LT18" s="34"/>
      <c r="LU18" s="35"/>
      <c r="LV18" s="36"/>
      <c r="LW18" s="32" t="str">
        <f>Source!$C9</f>
        <v/>
      </c>
      <c r="LX18" s="33" t="s">
        <v>79</v>
      </c>
      <c r="LY18" s="34"/>
      <c r="LZ18" s="35"/>
      <c r="MA18" s="42"/>
      <c r="MB18" s="43"/>
    </row>
    <row r="19" ht="15.0" customHeight="1">
      <c r="A19" s="44"/>
      <c r="B19" s="45"/>
      <c r="C19" s="46" t="s">
        <v>80</v>
      </c>
      <c r="D19" s="47" t="s">
        <v>81</v>
      </c>
      <c r="E19" s="48"/>
      <c r="F19" s="49" t="s">
        <v>82</v>
      </c>
      <c r="G19" s="50"/>
      <c r="H19" s="46" t="s">
        <v>80</v>
      </c>
      <c r="I19" s="47" t="s">
        <v>81</v>
      </c>
      <c r="J19" s="48"/>
      <c r="K19" s="49" t="s">
        <v>82</v>
      </c>
      <c r="L19" s="50"/>
      <c r="M19" s="46" t="s">
        <v>80</v>
      </c>
      <c r="N19" s="47" t="s">
        <v>81</v>
      </c>
      <c r="O19" s="48"/>
      <c r="P19" s="49" t="s">
        <v>82</v>
      </c>
      <c r="Q19" s="50"/>
      <c r="R19" s="46" t="s">
        <v>80</v>
      </c>
      <c r="S19" s="47" t="s">
        <v>81</v>
      </c>
      <c r="T19" s="48"/>
      <c r="U19" s="49" t="s">
        <v>82</v>
      </c>
      <c r="V19" s="50"/>
      <c r="W19" s="46" t="s">
        <v>80</v>
      </c>
      <c r="X19" s="47" t="s">
        <v>81</v>
      </c>
      <c r="Y19" s="48"/>
      <c r="Z19" s="49" t="s">
        <v>82</v>
      </c>
      <c r="AA19" s="50"/>
      <c r="AB19" s="46" t="s">
        <v>80</v>
      </c>
      <c r="AC19" s="47" t="s">
        <v>81</v>
      </c>
      <c r="AD19" s="48"/>
      <c r="AE19" s="49" t="s">
        <v>82</v>
      </c>
      <c r="AF19" s="50"/>
      <c r="AG19" s="46" t="s">
        <v>80</v>
      </c>
      <c r="AH19" s="47" t="s">
        <v>81</v>
      </c>
      <c r="AI19" s="48"/>
      <c r="AJ19" s="49" t="s">
        <v>82</v>
      </c>
      <c r="AK19" s="50"/>
      <c r="AL19" s="46" t="s">
        <v>80</v>
      </c>
      <c r="AM19" s="47" t="s">
        <v>81</v>
      </c>
      <c r="AN19" s="48"/>
      <c r="AO19" s="49" t="s">
        <v>82</v>
      </c>
      <c r="AP19" s="50"/>
      <c r="AQ19" s="46" t="s">
        <v>80</v>
      </c>
      <c r="AR19" s="47" t="s">
        <v>81</v>
      </c>
      <c r="AS19" s="48"/>
      <c r="AT19" s="49" t="s">
        <v>82</v>
      </c>
      <c r="AU19" s="50"/>
      <c r="AV19" s="46" t="s">
        <v>80</v>
      </c>
      <c r="AW19" s="47" t="s">
        <v>81</v>
      </c>
      <c r="AX19" s="48"/>
      <c r="AY19" s="49" t="s">
        <v>82</v>
      </c>
      <c r="AZ19" s="50"/>
      <c r="BA19" s="46" t="s">
        <v>80</v>
      </c>
      <c r="BB19" s="47" t="s">
        <v>81</v>
      </c>
      <c r="BC19" s="48"/>
      <c r="BD19" s="49" t="s">
        <v>82</v>
      </c>
      <c r="BE19" s="50"/>
      <c r="BF19" s="46" t="s">
        <v>80</v>
      </c>
      <c r="BG19" s="47" t="s">
        <v>81</v>
      </c>
      <c r="BH19" s="48"/>
      <c r="BI19" s="49" t="s">
        <v>82</v>
      </c>
      <c r="BJ19" s="50"/>
      <c r="BK19" s="46" t="s">
        <v>80</v>
      </c>
      <c r="BL19" s="47" t="s">
        <v>81</v>
      </c>
      <c r="BM19" s="48"/>
      <c r="BN19" s="49" t="s">
        <v>82</v>
      </c>
      <c r="BO19" s="50"/>
      <c r="BP19" s="46" t="s">
        <v>80</v>
      </c>
      <c r="BQ19" s="47" t="s">
        <v>81</v>
      </c>
      <c r="BR19" s="48"/>
      <c r="BS19" s="49" t="s">
        <v>82</v>
      </c>
      <c r="BT19" s="50"/>
      <c r="BU19" s="46" t="s">
        <v>80</v>
      </c>
      <c r="BV19" s="47" t="s">
        <v>81</v>
      </c>
      <c r="BW19" s="48"/>
      <c r="BX19" s="49" t="s">
        <v>82</v>
      </c>
      <c r="BY19" s="50"/>
      <c r="BZ19" s="46" t="s">
        <v>80</v>
      </c>
      <c r="CA19" s="47" t="s">
        <v>81</v>
      </c>
      <c r="CB19" s="48"/>
      <c r="CC19" s="49" t="s">
        <v>82</v>
      </c>
      <c r="CD19" s="50"/>
      <c r="CE19" s="46" t="s">
        <v>80</v>
      </c>
      <c r="CF19" s="47" t="s">
        <v>81</v>
      </c>
      <c r="CG19" s="48"/>
      <c r="CH19" s="49" t="s">
        <v>82</v>
      </c>
      <c r="CI19" s="50"/>
      <c r="CJ19" s="46" t="s">
        <v>80</v>
      </c>
      <c r="CK19" s="47" t="s">
        <v>81</v>
      </c>
      <c r="CL19" s="48"/>
      <c r="CM19" s="49" t="s">
        <v>82</v>
      </c>
      <c r="CN19" s="50"/>
      <c r="CO19" s="46" t="s">
        <v>80</v>
      </c>
      <c r="CP19" s="47" t="s">
        <v>81</v>
      </c>
      <c r="CQ19" s="48"/>
      <c r="CR19" s="49" t="s">
        <v>82</v>
      </c>
      <c r="CS19" s="50"/>
      <c r="CT19" s="46" t="s">
        <v>80</v>
      </c>
      <c r="CU19" s="47" t="s">
        <v>81</v>
      </c>
      <c r="CV19" s="48"/>
      <c r="CW19" s="49" t="s">
        <v>82</v>
      </c>
      <c r="CX19" s="50"/>
      <c r="CY19" s="46" t="s">
        <v>80</v>
      </c>
      <c r="CZ19" s="47" t="s">
        <v>81</v>
      </c>
      <c r="DA19" s="48"/>
      <c r="DB19" s="49" t="s">
        <v>82</v>
      </c>
      <c r="DC19" s="50"/>
      <c r="DD19" s="46" t="s">
        <v>80</v>
      </c>
      <c r="DE19" s="47" t="s">
        <v>81</v>
      </c>
      <c r="DF19" s="48"/>
      <c r="DG19" s="49" t="s">
        <v>82</v>
      </c>
      <c r="DH19" s="50"/>
      <c r="DI19" s="46" t="s">
        <v>80</v>
      </c>
      <c r="DJ19" s="47" t="s">
        <v>81</v>
      </c>
      <c r="DK19" s="48"/>
      <c r="DL19" s="49" t="s">
        <v>82</v>
      </c>
      <c r="DM19" s="50"/>
      <c r="DN19" s="46" t="s">
        <v>80</v>
      </c>
      <c r="DO19" s="47" t="s">
        <v>81</v>
      </c>
      <c r="DP19" s="48"/>
      <c r="DQ19" s="49" t="s">
        <v>82</v>
      </c>
      <c r="DR19" s="50"/>
      <c r="DS19" s="46" t="s">
        <v>80</v>
      </c>
      <c r="DT19" s="47" t="s">
        <v>81</v>
      </c>
      <c r="DU19" s="48"/>
      <c r="DV19" s="49" t="s">
        <v>82</v>
      </c>
      <c r="DW19" s="50"/>
      <c r="DX19" s="46" t="s">
        <v>80</v>
      </c>
      <c r="DY19" s="47" t="s">
        <v>81</v>
      </c>
      <c r="DZ19" s="48"/>
      <c r="EA19" s="49" t="s">
        <v>82</v>
      </c>
      <c r="EB19" s="50"/>
      <c r="EC19" s="46" t="s">
        <v>80</v>
      </c>
      <c r="ED19" s="47" t="s">
        <v>81</v>
      </c>
      <c r="EE19" s="48"/>
      <c r="EF19" s="49" t="s">
        <v>82</v>
      </c>
      <c r="EG19" s="50"/>
      <c r="EH19" s="46" t="s">
        <v>80</v>
      </c>
      <c r="EI19" s="47" t="s">
        <v>81</v>
      </c>
      <c r="EJ19" s="48"/>
      <c r="EK19" s="49" t="s">
        <v>82</v>
      </c>
      <c r="EL19" s="50"/>
      <c r="EM19" s="46" t="s">
        <v>80</v>
      </c>
      <c r="EN19" s="47" t="s">
        <v>81</v>
      </c>
      <c r="EO19" s="48"/>
      <c r="EP19" s="49" t="s">
        <v>82</v>
      </c>
      <c r="EQ19" s="50"/>
      <c r="ER19" s="46" t="s">
        <v>80</v>
      </c>
      <c r="ES19" s="47" t="s">
        <v>81</v>
      </c>
      <c r="ET19" s="48"/>
      <c r="EU19" s="49" t="s">
        <v>82</v>
      </c>
      <c r="EV19" s="50"/>
      <c r="EW19" s="46" t="s">
        <v>80</v>
      </c>
      <c r="EX19" s="47" t="s">
        <v>81</v>
      </c>
      <c r="EY19" s="48"/>
      <c r="EZ19" s="49" t="s">
        <v>82</v>
      </c>
      <c r="FA19" s="50"/>
      <c r="FB19" s="46" t="s">
        <v>80</v>
      </c>
      <c r="FC19" s="47" t="s">
        <v>81</v>
      </c>
      <c r="FD19" s="48"/>
      <c r="FE19" s="49" t="s">
        <v>82</v>
      </c>
      <c r="FF19" s="50"/>
      <c r="FG19" s="46" t="s">
        <v>80</v>
      </c>
      <c r="FH19" s="47" t="s">
        <v>81</v>
      </c>
      <c r="FI19" s="48"/>
      <c r="FJ19" s="49" t="s">
        <v>82</v>
      </c>
      <c r="FK19" s="50"/>
      <c r="FL19" s="46" t="s">
        <v>80</v>
      </c>
      <c r="FM19" s="47" t="s">
        <v>81</v>
      </c>
      <c r="FN19" s="48"/>
      <c r="FO19" s="49" t="s">
        <v>82</v>
      </c>
      <c r="FP19" s="50"/>
      <c r="FQ19" s="46" t="s">
        <v>80</v>
      </c>
      <c r="FR19" s="47" t="s">
        <v>81</v>
      </c>
      <c r="FS19" s="48"/>
      <c r="FT19" s="49" t="s">
        <v>82</v>
      </c>
      <c r="FU19" s="50"/>
      <c r="FV19" s="46" t="s">
        <v>80</v>
      </c>
      <c r="FW19" s="47" t="s">
        <v>81</v>
      </c>
      <c r="FX19" s="48"/>
      <c r="FY19" s="49" t="s">
        <v>82</v>
      </c>
      <c r="FZ19" s="50"/>
      <c r="GA19" s="46" t="s">
        <v>80</v>
      </c>
      <c r="GB19" s="47" t="s">
        <v>81</v>
      </c>
      <c r="GC19" s="48"/>
      <c r="GD19" s="49" t="s">
        <v>82</v>
      </c>
      <c r="GE19" s="50"/>
      <c r="GF19" s="46" t="s">
        <v>80</v>
      </c>
      <c r="GG19" s="47" t="s">
        <v>81</v>
      </c>
      <c r="GH19" s="48"/>
      <c r="GI19" s="49" t="s">
        <v>82</v>
      </c>
      <c r="GJ19" s="50"/>
      <c r="GK19" s="46" t="s">
        <v>80</v>
      </c>
      <c r="GL19" s="47" t="s">
        <v>81</v>
      </c>
      <c r="GM19" s="48"/>
      <c r="GN19" s="49" t="s">
        <v>82</v>
      </c>
      <c r="GO19" s="50"/>
      <c r="GP19" s="46" t="s">
        <v>80</v>
      </c>
      <c r="GQ19" s="47" t="s">
        <v>81</v>
      </c>
      <c r="GR19" s="48"/>
      <c r="GS19" s="49" t="s">
        <v>82</v>
      </c>
      <c r="GT19" s="50"/>
      <c r="GU19" s="46" t="s">
        <v>80</v>
      </c>
      <c r="GV19" s="47" t="s">
        <v>81</v>
      </c>
      <c r="GW19" s="48"/>
      <c r="GX19" s="49" t="s">
        <v>82</v>
      </c>
      <c r="GY19" s="50"/>
      <c r="GZ19" s="46" t="s">
        <v>80</v>
      </c>
      <c r="HA19" s="47" t="s">
        <v>81</v>
      </c>
      <c r="HB19" s="48"/>
      <c r="HC19" s="49" t="s">
        <v>82</v>
      </c>
      <c r="HD19" s="50"/>
      <c r="HE19" s="46" t="s">
        <v>80</v>
      </c>
      <c r="HF19" s="47" t="s">
        <v>81</v>
      </c>
      <c r="HG19" s="48"/>
      <c r="HH19" s="49" t="s">
        <v>82</v>
      </c>
      <c r="HI19" s="50"/>
      <c r="HJ19" s="46" t="s">
        <v>80</v>
      </c>
      <c r="HK19" s="47" t="s">
        <v>81</v>
      </c>
      <c r="HL19" s="48"/>
      <c r="HM19" s="49" t="s">
        <v>82</v>
      </c>
      <c r="HN19" s="50"/>
      <c r="HO19" s="46" t="s">
        <v>80</v>
      </c>
      <c r="HP19" s="47" t="s">
        <v>81</v>
      </c>
      <c r="HQ19" s="48"/>
      <c r="HR19" s="49" t="s">
        <v>82</v>
      </c>
      <c r="HS19" s="50"/>
      <c r="HT19" s="46" t="s">
        <v>80</v>
      </c>
      <c r="HU19" s="47" t="s">
        <v>81</v>
      </c>
      <c r="HV19" s="48"/>
      <c r="HW19" s="49" t="s">
        <v>82</v>
      </c>
      <c r="HX19" s="50"/>
      <c r="HY19" s="46" t="s">
        <v>80</v>
      </c>
      <c r="HZ19" s="47" t="s">
        <v>81</v>
      </c>
      <c r="IA19" s="48"/>
      <c r="IB19" s="49" t="s">
        <v>82</v>
      </c>
      <c r="IC19" s="50"/>
      <c r="ID19" s="46" t="s">
        <v>80</v>
      </c>
      <c r="IE19" s="47" t="s">
        <v>81</v>
      </c>
      <c r="IF19" s="48"/>
      <c r="IG19" s="49" t="s">
        <v>82</v>
      </c>
      <c r="IH19" s="50"/>
      <c r="II19" s="46" t="s">
        <v>80</v>
      </c>
      <c r="IJ19" s="47" t="s">
        <v>81</v>
      </c>
      <c r="IK19" s="48"/>
      <c r="IL19" s="49" t="s">
        <v>82</v>
      </c>
      <c r="IM19" s="50"/>
      <c r="IN19" s="46" t="s">
        <v>80</v>
      </c>
      <c r="IO19" s="47" t="s">
        <v>81</v>
      </c>
      <c r="IP19" s="48"/>
      <c r="IQ19" s="49" t="s">
        <v>82</v>
      </c>
      <c r="IR19" s="50"/>
      <c r="IS19" s="46" t="s">
        <v>80</v>
      </c>
      <c r="IT19" s="47" t="s">
        <v>81</v>
      </c>
      <c r="IU19" s="48"/>
      <c r="IV19" s="49" t="s">
        <v>82</v>
      </c>
      <c r="IW19" s="50"/>
      <c r="IX19" s="46" t="s">
        <v>80</v>
      </c>
      <c r="IY19" s="47" t="s">
        <v>81</v>
      </c>
      <c r="IZ19" s="48"/>
      <c r="JA19" s="49" t="s">
        <v>82</v>
      </c>
      <c r="JB19" s="50"/>
      <c r="JC19" s="46" t="s">
        <v>80</v>
      </c>
      <c r="JD19" s="47" t="s">
        <v>81</v>
      </c>
      <c r="JE19" s="48"/>
      <c r="JF19" s="49" t="s">
        <v>82</v>
      </c>
      <c r="JG19" s="50"/>
      <c r="JH19" s="46" t="s">
        <v>80</v>
      </c>
      <c r="JI19" s="47" t="s">
        <v>81</v>
      </c>
      <c r="JJ19" s="48"/>
      <c r="JK19" s="49" t="s">
        <v>82</v>
      </c>
      <c r="JL19" s="50"/>
      <c r="JM19" s="46" t="s">
        <v>80</v>
      </c>
      <c r="JN19" s="47" t="s">
        <v>81</v>
      </c>
      <c r="JO19" s="48"/>
      <c r="JP19" s="49" t="s">
        <v>82</v>
      </c>
      <c r="JQ19" s="50"/>
      <c r="JR19" s="46" t="s">
        <v>80</v>
      </c>
      <c r="JS19" s="47" t="s">
        <v>81</v>
      </c>
      <c r="JT19" s="48"/>
      <c r="JU19" s="49" t="s">
        <v>82</v>
      </c>
      <c r="JV19" s="50"/>
      <c r="JW19" s="51"/>
      <c r="JX19" s="50"/>
      <c r="JY19" s="46" t="s">
        <v>80</v>
      </c>
      <c r="JZ19" s="47" t="s">
        <v>81</v>
      </c>
      <c r="KA19" s="48"/>
      <c r="KB19" s="49" t="s">
        <v>82</v>
      </c>
      <c r="KC19" s="50"/>
      <c r="KD19" s="46" t="s">
        <v>80</v>
      </c>
      <c r="KE19" s="47" t="s">
        <v>81</v>
      </c>
      <c r="KF19" s="48"/>
      <c r="KG19" s="49" t="s">
        <v>82</v>
      </c>
      <c r="KH19" s="50"/>
      <c r="KI19" s="46" t="s">
        <v>80</v>
      </c>
      <c r="KJ19" s="47" t="s">
        <v>81</v>
      </c>
      <c r="KK19" s="48"/>
      <c r="KL19" s="49" t="s">
        <v>82</v>
      </c>
      <c r="KM19" s="50"/>
      <c r="KN19" s="46" t="s">
        <v>80</v>
      </c>
      <c r="KO19" s="47" t="s">
        <v>81</v>
      </c>
      <c r="KP19" s="48"/>
      <c r="KQ19" s="49" t="s">
        <v>82</v>
      </c>
      <c r="KR19" s="50"/>
      <c r="KS19" s="46" t="s">
        <v>80</v>
      </c>
      <c r="KT19" s="47" t="s">
        <v>81</v>
      </c>
      <c r="KU19" s="48"/>
      <c r="KV19" s="49" t="s">
        <v>82</v>
      </c>
      <c r="KW19" s="50"/>
      <c r="KX19" s="46" t="s">
        <v>80</v>
      </c>
      <c r="KY19" s="47" t="s">
        <v>81</v>
      </c>
      <c r="KZ19" s="48"/>
      <c r="LA19" s="49" t="s">
        <v>82</v>
      </c>
      <c r="LB19" s="50"/>
      <c r="LC19" s="46" t="s">
        <v>80</v>
      </c>
      <c r="LD19" s="47" t="s">
        <v>81</v>
      </c>
      <c r="LE19" s="48"/>
      <c r="LF19" s="49" t="s">
        <v>82</v>
      </c>
      <c r="LG19" s="50"/>
      <c r="LH19" s="46" t="s">
        <v>80</v>
      </c>
      <c r="LI19" s="47" t="s">
        <v>81</v>
      </c>
      <c r="LJ19" s="48"/>
      <c r="LK19" s="49" t="s">
        <v>82</v>
      </c>
      <c r="LL19" s="50"/>
      <c r="LM19" s="46" t="s">
        <v>80</v>
      </c>
      <c r="LN19" s="47" t="s">
        <v>81</v>
      </c>
      <c r="LO19" s="48"/>
      <c r="LP19" s="49" t="s">
        <v>82</v>
      </c>
      <c r="LQ19" s="50"/>
      <c r="LR19" s="46" t="s">
        <v>80</v>
      </c>
      <c r="LS19" s="47" t="s">
        <v>81</v>
      </c>
      <c r="LT19" s="48"/>
      <c r="LU19" s="49" t="s">
        <v>82</v>
      </c>
      <c r="LV19" s="50"/>
      <c r="LW19" s="46" t="s">
        <v>80</v>
      </c>
      <c r="LX19" s="47" t="s">
        <v>81</v>
      </c>
      <c r="LY19" s="48"/>
      <c r="LZ19" s="49" t="s">
        <v>82</v>
      </c>
      <c r="MA19" s="52"/>
      <c r="MB19" s="53"/>
    </row>
    <row r="20" ht="23.25" customHeight="1">
      <c r="A20" s="23"/>
      <c r="B20" s="54"/>
      <c r="C20" s="55">
        <v>0.2</v>
      </c>
      <c r="D20" s="56" t="str">
        <f t="array" ref="D20:D31">IFERROR(VLOOKUP(E20:E31,Dex!$B$3:$N33,2,FALSE),"")</f>
        <v/>
      </c>
      <c r="E20" s="57" t="s">
        <v>218</v>
      </c>
      <c r="F20" s="58">
        <v>44231.0</v>
      </c>
      <c r="G20" s="59"/>
      <c r="H20" s="55">
        <v>0.2</v>
      </c>
      <c r="I20" s="56" t="str">
        <f t="array" ref="I20:I31">IFERROR(VLOOKUP(J20:J31,Dex!$B$3:$N33,2,FALSE),"")</f>
        <v/>
      </c>
      <c r="J20" s="57" t="s">
        <v>529</v>
      </c>
      <c r="K20" s="58">
        <v>44625.0</v>
      </c>
      <c r="L20" s="59"/>
      <c r="M20" s="55">
        <v>0.2</v>
      </c>
      <c r="N20" s="56" t="str">
        <f t="array" ref="N20:N31">IFERROR(VLOOKUP(O20:O31,Dex!$B$3:$N33,2,FALSE),"")</f>
        <v/>
      </c>
      <c r="O20" s="57" t="s">
        <v>85</v>
      </c>
      <c r="P20" s="58">
        <v>44625.0</v>
      </c>
      <c r="Q20" s="59"/>
      <c r="R20" s="55">
        <v>0.2</v>
      </c>
      <c r="S20" s="56" t="str">
        <f t="array" ref="S20:S31">IFERROR(VLOOKUP(T20:T31,Dex!$B$3:$N33,2,FALSE),"")</f>
        <v/>
      </c>
      <c r="T20" s="57" t="s">
        <v>530</v>
      </c>
      <c r="U20" s="58">
        <v>45022.0</v>
      </c>
      <c r="V20" s="59"/>
      <c r="W20" s="55">
        <v>0.2</v>
      </c>
      <c r="X20" s="56" t="str">
        <f t="array" ref="X20:X31">IFERROR(VLOOKUP(Y20:Y31,Dex!$B$3:$N33,2,FALSE),"")</f>
        <v/>
      </c>
      <c r="Y20" s="57" t="s">
        <v>218</v>
      </c>
      <c r="Z20" s="58">
        <v>44625.0</v>
      </c>
      <c r="AA20" s="59"/>
      <c r="AB20" s="55">
        <v>0.2</v>
      </c>
      <c r="AC20" s="56" t="str">
        <f t="array" ref="AC20:AC31">IFERROR(VLOOKUP(AD20:AD31,Dex!$B$3:$N33,2,FALSE),"")</f>
        <v/>
      </c>
      <c r="AD20" s="57" t="s">
        <v>531</v>
      </c>
      <c r="AE20" s="58">
        <v>44657.0</v>
      </c>
      <c r="AF20" s="59"/>
      <c r="AG20" s="55">
        <v>0.2</v>
      </c>
      <c r="AH20" s="56" t="str">
        <f t="array" ref="AH20:AH31">IFERROR(VLOOKUP(AI20:AI31,Dex!$B$3:$N33,2,FALSE),"")</f>
        <v/>
      </c>
      <c r="AI20" s="57" t="s">
        <v>532</v>
      </c>
      <c r="AJ20" s="58">
        <v>44657.0</v>
      </c>
      <c r="AK20" s="59"/>
      <c r="AL20" s="55">
        <v>0.2</v>
      </c>
      <c r="AM20" s="56" t="str">
        <f t="array" ref="AM20:AM31">IFERROR(VLOOKUP(AN20:AN31,Dex!$B$3:$N33,2,FALSE),"")</f>
        <v/>
      </c>
      <c r="AN20" s="57" t="s">
        <v>533</v>
      </c>
      <c r="AO20" s="58">
        <v>44751.0</v>
      </c>
      <c r="AP20" s="59"/>
      <c r="AQ20" s="55">
        <v>0.2</v>
      </c>
      <c r="AR20" s="56" t="str">
        <f t="array" ref="AR20:AR21">IFERROR(VLOOKUP(AS20:AS21,Dex!$B$3:$N33,2,FALSE),"")</f>
        <v/>
      </c>
      <c r="AS20" s="57" t="s">
        <v>534</v>
      </c>
      <c r="AT20" s="58">
        <v>44751.0</v>
      </c>
      <c r="AU20" s="59"/>
      <c r="AV20" s="55">
        <v>0.2</v>
      </c>
      <c r="AW20" s="56" t="str">
        <f t="array" ref="AW20:AW31">IFERROR(VLOOKUP(AX20:AX31,Dex!$B$3:$N33,2,FALSE),"")</f>
        <v/>
      </c>
      <c r="AX20" s="57" t="s">
        <v>90</v>
      </c>
      <c r="AY20" s="58">
        <v>44846.0</v>
      </c>
      <c r="AZ20" s="59"/>
      <c r="BA20" s="55">
        <v>0.2</v>
      </c>
      <c r="BB20" s="56" t="str">
        <f t="array" ref="BB20:BB31">IFERROR(VLOOKUP(BC20:BC31,Dex!$B$3:$N33,2,FALSE),"")</f>
        <v/>
      </c>
      <c r="BC20" s="57" t="s">
        <v>535</v>
      </c>
      <c r="BD20" s="58">
        <v>44909.0</v>
      </c>
      <c r="BE20" s="59"/>
      <c r="BF20" s="55">
        <v>0.2</v>
      </c>
      <c r="BG20" s="56" t="str">
        <f t="array" ref="BG20:BG31">IFERROR(VLOOKUP(BH20:BH31,Dex!$B$3:$N33,2,FALSE),"")</f>
        <v/>
      </c>
      <c r="BH20" s="57" t="s">
        <v>92</v>
      </c>
      <c r="BI20" s="58">
        <v>44909.0</v>
      </c>
      <c r="BJ20" s="59"/>
      <c r="BK20" s="55">
        <v>0.2</v>
      </c>
      <c r="BL20" s="56" t="str">
        <f t="array" ref="BL20:BL31">IFERROR(VLOOKUP(BM20:BM31,Dex!$B$3:$N33,2,FALSE),"")</f>
        <v/>
      </c>
      <c r="BM20" s="57" t="s">
        <v>302</v>
      </c>
      <c r="BN20" s="58">
        <v>44909.0</v>
      </c>
      <c r="BO20" s="59"/>
      <c r="BP20" s="55">
        <v>0.2</v>
      </c>
      <c r="BQ20" s="56" t="str">
        <f t="array" ref="BQ20:BQ31">IFERROR(VLOOKUP(BR20:BR31,Dex!$B$3:$N33,2,FALSE),"")</f>
        <v/>
      </c>
      <c r="BR20" s="57" t="s">
        <v>94</v>
      </c>
      <c r="BS20" s="58" t="s">
        <v>95</v>
      </c>
      <c r="BT20" s="59"/>
      <c r="BU20" s="55">
        <v>0.2</v>
      </c>
      <c r="BV20" s="56" t="str">
        <f t="array" ref="BV20:BV31">IFERROR(VLOOKUP(BW20:BW31,Dex!$B$3:$N33,2,FALSE),"")</f>
        <v/>
      </c>
      <c r="BW20" s="57" t="s">
        <v>96</v>
      </c>
      <c r="BX20" s="58" t="s">
        <v>97</v>
      </c>
      <c r="BY20" s="59"/>
      <c r="BZ20" s="55">
        <v>0.2</v>
      </c>
      <c r="CA20" s="56" t="str">
        <f t="array" ref="CA20:CA31">IFERROR(VLOOKUP(CB20:CB31,Dex!$B$3:$N33,2,FALSE),"")</f>
        <v/>
      </c>
      <c r="CB20" s="57" t="s">
        <v>98</v>
      </c>
      <c r="CC20" s="58" t="s">
        <v>99</v>
      </c>
      <c r="CD20" s="59"/>
      <c r="CE20" s="55">
        <v>0.2</v>
      </c>
      <c r="CF20" s="56" t="str">
        <f t="array" ref="CF20:CF31">IFERROR(VLOOKUP(CG20:CG31,Dex!$B$3:$N33,2,FALSE),"")</f>
        <v/>
      </c>
      <c r="CG20" s="57" t="s">
        <v>536</v>
      </c>
      <c r="CH20" s="58" t="s">
        <v>101</v>
      </c>
      <c r="CI20" s="59"/>
      <c r="CJ20" s="55">
        <v>0.2</v>
      </c>
      <c r="CK20" s="56" t="str">
        <f t="array" ref="CK20:CK31">IFERROR(VLOOKUP(CL20:CL31,Dex!$B$3:$N33,2,FALSE),"")</f>
        <v/>
      </c>
      <c r="CL20" s="57" t="s">
        <v>537</v>
      </c>
      <c r="CM20" s="58" t="s">
        <v>99</v>
      </c>
      <c r="CN20" s="59"/>
      <c r="CO20" s="55">
        <v>0.2</v>
      </c>
      <c r="CP20" s="56" t="str">
        <f t="array" ref="CP20:CP31">IFERROR(VLOOKUP(CQ20:CQ31,Dex!$B$3:$N33,2,FALSE),"")</f>
        <v/>
      </c>
      <c r="CQ20" s="57" t="s">
        <v>538</v>
      </c>
      <c r="CR20" s="58" t="s">
        <v>104</v>
      </c>
      <c r="CS20" s="59"/>
      <c r="CT20" s="55">
        <v>0.2</v>
      </c>
      <c r="CU20" s="56" t="str">
        <f t="array" ref="CU20:CU31">IFERROR(VLOOKUP(CV20:CV31,Dex!$B$3:$N33,2,FALSE),"")</f>
        <v/>
      </c>
      <c r="CV20" s="57" t="s">
        <v>533</v>
      </c>
      <c r="CW20" s="58" t="s">
        <v>104</v>
      </c>
      <c r="CX20" s="59"/>
      <c r="CY20" s="55">
        <v>0.2</v>
      </c>
      <c r="CZ20" s="56" t="str">
        <f t="array" ref="CZ20:CZ31">IFERROR(VLOOKUP(DA20:DA31,Dex!$B$3:$N33,2,FALSE),"")</f>
        <v/>
      </c>
      <c r="DA20" s="57" t="s">
        <v>105</v>
      </c>
      <c r="DB20" s="58" t="s">
        <v>106</v>
      </c>
      <c r="DC20" s="59"/>
      <c r="DD20" s="55">
        <v>0.2</v>
      </c>
      <c r="DE20" s="56" t="str">
        <f t="array" ref="DE20:DE31">IFERROR(VLOOKUP(DF20:DF31,Dex!$B$3:$N33,2,FALSE),"")</f>
        <v/>
      </c>
      <c r="DF20" s="57" t="s">
        <v>539</v>
      </c>
      <c r="DG20" s="58" t="s">
        <v>108</v>
      </c>
      <c r="DH20" s="59"/>
      <c r="DI20" s="55">
        <v>0.2</v>
      </c>
      <c r="DJ20" s="56" t="str">
        <f t="array" ref="DJ20:DJ31">IFERROR(VLOOKUP(DK20:DK31,Dex!$B$3:$N33,2,FALSE),"")</f>
        <v/>
      </c>
      <c r="DK20" s="57" t="s">
        <v>540</v>
      </c>
      <c r="DL20" s="58" t="s">
        <v>110</v>
      </c>
      <c r="DM20" s="59"/>
      <c r="DN20" s="55">
        <v>0.2</v>
      </c>
      <c r="DO20" s="56" t="str">
        <f t="array" ref="DO20:DO31">IFERROR(VLOOKUP(DP20:DP31,Dex!$B$3:$N33,2,FALSE),"")</f>
        <v/>
      </c>
      <c r="DP20" s="57" t="s">
        <v>541</v>
      </c>
      <c r="DQ20" s="58" t="s">
        <v>112</v>
      </c>
      <c r="DR20" s="59"/>
      <c r="DS20" s="55">
        <v>0.2</v>
      </c>
      <c r="DT20" s="56" t="str">
        <f t="array" ref="DT20:DT31">IFERROR(VLOOKUP(DU20:DU31,Dex!$B$3:$N33,2,FALSE),"")</f>
        <v/>
      </c>
      <c r="DU20" s="57" t="s">
        <v>542</v>
      </c>
      <c r="DV20" s="58" t="s">
        <v>114</v>
      </c>
      <c r="DW20" s="59"/>
      <c r="DX20" s="55">
        <v>0.2</v>
      </c>
      <c r="DY20" s="56" t="str">
        <f t="array" ref="DY20:DY31">IFERROR(VLOOKUP(DZ20:DZ31,Dex!$B$3:$N33,2,FALSE),"")</f>
        <v/>
      </c>
      <c r="DZ20" s="57" t="s">
        <v>543</v>
      </c>
      <c r="EA20" s="58" t="s">
        <v>116</v>
      </c>
      <c r="EB20" s="59"/>
      <c r="EC20" s="55">
        <v>0.2</v>
      </c>
      <c r="ED20" s="56" t="str">
        <f t="array" ref="ED20:ED31">IFERROR(VLOOKUP(EE20:EE31,Dex!$B$3:$N33,2,FALSE),"")</f>
        <v/>
      </c>
      <c r="EE20" s="57" t="s">
        <v>117</v>
      </c>
      <c r="EF20" s="58" t="s">
        <v>118</v>
      </c>
      <c r="EG20" s="59"/>
      <c r="EH20" s="55">
        <v>0.2</v>
      </c>
      <c r="EI20" s="56" t="str">
        <f t="array" ref="EI20:EI31">IFERROR(VLOOKUP(EJ20:EJ31,Dex!$B$3:$N33,2,FALSE),"")</f>
        <v/>
      </c>
      <c r="EJ20" s="57" t="s">
        <v>117</v>
      </c>
      <c r="EK20" s="58" t="s">
        <v>118</v>
      </c>
      <c r="EL20" s="59"/>
      <c r="EM20" s="55">
        <v>0.2</v>
      </c>
      <c r="EN20" s="56" t="str">
        <f t="array" ref="EN20:EN31">IFERROR(VLOOKUP(EO20:EO31,Dex!$B$3:$N33,2,FALSE),"")</f>
        <v/>
      </c>
      <c r="EO20" s="57" t="s">
        <v>117</v>
      </c>
      <c r="EP20" s="58" t="s">
        <v>118</v>
      </c>
      <c r="EQ20" s="59"/>
      <c r="ER20" s="55">
        <v>0.2</v>
      </c>
      <c r="ES20" s="56" t="str">
        <f t="array" ref="ES20:ES31">IFERROR(VLOOKUP(ET20:ET31,Dex!$B$3:$N33,2,FALSE),"")</f>
        <v/>
      </c>
      <c r="ET20" s="57" t="s">
        <v>117</v>
      </c>
      <c r="EU20" s="58" t="s">
        <v>118</v>
      </c>
      <c r="EV20" s="59"/>
      <c r="EW20" s="55">
        <v>0.2</v>
      </c>
      <c r="EX20" s="56" t="str">
        <f t="array" ref="EX20:EX31">IFERROR(VLOOKUP(EY20:EY31,Dex!$B$3:$N33,2,FALSE),"")</f>
        <v/>
      </c>
      <c r="EY20" s="57" t="s">
        <v>521</v>
      </c>
      <c r="EZ20" s="58" t="s">
        <v>114</v>
      </c>
      <c r="FA20" s="59"/>
      <c r="FB20" s="55">
        <v>0.2</v>
      </c>
      <c r="FC20" s="56" t="str">
        <f t="array" ref="FC20:FC31">IFERROR(VLOOKUP(FD20:FD31,Dex!$B$3:$N33,2,FALSE),"")</f>
        <v/>
      </c>
      <c r="FD20" s="57" t="s">
        <v>544</v>
      </c>
      <c r="FE20" s="58" t="s">
        <v>121</v>
      </c>
      <c r="FF20" s="59"/>
      <c r="FG20" s="55">
        <v>0.2</v>
      </c>
      <c r="FH20" s="56" t="str">
        <f t="array" ref="FH20:FH31">IFERROR(VLOOKUP(FI20:FI31,Dex!$B$3:$N33,2,FALSE),"")</f>
        <v/>
      </c>
      <c r="FI20" s="57" t="s">
        <v>122</v>
      </c>
      <c r="FJ20" s="58" t="s">
        <v>123</v>
      </c>
      <c r="FK20" s="59"/>
      <c r="FL20" s="55">
        <v>0.2</v>
      </c>
      <c r="FM20" s="56" t="str">
        <f t="array" ref="FM20:FM31">IFERROR(VLOOKUP(FN20:FN31,Dex!$B$3:$N33,2,FALSE),"")</f>
        <v/>
      </c>
      <c r="FN20" s="57" t="s">
        <v>124</v>
      </c>
      <c r="FO20" s="58" t="s">
        <v>125</v>
      </c>
      <c r="FP20" s="59"/>
      <c r="FQ20" s="55">
        <v>0.2</v>
      </c>
      <c r="FR20" s="56" t="str">
        <f t="array" ref="FR20:FR31">IFERROR(VLOOKUP(FS20:FS31,Dex!$B$3:$N33,2,FALSE),"")</f>
        <v/>
      </c>
      <c r="FS20" s="57" t="s">
        <v>545</v>
      </c>
      <c r="FT20" s="58" t="s">
        <v>127</v>
      </c>
      <c r="FU20" s="59"/>
      <c r="FV20" s="55">
        <v>0.2</v>
      </c>
      <c r="FW20" s="56" t="str">
        <f t="array" ref="FW20:FW31">IFERROR(VLOOKUP(FX20:FX31,Dex!$B$3:$N33,2,FALSE),"")</f>
        <v/>
      </c>
      <c r="FX20" s="57" t="s">
        <v>128</v>
      </c>
      <c r="FY20" s="58" t="s">
        <v>127</v>
      </c>
      <c r="FZ20" s="59"/>
      <c r="GA20" s="55">
        <v>0.2</v>
      </c>
      <c r="GB20" s="56" t="str">
        <f t="array" ref="GB20:GB31">IFERROR(VLOOKUP(GC20:GC31,Dex!$B$3:$N33,2,FALSE),"")</f>
        <v/>
      </c>
      <c r="GC20" s="57" t="s">
        <v>129</v>
      </c>
      <c r="GD20" s="58" t="s">
        <v>123</v>
      </c>
      <c r="GE20" s="59"/>
      <c r="GF20" s="55">
        <v>0.2</v>
      </c>
      <c r="GG20" s="56" t="str">
        <f t="array" ref="GG20:GG31">IFERROR(VLOOKUP(GH20:GH31,Dex!$B$3:$N33,2,FALSE),"")</f>
        <v/>
      </c>
      <c r="GH20" s="57" t="s">
        <v>130</v>
      </c>
      <c r="GI20" s="58" t="s">
        <v>116</v>
      </c>
      <c r="GJ20" s="59"/>
      <c r="GK20" s="55">
        <v>0.2</v>
      </c>
      <c r="GL20" s="56" t="str">
        <f t="array" ref="GL20:GL31">IFERROR(VLOOKUP(GM20:GM31,Dex!$B$3:$N33,2,FALSE),"")</f>
        <v/>
      </c>
      <c r="GM20" s="57" t="s">
        <v>546</v>
      </c>
      <c r="GN20" s="58" t="s">
        <v>132</v>
      </c>
      <c r="GO20" s="59"/>
      <c r="GP20" s="55">
        <v>0.2</v>
      </c>
      <c r="GQ20" s="56" t="str">
        <f t="array" ref="GQ20:GQ31">IFERROR(VLOOKUP(GR20:GR31,Dex!$B$3:$N33,2,FALSE),"")</f>
        <v/>
      </c>
      <c r="GR20" s="57" t="s">
        <v>546</v>
      </c>
      <c r="GS20" s="58" t="s">
        <v>132</v>
      </c>
      <c r="GT20" s="59"/>
      <c r="GU20" s="55">
        <v>0.2</v>
      </c>
      <c r="GV20" s="56" t="str">
        <f t="array" ref="GV20:GV31">IFERROR(VLOOKUP(GW20:GW31,Dex!$B$3:$N33,2,FALSE),"")</f>
        <v/>
      </c>
      <c r="GW20" s="57" t="s">
        <v>133</v>
      </c>
      <c r="GX20" s="58" t="s">
        <v>132</v>
      </c>
      <c r="GY20" s="59"/>
      <c r="GZ20" s="55">
        <v>0.2</v>
      </c>
      <c r="HA20" s="56" t="str">
        <f t="array" ref="HA20:HA31">IFERROR(VLOOKUP(HB20:HB31,Dex!$B$3:$N33,2,FALSE),"")</f>
        <v/>
      </c>
      <c r="HB20" s="57" t="s">
        <v>546</v>
      </c>
      <c r="HC20" s="58" t="s">
        <v>132</v>
      </c>
      <c r="HD20" s="59"/>
      <c r="HE20" s="55">
        <v>0.2</v>
      </c>
      <c r="HF20" s="56" t="str">
        <f t="array" ref="HF20:HF31">IFERROR(VLOOKUP(HG20:HG31,Dex!$B$3:$N33,2,FALSE),"")</f>
        <v/>
      </c>
      <c r="HG20" s="57" t="s">
        <v>131</v>
      </c>
      <c r="HH20" s="58" t="s">
        <v>132</v>
      </c>
      <c r="HI20" s="59"/>
      <c r="HJ20" s="55">
        <v>0.2</v>
      </c>
      <c r="HK20" s="56" t="str">
        <f t="array" ref="HK20:HK31">IFERROR(VLOOKUP(HL20:HL31,Dex!$B$3:$N33,2,FALSE),"")</f>
        <v/>
      </c>
      <c r="HL20" s="57" t="s">
        <v>547</v>
      </c>
      <c r="HM20" s="58" t="s">
        <v>135</v>
      </c>
      <c r="HN20" s="59"/>
      <c r="HO20" s="55">
        <v>0.2</v>
      </c>
      <c r="HP20" s="56" t="str">
        <f t="array" ref="HP20:HP31">IFERROR(VLOOKUP(HQ20:HQ31,Dex!$B$3:$N33,2,FALSE),"")</f>
        <v/>
      </c>
      <c r="HQ20" s="57" t="s">
        <v>548</v>
      </c>
      <c r="HR20" s="58" t="s">
        <v>135</v>
      </c>
      <c r="HS20" s="59"/>
      <c r="HT20" s="55">
        <v>0.2</v>
      </c>
      <c r="HU20" s="56" t="str">
        <f t="array" ref="HU20:HU31">IFERROR(VLOOKUP(HV20:HV31,Dex!$B$3:$N33,2,FALSE),"")</f>
        <v/>
      </c>
      <c r="HV20" s="57" t="s">
        <v>549</v>
      </c>
      <c r="HW20" s="58" t="s">
        <v>135</v>
      </c>
      <c r="HX20" s="59"/>
      <c r="HY20" s="55">
        <v>0.2</v>
      </c>
      <c r="HZ20" s="56" t="str">
        <f t="array" ref="HZ20:HZ31">IFERROR(VLOOKUP(IA20:IA31,Dex!$B$3:$N33,2,FALSE),"")</f>
        <v/>
      </c>
      <c r="IA20" s="57" t="s">
        <v>547</v>
      </c>
      <c r="IB20" s="58" t="s">
        <v>135</v>
      </c>
      <c r="IC20" s="59"/>
      <c r="ID20" s="55">
        <v>0.2</v>
      </c>
      <c r="IE20" s="56" t="str">
        <f t="array" ref="IE20:IE31">IFERROR(VLOOKUP(IF20:IF31,Dex!$B$3:$N33,2,FALSE),"")</f>
        <v/>
      </c>
      <c r="IF20" s="57" t="s">
        <v>138</v>
      </c>
      <c r="IG20" s="58" t="s">
        <v>135</v>
      </c>
      <c r="IH20" s="59"/>
      <c r="II20" s="55">
        <v>0.2</v>
      </c>
      <c r="IJ20" s="56" t="str">
        <f t="array" ref="IJ20:IJ31">IFERROR(VLOOKUP(IK20:IK31,Dex!$B$3:$N33,2,FALSE),"")</f>
        <v/>
      </c>
      <c r="IK20" s="57" t="s">
        <v>139</v>
      </c>
      <c r="IL20" s="58" t="s">
        <v>140</v>
      </c>
      <c r="IM20" s="59"/>
      <c r="IN20" s="55">
        <v>0.2</v>
      </c>
      <c r="IO20" s="56" t="str">
        <f t="array" ref="IO20:IO31">IFERROR(VLOOKUP(IP20:IP31,Dex!$B$3:$N33,2,FALSE),"")</f>
        <v/>
      </c>
      <c r="IP20" s="57" t="s">
        <v>141</v>
      </c>
      <c r="IQ20" s="58" t="s">
        <v>140</v>
      </c>
      <c r="IR20" s="59"/>
      <c r="IS20" s="55">
        <v>0.2</v>
      </c>
      <c r="IT20" s="56" t="str">
        <f t="array" ref="IT20:IT31">IFERROR(VLOOKUP(IU20:IU31,Dex!$B$3:$N33,2,FALSE),"")</f>
        <v/>
      </c>
      <c r="IU20" s="57" t="s">
        <v>142</v>
      </c>
      <c r="IV20" s="58" t="s">
        <v>140</v>
      </c>
      <c r="IW20" s="59"/>
      <c r="IX20" s="55">
        <v>0.2</v>
      </c>
      <c r="IY20" s="56" t="str">
        <f t="array" ref="IY20:IY31">IFERROR(VLOOKUP(IZ20:IZ31,Dex!$B$3:$N33,2,FALSE),"")</f>
        <v/>
      </c>
      <c r="IZ20" s="57" t="s">
        <v>143</v>
      </c>
      <c r="JA20" s="60" t="s">
        <v>144</v>
      </c>
      <c r="JB20" s="59"/>
      <c r="JC20" s="55">
        <v>0.2</v>
      </c>
      <c r="JD20" s="56" t="str">
        <f t="array" ref="JD20:JD31">IFERROR(VLOOKUP(JE20:JE31,Dex!$B$3:$N33,2,FALSE),"")</f>
        <v/>
      </c>
      <c r="JE20" s="57" t="s">
        <v>143</v>
      </c>
      <c r="JF20" s="60" t="s">
        <v>144</v>
      </c>
      <c r="JG20" s="59"/>
      <c r="JH20" s="55">
        <v>0.2</v>
      </c>
      <c r="JI20" s="56" t="str">
        <f t="array" ref="JI20:JI31">IFERROR(VLOOKUP(JJ20:JJ31,Dex!$B$3:$N33,2,FALSE),"")</f>
        <v/>
      </c>
      <c r="JJ20" s="57" t="s">
        <v>269</v>
      </c>
      <c r="JK20" s="58" t="s">
        <v>146</v>
      </c>
      <c r="JL20" s="59"/>
      <c r="JM20" s="55">
        <v>0.2</v>
      </c>
      <c r="JN20" s="56" t="str">
        <f t="array" ref="JN20:JN31">IFERROR(VLOOKUP(JO20:JO31,Dex!$B$3:$N33,2,FALSE),"")</f>
        <v/>
      </c>
      <c r="JO20" s="57" t="s">
        <v>147</v>
      </c>
      <c r="JP20" s="58" t="s">
        <v>146</v>
      </c>
      <c r="JQ20" s="59"/>
      <c r="JR20" s="55">
        <v>0.2</v>
      </c>
      <c r="JS20" s="56" t="str">
        <f t="array" ref="JS20:JS31">IFERROR(VLOOKUP(JT20:JT31,Dex!$B$3:$N33,2,FALSE),"")</f>
        <v/>
      </c>
      <c r="JT20" s="57" t="s">
        <v>148</v>
      </c>
      <c r="JU20" s="58" t="s">
        <v>146</v>
      </c>
      <c r="JV20" s="59"/>
      <c r="JW20" s="51"/>
      <c r="JX20" s="59"/>
      <c r="JY20" s="55">
        <v>0.2</v>
      </c>
      <c r="JZ20" s="56" t="str">
        <f t="array" ref="JZ20:JZ31">IFERROR(VLOOKUP(KA20:KA31,Dex!$B$3:$N33,2,FALSE),"")</f>
        <v/>
      </c>
      <c r="KA20" s="57" t="s">
        <v>149</v>
      </c>
      <c r="KB20" s="58" t="s">
        <v>150</v>
      </c>
      <c r="KC20" s="59"/>
      <c r="KD20" s="55">
        <v>0.2</v>
      </c>
      <c r="KE20" s="56" t="str">
        <f t="array" ref="KE20:KE31">IFERROR(VLOOKUP(KF20:KF31,Dex!$B$3:$N33,2,FALSE),"")</f>
        <v/>
      </c>
      <c r="KF20" s="57" t="s">
        <v>151</v>
      </c>
      <c r="KG20" s="58" t="s">
        <v>152</v>
      </c>
      <c r="KH20" s="59"/>
      <c r="KI20" s="55">
        <v>0.2</v>
      </c>
      <c r="KJ20" s="56" t="str">
        <f t="array" ref="KJ20:KJ31">IFERROR(VLOOKUP(KK20:KK31,Dex!$B$3:$N33,2,FALSE),"")</f>
        <v/>
      </c>
      <c r="KK20" s="57" t="s">
        <v>153</v>
      </c>
      <c r="KL20" s="58" t="s">
        <v>154</v>
      </c>
      <c r="KM20" s="59"/>
      <c r="KN20" s="55">
        <v>0.2</v>
      </c>
      <c r="KO20" s="56" t="str">
        <f t="array" ref="KO20:KO31">IFERROR(VLOOKUP(KP20:KP31,Dex!$B$3:$N33,2,FALSE),"")</f>
        <v/>
      </c>
      <c r="KP20" s="57" t="s">
        <v>155</v>
      </c>
      <c r="KQ20" s="58" t="s">
        <v>154</v>
      </c>
      <c r="KR20" s="59"/>
      <c r="KS20" s="55">
        <v>0.2</v>
      </c>
      <c r="KT20" s="56" t="str">
        <f t="array" ref="KT20:KT31">IFERROR(VLOOKUP(KU20:KU31,Dex!$B$3:$N33,2,FALSE),"")</f>
        <v/>
      </c>
      <c r="KU20" s="57" t="s">
        <v>156</v>
      </c>
      <c r="KV20" s="58" t="s">
        <v>154</v>
      </c>
      <c r="KW20" s="59"/>
      <c r="KX20" s="55">
        <v>0.2</v>
      </c>
      <c r="KY20" s="56" t="str">
        <f t="array" ref="KY20:KY31">IFERROR(VLOOKUP(KZ20:KZ31,Dex!$B$3:$N33,2,FALSE),"")</f>
        <v/>
      </c>
      <c r="KZ20" s="57" t="s">
        <v>157</v>
      </c>
      <c r="LA20" s="58" t="s">
        <v>154</v>
      </c>
      <c r="LB20" s="59"/>
      <c r="LC20" s="55">
        <v>0.2</v>
      </c>
      <c r="LD20" s="56" t="str">
        <f t="array" ref="LD20:LD31">IFERROR(VLOOKUP(LE20:LE31,Dex!$B$3:$N33,2,FALSE),"")</f>
        <v/>
      </c>
      <c r="LE20" s="57" t="s">
        <v>158</v>
      </c>
      <c r="LF20" s="58" t="s">
        <v>154</v>
      </c>
      <c r="LG20" s="59"/>
      <c r="LH20" s="55">
        <v>0.2</v>
      </c>
      <c r="LI20" s="56" t="str">
        <f t="array" ref="LI20:LI31">IFERROR(VLOOKUP(LJ20:LJ31,Dex!$B$3:$N33,2,FALSE),"")</f>
        <v/>
      </c>
      <c r="LJ20" s="57" t="s">
        <v>159</v>
      </c>
      <c r="LK20" s="58" t="s">
        <v>154</v>
      </c>
      <c r="LL20" s="59"/>
      <c r="LM20" s="55">
        <v>0.2</v>
      </c>
      <c r="LN20" s="56" t="str">
        <f t="array" ref="LN20:LN31">IFERROR(VLOOKUP(LO20:LO31,Dex!$B$3:$N33,2,FALSE),"")</f>
        <v/>
      </c>
      <c r="LO20" s="57" t="s">
        <v>160</v>
      </c>
      <c r="LP20" s="58" t="s">
        <v>154</v>
      </c>
      <c r="LQ20" s="59"/>
      <c r="LR20" s="55">
        <v>0.2</v>
      </c>
      <c r="LS20" s="56" t="str">
        <f t="array" ref="LS20:LS31">IFERROR(VLOOKUP(LT20:LT31,Dex!$B$3:$N33,2,FALSE),"")</f>
        <v/>
      </c>
      <c r="LT20" s="57" t="s">
        <v>161</v>
      </c>
      <c r="LU20" s="58" t="s">
        <v>154</v>
      </c>
      <c r="LV20" s="59"/>
      <c r="LW20" s="55">
        <v>0.2</v>
      </c>
      <c r="LX20" s="56" t="str">
        <f t="array" ref="LX20:LX31">IFERROR(VLOOKUP(LY20:LY31,Dex!$B$3:$N33,2,FALSE),"")</f>
        <v/>
      </c>
      <c r="LY20" s="57" t="s">
        <v>162</v>
      </c>
      <c r="LZ20" s="58" t="s">
        <v>154</v>
      </c>
      <c r="MA20" s="61"/>
      <c r="MB20" s="29"/>
    </row>
    <row r="21" ht="23.25" customHeight="1">
      <c r="A21" s="23"/>
      <c r="B21" s="54"/>
      <c r="C21" s="62">
        <v>0.2</v>
      </c>
      <c r="D21" s="63"/>
      <c r="E21" s="64" t="s">
        <v>550</v>
      </c>
      <c r="F21" s="65">
        <v>44231.0</v>
      </c>
      <c r="G21" s="59"/>
      <c r="H21" s="62">
        <v>0.2</v>
      </c>
      <c r="I21" s="63"/>
      <c r="J21" s="64" t="s">
        <v>388</v>
      </c>
      <c r="K21" s="65">
        <v>44625.0</v>
      </c>
      <c r="L21" s="59"/>
      <c r="M21" s="62">
        <v>0.2</v>
      </c>
      <c r="N21" s="63"/>
      <c r="O21" s="64" t="s">
        <v>551</v>
      </c>
      <c r="P21" s="65">
        <v>44625.0</v>
      </c>
      <c r="Q21" s="59"/>
      <c r="R21" s="62">
        <v>0.2</v>
      </c>
      <c r="S21" s="63"/>
      <c r="T21" s="64" t="s">
        <v>166</v>
      </c>
      <c r="U21" s="65">
        <v>45022.0</v>
      </c>
      <c r="V21" s="59"/>
      <c r="W21" s="62">
        <v>0.2</v>
      </c>
      <c r="X21" s="63"/>
      <c r="Y21" s="64" t="s">
        <v>167</v>
      </c>
      <c r="Z21" s="65">
        <v>44625.0</v>
      </c>
      <c r="AA21" s="59"/>
      <c r="AB21" s="62">
        <v>0.2</v>
      </c>
      <c r="AC21" s="63"/>
      <c r="AD21" s="64" t="s">
        <v>552</v>
      </c>
      <c r="AE21" s="65">
        <v>44657.0</v>
      </c>
      <c r="AF21" s="59"/>
      <c r="AG21" s="62">
        <v>0.2</v>
      </c>
      <c r="AH21" s="63"/>
      <c r="AI21" s="64" t="s">
        <v>553</v>
      </c>
      <c r="AJ21" s="65">
        <v>44657.0</v>
      </c>
      <c r="AK21" s="59"/>
      <c r="AL21" s="62">
        <v>0.2</v>
      </c>
      <c r="AM21" s="63"/>
      <c r="AN21" s="64" t="s">
        <v>169</v>
      </c>
      <c r="AO21" s="65">
        <v>44751.0</v>
      </c>
      <c r="AP21" s="59"/>
      <c r="AQ21" s="62">
        <v>0.2</v>
      </c>
      <c r="AR21" s="63"/>
      <c r="AS21" s="64" t="s">
        <v>85</v>
      </c>
      <c r="AT21" s="65">
        <v>44751.0</v>
      </c>
      <c r="AU21" s="59"/>
      <c r="AV21" s="62">
        <v>0.2</v>
      </c>
      <c r="AW21" s="63"/>
      <c r="AX21" s="64" t="s">
        <v>170</v>
      </c>
      <c r="AY21" s="65">
        <v>44846.0</v>
      </c>
      <c r="AZ21" s="59"/>
      <c r="BA21" s="62">
        <v>0.2</v>
      </c>
      <c r="BB21" s="63"/>
      <c r="BC21" s="64" t="s">
        <v>171</v>
      </c>
      <c r="BD21" s="65">
        <v>44909.0</v>
      </c>
      <c r="BE21" s="59"/>
      <c r="BF21" s="62">
        <v>0.2</v>
      </c>
      <c r="BG21" s="63"/>
      <c r="BH21" s="64" t="s">
        <v>169</v>
      </c>
      <c r="BI21" s="65">
        <v>44909.0</v>
      </c>
      <c r="BJ21" s="59"/>
      <c r="BK21" s="62">
        <v>0.2</v>
      </c>
      <c r="BL21" s="63"/>
      <c r="BM21" s="64" t="s">
        <v>171</v>
      </c>
      <c r="BN21" s="65">
        <v>44909.0</v>
      </c>
      <c r="BO21" s="59"/>
      <c r="BP21" s="62">
        <v>0.2</v>
      </c>
      <c r="BQ21" s="63"/>
      <c r="BR21" s="64" t="s">
        <v>386</v>
      </c>
      <c r="BS21" s="65" t="s">
        <v>95</v>
      </c>
      <c r="BT21" s="59"/>
      <c r="BU21" s="62">
        <v>0.2</v>
      </c>
      <c r="BV21" s="63"/>
      <c r="BW21" s="64" t="s">
        <v>554</v>
      </c>
      <c r="BX21" s="65" t="s">
        <v>97</v>
      </c>
      <c r="BY21" s="59"/>
      <c r="BZ21" s="62">
        <v>0.2</v>
      </c>
      <c r="CA21" s="63"/>
      <c r="CB21" s="64" t="s">
        <v>174</v>
      </c>
      <c r="CC21" s="65" t="s">
        <v>99</v>
      </c>
      <c r="CD21" s="59"/>
      <c r="CE21" s="62">
        <v>0.2</v>
      </c>
      <c r="CF21" s="63"/>
      <c r="CG21" s="64" t="s">
        <v>175</v>
      </c>
      <c r="CH21" s="65" t="s">
        <v>101</v>
      </c>
      <c r="CI21" s="59"/>
      <c r="CJ21" s="62">
        <v>0.2</v>
      </c>
      <c r="CK21" s="63"/>
      <c r="CL21" s="64" t="s">
        <v>555</v>
      </c>
      <c r="CM21" s="65" t="s">
        <v>99</v>
      </c>
      <c r="CN21" s="59"/>
      <c r="CO21" s="62">
        <v>0.2</v>
      </c>
      <c r="CP21" s="63"/>
      <c r="CQ21" s="64" t="s">
        <v>177</v>
      </c>
      <c r="CR21" s="65" t="s">
        <v>104</v>
      </c>
      <c r="CS21" s="59"/>
      <c r="CT21" s="62">
        <v>0.2</v>
      </c>
      <c r="CU21" s="63"/>
      <c r="CV21" s="64" t="s">
        <v>533</v>
      </c>
      <c r="CW21" s="65" t="s">
        <v>104</v>
      </c>
      <c r="CX21" s="59"/>
      <c r="CY21" s="62">
        <v>0.2</v>
      </c>
      <c r="CZ21" s="63"/>
      <c r="DA21" s="64" t="s">
        <v>178</v>
      </c>
      <c r="DB21" s="65" t="s">
        <v>106</v>
      </c>
      <c r="DC21" s="59"/>
      <c r="DD21" s="62">
        <v>0.2</v>
      </c>
      <c r="DE21" s="63"/>
      <c r="DF21" s="64" t="s">
        <v>556</v>
      </c>
      <c r="DG21" s="65" t="s">
        <v>108</v>
      </c>
      <c r="DH21" s="59"/>
      <c r="DI21" s="62">
        <v>0.2</v>
      </c>
      <c r="DJ21" s="63"/>
      <c r="DK21" s="64" t="s">
        <v>180</v>
      </c>
      <c r="DL21" s="65" t="s">
        <v>110</v>
      </c>
      <c r="DM21" s="59"/>
      <c r="DN21" s="62">
        <v>0.2</v>
      </c>
      <c r="DO21" s="63"/>
      <c r="DP21" s="64" t="s">
        <v>242</v>
      </c>
      <c r="DQ21" s="65" t="s">
        <v>112</v>
      </c>
      <c r="DR21" s="59"/>
      <c r="DS21" s="62">
        <v>0.2</v>
      </c>
      <c r="DT21" s="63"/>
      <c r="DU21" s="64" t="s">
        <v>182</v>
      </c>
      <c r="DV21" s="65" t="s">
        <v>114</v>
      </c>
      <c r="DW21" s="59"/>
      <c r="DX21" s="62">
        <v>0.2</v>
      </c>
      <c r="DY21" s="63"/>
      <c r="DZ21" s="64" t="s">
        <v>183</v>
      </c>
      <c r="EA21" s="65" t="s">
        <v>116</v>
      </c>
      <c r="EB21" s="59"/>
      <c r="EC21" s="62">
        <v>0.2</v>
      </c>
      <c r="ED21" s="63"/>
      <c r="EE21" s="64" t="s">
        <v>557</v>
      </c>
      <c r="EF21" s="65" t="s">
        <v>118</v>
      </c>
      <c r="EG21" s="59"/>
      <c r="EH21" s="62">
        <v>0.2</v>
      </c>
      <c r="EI21" s="63"/>
      <c r="EJ21" s="64" t="s">
        <v>557</v>
      </c>
      <c r="EK21" s="65" t="s">
        <v>118</v>
      </c>
      <c r="EL21" s="59"/>
      <c r="EM21" s="62">
        <v>0.2</v>
      </c>
      <c r="EN21" s="63"/>
      <c r="EO21" s="64" t="s">
        <v>557</v>
      </c>
      <c r="EP21" s="65" t="s">
        <v>118</v>
      </c>
      <c r="EQ21" s="59"/>
      <c r="ER21" s="62">
        <v>0.2</v>
      </c>
      <c r="ES21" s="63"/>
      <c r="ET21" s="64" t="s">
        <v>557</v>
      </c>
      <c r="EU21" s="65" t="s">
        <v>118</v>
      </c>
      <c r="EV21" s="59"/>
      <c r="EW21" s="62">
        <v>0.2</v>
      </c>
      <c r="EX21" s="63"/>
      <c r="EY21" s="64" t="s">
        <v>558</v>
      </c>
      <c r="EZ21" s="65" t="s">
        <v>114</v>
      </c>
      <c r="FA21" s="59"/>
      <c r="FB21" s="62">
        <v>0.2</v>
      </c>
      <c r="FC21" s="63"/>
      <c r="FD21" s="64" t="s">
        <v>186</v>
      </c>
      <c r="FE21" s="65" t="s">
        <v>121</v>
      </c>
      <c r="FF21" s="59"/>
      <c r="FG21" s="62">
        <v>0.2</v>
      </c>
      <c r="FH21" s="63"/>
      <c r="FI21" s="64" t="s">
        <v>187</v>
      </c>
      <c r="FJ21" s="65" t="s">
        <v>123</v>
      </c>
      <c r="FK21" s="59"/>
      <c r="FL21" s="62">
        <v>0.2</v>
      </c>
      <c r="FM21" s="63"/>
      <c r="FN21" s="64" t="s">
        <v>188</v>
      </c>
      <c r="FO21" s="65" t="s">
        <v>125</v>
      </c>
      <c r="FP21" s="59"/>
      <c r="FQ21" s="62">
        <v>0.2</v>
      </c>
      <c r="FR21" s="63"/>
      <c r="FS21" s="64" t="s">
        <v>342</v>
      </c>
      <c r="FT21" s="65" t="s">
        <v>127</v>
      </c>
      <c r="FU21" s="59"/>
      <c r="FV21" s="62">
        <v>0.2</v>
      </c>
      <c r="FW21" s="63"/>
      <c r="FX21" s="64" t="s">
        <v>190</v>
      </c>
      <c r="FY21" s="65" t="s">
        <v>127</v>
      </c>
      <c r="FZ21" s="59"/>
      <c r="GA21" s="62">
        <v>0.2</v>
      </c>
      <c r="GB21" s="63"/>
      <c r="GC21" s="64" t="s">
        <v>191</v>
      </c>
      <c r="GD21" s="65" t="s">
        <v>123</v>
      </c>
      <c r="GE21" s="59"/>
      <c r="GF21" s="62">
        <v>0.2</v>
      </c>
      <c r="GG21" s="63"/>
      <c r="GH21" s="64" t="s">
        <v>192</v>
      </c>
      <c r="GI21" s="65" t="s">
        <v>116</v>
      </c>
      <c r="GJ21" s="59"/>
      <c r="GK21" s="62">
        <v>0.2</v>
      </c>
      <c r="GL21" s="63"/>
      <c r="GM21" s="64" t="s">
        <v>193</v>
      </c>
      <c r="GN21" s="65" t="s">
        <v>132</v>
      </c>
      <c r="GO21" s="59"/>
      <c r="GP21" s="62">
        <v>0.2</v>
      </c>
      <c r="GQ21" s="63"/>
      <c r="GR21" s="66" t="s">
        <v>194</v>
      </c>
      <c r="GS21" s="65" t="s">
        <v>132</v>
      </c>
      <c r="GT21" s="59"/>
      <c r="GU21" s="62">
        <v>0.2</v>
      </c>
      <c r="GV21" s="63"/>
      <c r="GW21" s="64" t="s">
        <v>193</v>
      </c>
      <c r="GX21" s="65" t="s">
        <v>132</v>
      </c>
      <c r="GY21" s="59"/>
      <c r="GZ21" s="62">
        <v>0.2</v>
      </c>
      <c r="HA21" s="63"/>
      <c r="HB21" s="66" t="s">
        <v>194</v>
      </c>
      <c r="HC21" s="65" t="s">
        <v>132</v>
      </c>
      <c r="HD21" s="59"/>
      <c r="HE21" s="62">
        <v>0.2</v>
      </c>
      <c r="HF21" s="63"/>
      <c r="HG21" s="64" t="s">
        <v>133</v>
      </c>
      <c r="HH21" s="65" t="s">
        <v>132</v>
      </c>
      <c r="HI21" s="59"/>
      <c r="HJ21" s="62">
        <v>0.2</v>
      </c>
      <c r="HK21" s="63"/>
      <c r="HL21" s="64" t="s">
        <v>196</v>
      </c>
      <c r="HM21" s="65" t="s">
        <v>135</v>
      </c>
      <c r="HN21" s="59"/>
      <c r="HO21" s="62">
        <v>0.2</v>
      </c>
      <c r="HP21" s="63"/>
      <c r="HQ21" s="64" t="s">
        <v>197</v>
      </c>
      <c r="HR21" s="65" t="s">
        <v>135</v>
      </c>
      <c r="HS21" s="59"/>
      <c r="HT21" s="62">
        <v>0.2</v>
      </c>
      <c r="HU21" s="63"/>
      <c r="HV21" s="64" t="s">
        <v>198</v>
      </c>
      <c r="HW21" s="65" t="s">
        <v>135</v>
      </c>
      <c r="HX21" s="59"/>
      <c r="HY21" s="62">
        <v>0.2</v>
      </c>
      <c r="HZ21" s="63"/>
      <c r="IA21" s="64" t="s">
        <v>197</v>
      </c>
      <c r="IB21" s="65" t="s">
        <v>135</v>
      </c>
      <c r="IC21" s="59"/>
      <c r="ID21" s="62">
        <v>0.2</v>
      </c>
      <c r="IE21" s="63"/>
      <c r="IF21" s="64" t="s">
        <v>199</v>
      </c>
      <c r="IG21" s="65" t="s">
        <v>135</v>
      </c>
      <c r="IH21" s="59"/>
      <c r="II21" s="62">
        <v>0.2</v>
      </c>
      <c r="IJ21" s="63"/>
      <c r="IK21" s="64" t="s">
        <v>200</v>
      </c>
      <c r="IL21" s="65" t="s">
        <v>140</v>
      </c>
      <c r="IM21" s="59"/>
      <c r="IN21" s="62">
        <v>0.2</v>
      </c>
      <c r="IO21" s="63"/>
      <c r="IP21" s="64" t="s">
        <v>142</v>
      </c>
      <c r="IQ21" s="65" t="s">
        <v>140</v>
      </c>
      <c r="IR21" s="59"/>
      <c r="IS21" s="62">
        <v>0.2</v>
      </c>
      <c r="IT21" s="63"/>
      <c r="IU21" s="64" t="s">
        <v>202</v>
      </c>
      <c r="IV21" s="65" t="s">
        <v>140</v>
      </c>
      <c r="IW21" s="59"/>
      <c r="IX21" s="62">
        <v>0.2</v>
      </c>
      <c r="IY21" s="63"/>
      <c r="IZ21" s="64" t="s">
        <v>143</v>
      </c>
      <c r="JA21" s="67" t="s">
        <v>144</v>
      </c>
      <c r="JB21" s="59"/>
      <c r="JC21" s="62">
        <v>0.2</v>
      </c>
      <c r="JD21" s="63"/>
      <c r="JE21" s="64" t="s">
        <v>143</v>
      </c>
      <c r="JF21" s="67" t="s">
        <v>144</v>
      </c>
      <c r="JG21" s="59"/>
      <c r="JH21" s="62">
        <v>0.2</v>
      </c>
      <c r="JI21" s="63"/>
      <c r="JJ21" s="64" t="s">
        <v>203</v>
      </c>
      <c r="JK21" s="65" t="s">
        <v>146</v>
      </c>
      <c r="JL21" s="59"/>
      <c r="JM21" s="62">
        <v>0.2</v>
      </c>
      <c r="JN21" s="63"/>
      <c r="JO21" s="64" t="s">
        <v>204</v>
      </c>
      <c r="JP21" s="65" t="s">
        <v>146</v>
      </c>
      <c r="JQ21" s="59"/>
      <c r="JR21" s="62">
        <v>0.2</v>
      </c>
      <c r="JS21" s="63"/>
      <c r="JT21" s="64" t="s">
        <v>559</v>
      </c>
      <c r="JU21" s="65" t="s">
        <v>146</v>
      </c>
      <c r="JV21" s="59"/>
      <c r="JW21" s="51"/>
      <c r="JX21" s="59"/>
      <c r="JY21" s="62">
        <v>0.2</v>
      </c>
      <c r="JZ21" s="63"/>
      <c r="KA21" s="64" t="s">
        <v>206</v>
      </c>
      <c r="KB21" s="65" t="s">
        <v>150</v>
      </c>
      <c r="KC21" s="59"/>
      <c r="KD21" s="62">
        <v>0.2</v>
      </c>
      <c r="KE21" s="63"/>
      <c r="KF21" s="64" t="s">
        <v>207</v>
      </c>
      <c r="KG21" s="65" t="s">
        <v>150</v>
      </c>
      <c r="KH21" s="59"/>
      <c r="KI21" s="62">
        <v>0.2</v>
      </c>
      <c r="KJ21" s="63"/>
      <c r="KK21" s="64" t="s">
        <v>208</v>
      </c>
      <c r="KL21" s="65" t="s">
        <v>209</v>
      </c>
      <c r="KM21" s="59"/>
      <c r="KN21" s="62">
        <v>0.2</v>
      </c>
      <c r="KO21" s="63"/>
      <c r="KP21" s="64" t="s">
        <v>155</v>
      </c>
      <c r="KQ21" s="65" t="s">
        <v>209</v>
      </c>
      <c r="KR21" s="59"/>
      <c r="KS21" s="62">
        <v>0.2</v>
      </c>
      <c r="KT21" s="63"/>
      <c r="KU21" s="64" t="s">
        <v>210</v>
      </c>
      <c r="KV21" s="65" t="s">
        <v>209</v>
      </c>
      <c r="KW21" s="59"/>
      <c r="KX21" s="62">
        <v>0.2</v>
      </c>
      <c r="KY21" s="63"/>
      <c r="KZ21" s="64" t="s">
        <v>211</v>
      </c>
      <c r="LA21" s="65" t="s">
        <v>209</v>
      </c>
      <c r="LB21" s="59"/>
      <c r="LC21" s="62">
        <v>0.2</v>
      </c>
      <c r="LD21" s="63"/>
      <c r="LE21" s="64" t="s">
        <v>212</v>
      </c>
      <c r="LF21" s="65" t="s">
        <v>209</v>
      </c>
      <c r="LG21" s="59"/>
      <c r="LH21" s="62">
        <v>0.2</v>
      </c>
      <c r="LI21" s="63"/>
      <c r="LJ21" s="64" t="s">
        <v>213</v>
      </c>
      <c r="LK21" s="65" t="s">
        <v>209</v>
      </c>
      <c r="LL21" s="59"/>
      <c r="LM21" s="62">
        <v>0.2</v>
      </c>
      <c r="LN21" s="63"/>
      <c r="LO21" s="64" t="s">
        <v>214</v>
      </c>
      <c r="LP21" s="65" t="s">
        <v>209</v>
      </c>
      <c r="LQ21" s="59"/>
      <c r="LR21" s="62">
        <v>0.2</v>
      </c>
      <c r="LS21" s="63"/>
      <c r="LT21" s="64" t="s">
        <v>215</v>
      </c>
      <c r="LU21" s="65" t="s">
        <v>209</v>
      </c>
      <c r="LV21" s="59"/>
      <c r="LW21" s="62">
        <v>0.2</v>
      </c>
      <c r="LX21" s="63"/>
      <c r="LY21" s="64" t="s">
        <v>216</v>
      </c>
      <c r="LZ21" s="65" t="s">
        <v>209</v>
      </c>
      <c r="MA21" s="61"/>
      <c r="MB21" s="29"/>
    </row>
    <row r="22" ht="23.25" customHeight="1">
      <c r="A22" s="23"/>
      <c r="B22" s="54"/>
      <c r="C22" s="68">
        <v>0.1</v>
      </c>
      <c r="D22" s="69"/>
      <c r="E22" s="70" t="s">
        <v>560</v>
      </c>
      <c r="F22" s="71">
        <v>44231.0</v>
      </c>
      <c r="G22" s="59"/>
      <c r="H22" s="68">
        <v>0.1</v>
      </c>
      <c r="I22" s="69"/>
      <c r="J22" s="70" t="s">
        <v>218</v>
      </c>
      <c r="K22" s="71">
        <v>44625.0</v>
      </c>
      <c r="L22" s="59"/>
      <c r="M22" s="68">
        <v>0.1</v>
      </c>
      <c r="N22" s="69"/>
      <c r="O22" s="70" t="s">
        <v>219</v>
      </c>
      <c r="P22" s="71">
        <v>44625.0</v>
      </c>
      <c r="Q22" s="59"/>
      <c r="R22" s="68">
        <v>0.1</v>
      </c>
      <c r="S22" s="69"/>
      <c r="T22" s="70" t="s">
        <v>220</v>
      </c>
      <c r="U22" s="71">
        <v>45022.0</v>
      </c>
      <c r="V22" s="59"/>
      <c r="W22" s="68">
        <v>0.1</v>
      </c>
      <c r="X22" s="69"/>
      <c r="Y22" s="70" t="s">
        <v>561</v>
      </c>
      <c r="Z22" s="71">
        <v>44625.0</v>
      </c>
      <c r="AA22" s="59"/>
      <c r="AB22" s="68">
        <v>0.1</v>
      </c>
      <c r="AC22" s="69"/>
      <c r="AD22" s="70" t="s">
        <v>222</v>
      </c>
      <c r="AE22" s="71">
        <v>44657.0</v>
      </c>
      <c r="AF22" s="59"/>
      <c r="AG22" s="68">
        <v>0.1</v>
      </c>
      <c r="AH22" s="69"/>
      <c r="AI22" s="70" t="s">
        <v>562</v>
      </c>
      <c r="AJ22" s="71">
        <v>44657.0</v>
      </c>
      <c r="AK22" s="59"/>
      <c r="AL22" s="68">
        <v>0.1</v>
      </c>
      <c r="AM22" s="69"/>
      <c r="AN22" s="70" t="s">
        <v>224</v>
      </c>
      <c r="AO22" s="71">
        <v>44751.0</v>
      </c>
      <c r="AP22" s="59"/>
      <c r="AQ22" s="68">
        <v>0.1</v>
      </c>
      <c r="AR22" s="69"/>
      <c r="AS22" s="70" t="s">
        <v>178</v>
      </c>
      <c r="AT22" s="71">
        <v>44751.0</v>
      </c>
      <c r="AU22" s="59"/>
      <c r="AV22" s="68">
        <v>0.1</v>
      </c>
      <c r="AW22" s="69"/>
      <c r="AX22" s="70" t="s">
        <v>225</v>
      </c>
      <c r="AY22" s="71">
        <v>44846.0</v>
      </c>
      <c r="AZ22" s="59"/>
      <c r="BA22" s="68">
        <v>0.1</v>
      </c>
      <c r="BB22" s="69"/>
      <c r="BC22" s="70" t="s">
        <v>226</v>
      </c>
      <c r="BD22" s="71">
        <v>44909.0</v>
      </c>
      <c r="BE22" s="59"/>
      <c r="BF22" s="68">
        <v>0.1</v>
      </c>
      <c r="BG22" s="69"/>
      <c r="BH22" s="70" t="s">
        <v>563</v>
      </c>
      <c r="BI22" s="71">
        <v>44909.0</v>
      </c>
      <c r="BJ22" s="59"/>
      <c r="BK22" s="68">
        <v>0.1</v>
      </c>
      <c r="BL22" s="69"/>
      <c r="BM22" s="70" t="s">
        <v>228</v>
      </c>
      <c r="BN22" s="71">
        <v>44909.0</v>
      </c>
      <c r="BO22" s="59"/>
      <c r="BP22" s="68">
        <v>0.1</v>
      </c>
      <c r="BQ22" s="69"/>
      <c r="BR22" s="70" t="s">
        <v>388</v>
      </c>
      <c r="BS22" s="71" t="s">
        <v>95</v>
      </c>
      <c r="BT22" s="59"/>
      <c r="BU22" s="68">
        <v>0.1</v>
      </c>
      <c r="BV22" s="69"/>
      <c r="BW22" s="70" t="s">
        <v>229</v>
      </c>
      <c r="BX22" s="71" t="s">
        <v>97</v>
      </c>
      <c r="BY22" s="59"/>
      <c r="BZ22" s="68">
        <v>0.1</v>
      </c>
      <c r="CA22" s="69"/>
      <c r="CB22" s="70" t="s">
        <v>564</v>
      </c>
      <c r="CC22" s="71" t="s">
        <v>99</v>
      </c>
      <c r="CD22" s="59"/>
      <c r="CE22" s="68">
        <v>0.1</v>
      </c>
      <c r="CF22" s="69"/>
      <c r="CG22" s="70" t="s">
        <v>565</v>
      </c>
      <c r="CH22" s="71" t="s">
        <v>101</v>
      </c>
      <c r="CI22" s="59"/>
      <c r="CJ22" s="68">
        <v>0.1</v>
      </c>
      <c r="CK22" s="69"/>
      <c r="CL22" s="70" t="s">
        <v>566</v>
      </c>
      <c r="CM22" s="71" t="s">
        <v>99</v>
      </c>
      <c r="CN22" s="59"/>
      <c r="CO22" s="68">
        <v>0.1</v>
      </c>
      <c r="CP22" s="69"/>
      <c r="CQ22" s="70" t="s">
        <v>233</v>
      </c>
      <c r="CR22" s="71" t="s">
        <v>104</v>
      </c>
      <c r="CS22" s="59"/>
      <c r="CT22" s="68">
        <v>0.1</v>
      </c>
      <c r="CU22" s="69"/>
      <c r="CV22" s="70" t="s">
        <v>344</v>
      </c>
      <c r="CW22" s="71" t="s">
        <v>104</v>
      </c>
      <c r="CX22" s="59"/>
      <c r="CY22" s="68">
        <v>0.1</v>
      </c>
      <c r="CZ22" s="69"/>
      <c r="DA22" s="70" t="s">
        <v>567</v>
      </c>
      <c r="DB22" s="71" t="s">
        <v>106</v>
      </c>
      <c r="DC22" s="59"/>
      <c r="DD22" s="68">
        <v>0.1</v>
      </c>
      <c r="DE22" s="69"/>
      <c r="DF22" s="70" t="s">
        <v>236</v>
      </c>
      <c r="DG22" s="71" t="s">
        <v>108</v>
      </c>
      <c r="DH22" s="59"/>
      <c r="DI22" s="68">
        <v>0.1</v>
      </c>
      <c r="DJ22" s="69"/>
      <c r="DK22" s="70" t="s">
        <v>304</v>
      </c>
      <c r="DL22" s="71" t="s">
        <v>110</v>
      </c>
      <c r="DM22" s="59"/>
      <c r="DN22" s="68">
        <v>0.1</v>
      </c>
      <c r="DO22" s="69"/>
      <c r="DP22" s="70" t="s">
        <v>238</v>
      </c>
      <c r="DQ22" s="71" t="s">
        <v>112</v>
      </c>
      <c r="DR22" s="59"/>
      <c r="DS22" s="68">
        <v>0.1</v>
      </c>
      <c r="DT22" s="69"/>
      <c r="DU22" s="70" t="s">
        <v>568</v>
      </c>
      <c r="DV22" s="71" t="s">
        <v>114</v>
      </c>
      <c r="DW22" s="59"/>
      <c r="DX22" s="68">
        <v>0.1</v>
      </c>
      <c r="DY22" s="69"/>
      <c r="DZ22" s="70" t="s">
        <v>240</v>
      </c>
      <c r="EA22" s="71" t="s">
        <v>116</v>
      </c>
      <c r="EB22" s="59"/>
      <c r="EC22" s="68">
        <v>0.1</v>
      </c>
      <c r="ED22" s="69"/>
      <c r="EE22" s="70" t="s">
        <v>241</v>
      </c>
      <c r="EF22" s="71" t="s">
        <v>118</v>
      </c>
      <c r="EG22" s="59"/>
      <c r="EH22" s="68">
        <v>0.1</v>
      </c>
      <c r="EI22" s="69"/>
      <c r="EJ22" s="70" t="s">
        <v>241</v>
      </c>
      <c r="EK22" s="71" t="s">
        <v>118</v>
      </c>
      <c r="EL22" s="59"/>
      <c r="EM22" s="68">
        <v>0.1</v>
      </c>
      <c r="EN22" s="69"/>
      <c r="EO22" s="70" t="s">
        <v>241</v>
      </c>
      <c r="EP22" s="71" t="s">
        <v>118</v>
      </c>
      <c r="EQ22" s="59"/>
      <c r="ER22" s="68">
        <v>0.1</v>
      </c>
      <c r="ES22" s="69"/>
      <c r="ET22" s="70" t="s">
        <v>241</v>
      </c>
      <c r="EU22" s="71" t="s">
        <v>118</v>
      </c>
      <c r="EV22" s="59"/>
      <c r="EW22" s="68">
        <v>0.1</v>
      </c>
      <c r="EX22" s="69"/>
      <c r="EY22" s="70" t="s">
        <v>242</v>
      </c>
      <c r="EZ22" s="71" t="s">
        <v>114</v>
      </c>
      <c r="FA22" s="59"/>
      <c r="FB22" s="68">
        <v>0.1</v>
      </c>
      <c r="FC22" s="69"/>
      <c r="FD22" s="70" t="s">
        <v>569</v>
      </c>
      <c r="FE22" s="71" t="s">
        <v>121</v>
      </c>
      <c r="FF22" s="59"/>
      <c r="FG22" s="68">
        <v>0.1</v>
      </c>
      <c r="FH22" s="69"/>
      <c r="FI22" s="70" t="s">
        <v>570</v>
      </c>
      <c r="FJ22" s="71" t="s">
        <v>123</v>
      </c>
      <c r="FK22" s="59"/>
      <c r="FL22" s="68">
        <v>0.1</v>
      </c>
      <c r="FM22" s="69"/>
      <c r="FN22" s="70" t="s">
        <v>245</v>
      </c>
      <c r="FO22" s="71" t="s">
        <v>125</v>
      </c>
      <c r="FP22" s="59"/>
      <c r="FQ22" s="68">
        <v>0.1</v>
      </c>
      <c r="FR22" s="69"/>
      <c r="FS22" s="70" t="s">
        <v>414</v>
      </c>
      <c r="FT22" s="71" t="s">
        <v>127</v>
      </c>
      <c r="FU22" s="59"/>
      <c r="FV22" s="68">
        <v>0.1</v>
      </c>
      <c r="FW22" s="69"/>
      <c r="FX22" s="70" t="s">
        <v>153</v>
      </c>
      <c r="FY22" s="71" t="s">
        <v>127</v>
      </c>
      <c r="FZ22" s="59"/>
      <c r="GA22" s="68">
        <v>0.1</v>
      </c>
      <c r="GB22" s="69"/>
      <c r="GC22" s="70" t="s">
        <v>247</v>
      </c>
      <c r="GD22" s="71" t="s">
        <v>123</v>
      </c>
      <c r="GE22" s="59"/>
      <c r="GF22" s="68">
        <v>0.1</v>
      </c>
      <c r="GG22" s="69"/>
      <c r="GH22" s="70" t="s">
        <v>248</v>
      </c>
      <c r="GI22" s="71" t="s">
        <v>116</v>
      </c>
      <c r="GJ22" s="59"/>
      <c r="GK22" s="68">
        <v>0.1</v>
      </c>
      <c r="GL22" s="69"/>
      <c r="GM22" s="70" t="s">
        <v>249</v>
      </c>
      <c r="GN22" s="71" t="s">
        <v>132</v>
      </c>
      <c r="GO22" s="59"/>
      <c r="GP22" s="68">
        <v>0.1</v>
      </c>
      <c r="GQ22" s="69"/>
      <c r="GR22" s="70" t="s">
        <v>250</v>
      </c>
      <c r="GS22" s="71" t="s">
        <v>132</v>
      </c>
      <c r="GT22" s="59"/>
      <c r="GU22" s="68">
        <v>0.1</v>
      </c>
      <c r="GV22" s="69"/>
      <c r="GW22" s="70" t="s">
        <v>251</v>
      </c>
      <c r="GX22" s="71" t="s">
        <v>132</v>
      </c>
      <c r="GY22" s="59"/>
      <c r="GZ22" s="68">
        <v>0.1</v>
      </c>
      <c r="HA22" s="69"/>
      <c r="HB22" s="70" t="s">
        <v>251</v>
      </c>
      <c r="HC22" s="71" t="s">
        <v>132</v>
      </c>
      <c r="HD22" s="59"/>
      <c r="HE22" s="68">
        <v>0.1</v>
      </c>
      <c r="HF22" s="69"/>
      <c r="HG22" s="70" t="s">
        <v>251</v>
      </c>
      <c r="HH22" s="71" t="s">
        <v>132</v>
      </c>
      <c r="HI22" s="59"/>
      <c r="HJ22" s="68">
        <v>0.1</v>
      </c>
      <c r="HK22" s="69"/>
      <c r="HL22" s="70" t="s">
        <v>569</v>
      </c>
      <c r="HM22" s="71" t="s">
        <v>135</v>
      </c>
      <c r="HN22" s="59"/>
      <c r="HO22" s="68">
        <v>0.1</v>
      </c>
      <c r="HP22" s="69"/>
      <c r="HQ22" s="70" t="s">
        <v>544</v>
      </c>
      <c r="HR22" s="71" t="s">
        <v>135</v>
      </c>
      <c r="HS22" s="59"/>
      <c r="HT22" s="68">
        <v>0.1</v>
      </c>
      <c r="HU22" s="69"/>
      <c r="HV22" s="70" t="s">
        <v>252</v>
      </c>
      <c r="HW22" s="71" t="s">
        <v>135</v>
      </c>
      <c r="HX22" s="59"/>
      <c r="HY22" s="68">
        <v>0.1</v>
      </c>
      <c r="HZ22" s="69"/>
      <c r="IA22" s="70" t="s">
        <v>252</v>
      </c>
      <c r="IB22" s="71" t="s">
        <v>135</v>
      </c>
      <c r="IC22" s="59"/>
      <c r="ID22" s="68">
        <v>0.1</v>
      </c>
      <c r="IE22" s="69"/>
      <c r="IF22" s="70" t="s">
        <v>571</v>
      </c>
      <c r="IG22" s="71" t="s">
        <v>135</v>
      </c>
      <c r="IH22" s="59"/>
      <c r="II22" s="68">
        <v>0.1</v>
      </c>
      <c r="IJ22" s="69"/>
      <c r="IK22" s="70" t="s">
        <v>572</v>
      </c>
      <c r="IL22" s="71" t="s">
        <v>140</v>
      </c>
      <c r="IM22" s="59"/>
      <c r="IN22" s="68">
        <v>0.1</v>
      </c>
      <c r="IO22" s="69"/>
      <c r="IP22" s="70" t="s">
        <v>573</v>
      </c>
      <c r="IQ22" s="71" t="s">
        <v>140</v>
      </c>
      <c r="IR22" s="59"/>
      <c r="IS22" s="68">
        <v>0.1</v>
      </c>
      <c r="IT22" s="69"/>
      <c r="IU22" s="70" t="s">
        <v>409</v>
      </c>
      <c r="IV22" s="71" t="s">
        <v>140</v>
      </c>
      <c r="IW22" s="59"/>
      <c r="IX22" s="68">
        <v>0.1</v>
      </c>
      <c r="IY22" s="69"/>
      <c r="IZ22" s="70" t="s">
        <v>574</v>
      </c>
      <c r="JA22" s="72" t="s">
        <v>144</v>
      </c>
      <c r="JB22" s="59"/>
      <c r="JC22" s="68">
        <v>0.1</v>
      </c>
      <c r="JD22" s="69"/>
      <c r="JE22" s="70" t="s">
        <v>575</v>
      </c>
      <c r="JF22" s="72" t="s">
        <v>144</v>
      </c>
      <c r="JG22" s="59"/>
      <c r="JH22" s="68">
        <v>0.1</v>
      </c>
      <c r="JI22" s="69"/>
      <c r="JJ22" s="70" t="s">
        <v>270</v>
      </c>
      <c r="JK22" s="71" t="s">
        <v>146</v>
      </c>
      <c r="JL22" s="59"/>
      <c r="JM22" s="68">
        <v>0.1</v>
      </c>
      <c r="JN22" s="69"/>
      <c r="JO22" s="70" t="s">
        <v>259</v>
      </c>
      <c r="JP22" s="71" t="s">
        <v>146</v>
      </c>
      <c r="JQ22" s="59"/>
      <c r="JR22" s="68">
        <v>0.1</v>
      </c>
      <c r="JS22" s="69"/>
      <c r="JT22" s="70" t="s">
        <v>260</v>
      </c>
      <c r="JU22" s="71" t="s">
        <v>146</v>
      </c>
      <c r="JV22" s="59"/>
      <c r="JW22" s="51"/>
      <c r="JX22" s="59"/>
      <c r="JY22" s="68">
        <v>0.1</v>
      </c>
      <c r="JZ22" s="69"/>
      <c r="KA22" s="70" t="s">
        <v>261</v>
      </c>
      <c r="KB22" s="71" t="s">
        <v>150</v>
      </c>
      <c r="KC22" s="59"/>
      <c r="KD22" s="68">
        <v>0.1</v>
      </c>
      <c r="KE22" s="69"/>
      <c r="KF22" s="70" t="s">
        <v>262</v>
      </c>
      <c r="KG22" s="71" t="s">
        <v>150</v>
      </c>
      <c r="KH22" s="59"/>
      <c r="KI22" s="68">
        <v>0.1</v>
      </c>
      <c r="KJ22" s="69"/>
      <c r="KK22" s="70" t="s">
        <v>263</v>
      </c>
      <c r="KL22" s="71" t="s">
        <v>209</v>
      </c>
      <c r="KM22" s="59"/>
      <c r="KN22" s="68">
        <v>0.1</v>
      </c>
      <c r="KO22" s="69"/>
      <c r="KP22" s="70" t="s">
        <v>266</v>
      </c>
      <c r="KQ22" s="71" t="s">
        <v>209</v>
      </c>
      <c r="KR22" s="59"/>
      <c r="KS22" s="68">
        <v>0.1</v>
      </c>
      <c r="KT22" s="69"/>
      <c r="KU22" s="70" t="s">
        <v>576</v>
      </c>
      <c r="KV22" s="71" t="s">
        <v>209</v>
      </c>
      <c r="KW22" s="59"/>
      <c r="KX22" s="68">
        <v>0.1</v>
      </c>
      <c r="KY22" s="69"/>
      <c r="KZ22" s="70" t="s">
        <v>577</v>
      </c>
      <c r="LA22" s="71" t="s">
        <v>209</v>
      </c>
      <c r="LB22" s="59"/>
      <c r="LC22" s="68">
        <v>0.1</v>
      </c>
      <c r="LD22" s="69"/>
      <c r="LE22" s="70" t="s">
        <v>267</v>
      </c>
      <c r="LF22" s="71" t="s">
        <v>209</v>
      </c>
      <c r="LG22" s="59"/>
      <c r="LH22" s="68">
        <v>0.1</v>
      </c>
      <c r="LI22" s="69"/>
      <c r="LJ22" s="70" t="s">
        <v>158</v>
      </c>
      <c r="LK22" s="71" t="s">
        <v>209</v>
      </c>
      <c r="LL22" s="59"/>
      <c r="LM22" s="68">
        <v>0.1</v>
      </c>
      <c r="LN22" s="69"/>
      <c r="LO22" s="70" t="s">
        <v>578</v>
      </c>
      <c r="LP22" s="71" t="s">
        <v>209</v>
      </c>
      <c r="LQ22" s="59"/>
      <c r="LR22" s="68">
        <v>0.1</v>
      </c>
      <c r="LS22" s="69"/>
      <c r="LT22" s="70" t="s">
        <v>269</v>
      </c>
      <c r="LU22" s="71" t="s">
        <v>150</v>
      </c>
      <c r="LV22" s="59"/>
      <c r="LW22" s="68">
        <v>0.1</v>
      </c>
      <c r="LX22" s="69"/>
      <c r="LY22" s="70" t="s">
        <v>270</v>
      </c>
      <c r="LZ22" s="71" t="s">
        <v>209</v>
      </c>
      <c r="MA22" s="61"/>
      <c r="MB22" s="29"/>
    </row>
    <row r="23" ht="23.25" customHeight="1">
      <c r="A23" s="23"/>
      <c r="B23" s="54"/>
      <c r="C23" s="74">
        <v>0.1</v>
      </c>
      <c r="D23" s="75"/>
      <c r="E23" s="76" t="s">
        <v>579</v>
      </c>
      <c r="F23" s="77">
        <v>44231.0</v>
      </c>
      <c r="G23" s="59"/>
      <c r="H23" s="74">
        <v>0.1</v>
      </c>
      <c r="I23" s="75"/>
      <c r="J23" s="76" t="s">
        <v>225</v>
      </c>
      <c r="K23" s="77">
        <v>44625.0</v>
      </c>
      <c r="L23" s="59"/>
      <c r="M23" s="74">
        <v>0.1</v>
      </c>
      <c r="N23" s="75"/>
      <c r="O23" s="76" t="s">
        <v>272</v>
      </c>
      <c r="P23" s="77">
        <v>44625.0</v>
      </c>
      <c r="Q23" s="59"/>
      <c r="R23" s="74">
        <v>0.1</v>
      </c>
      <c r="S23" s="75"/>
      <c r="T23" s="76" t="s">
        <v>220</v>
      </c>
      <c r="U23" s="77">
        <v>45022.0</v>
      </c>
      <c r="V23" s="59"/>
      <c r="W23" s="74">
        <v>0.1</v>
      </c>
      <c r="X23" s="75"/>
      <c r="Y23" s="76" t="s">
        <v>273</v>
      </c>
      <c r="Z23" s="77">
        <v>44625.0</v>
      </c>
      <c r="AA23" s="59"/>
      <c r="AB23" s="74">
        <v>0.1</v>
      </c>
      <c r="AC23" s="75"/>
      <c r="AD23" s="76" t="s">
        <v>580</v>
      </c>
      <c r="AE23" s="77">
        <v>44657.0</v>
      </c>
      <c r="AF23" s="59"/>
      <c r="AG23" s="74">
        <v>0.1</v>
      </c>
      <c r="AH23" s="75"/>
      <c r="AI23" s="76" t="s">
        <v>580</v>
      </c>
      <c r="AJ23" s="77">
        <v>44657.0</v>
      </c>
      <c r="AK23" s="59"/>
      <c r="AL23" s="74">
        <v>0.1</v>
      </c>
      <c r="AM23" s="75"/>
      <c r="AN23" s="76" t="s">
        <v>581</v>
      </c>
      <c r="AO23" s="77">
        <v>44751.0</v>
      </c>
      <c r="AP23" s="59"/>
      <c r="AQ23" s="74">
        <v>0.1</v>
      </c>
      <c r="AR23" s="75" t="str">
        <f t="array" ref="AR23:AR31">IFERROR(VLOOKUP(AS23:AS31,Dex!$B$3:$N33,2,FALSE),"")</f>
        <v/>
      </c>
      <c r="AS23" s="76" t="s">
        <v>582</v>
      </c>
      <c r="AT23" s="77">
        <v>44751.0</v>
      </c>
      <c r="AU23" s="59"/>
      <c r="AV23" s="74">
        <v>0.1</v>
      </c>
      <c r="AW23" s="75"/>
      <c r="AX23" s="76" t="s">
        <v>583</v>
      </c>
      <c r="AY23" s="77">
        <v>44846.0</v>
      </c>
      <c r="AZ23" s="59"/>
      <c r="BA23" s="74">
        <v>0.1</v>
      </c>
      <c r="BB23" s="75"/>
      <c r="BC23" s="76" t="s">
        <v>483</v>
      </c>
      <c r="BD23" s="77">
        <v>44909.0</v>
      </c>
      <c r="BE23" s="59"/>
      <c r="BF23" s="74">
        <v>0.1</v>
      </c>
      <c r="BG23" s="75"/>
      <c r="BH23" s="76" t="s">
        <v>280</v>
      </c>
      <c r="BI23" s="77">
        <v>44909.0</v>
      </c>
      <c r="BJ23" s="59"/>
      <c r="BK23" s="74">
        <v>0.1</v>
      </c>
      <c r="BL23" s="75"/>
      <c r="BM23" s="76" t="s">
        <v>227</v>
      </c>
      <c r="BN23" s="77">
        <v>44909.0</v>
      </c>
      <c r="BO23" s="59"/>
      <c r="BP23" s="74">
        <v>0.1</v>
      </c>
      <c r="BQ23" s="75"/>
      <c r="BR23" s="76" t="s">
        <v>281</v>
      </c>
      <c r="BS23" s="77" t="s">
        <v>95</v>
      </c>
      <c r="BT23" s="59"/>
      <c r="BU23" s="74">
        <v>0.1</v>
      </c>
      <c r="BV23" s="75"/>
      <c r="BW23" s="76" t="s">
        <v>282</v>
      </c>
      <c r="BX23" s="77" t="s">
        <v>97</v>
      </c>
      <c r="BY23" s="59"/>
      <c r="BZ23" s="74">
        <v>0.1</v>
      </c>
      <c r="CA23" s="75"/>
      <c r="CB23" s="76" t="s">
        <v>283</v>
      </c>
      <c r="CC23" s="77" t="s">
        <v>99</v>
      </c>
      <c r="CD23" s="59"/>
      <c r="CE23" s="74">
        <v>0.1</v>
      </c>
      <c r="CF23" s="75"/>
      <c r="CG23" s="76" t="s">
        <v>584</v>
      </c>
      <c r="CH23" s="77" t="s">
        <v>101</v>
      </c>
      <c r="CI23" s="59"/>
      <c r="CJ23" s="74">
        <v>0.1</v>
      </c>
      <c r="CK23" s="75"/>
      <c r="CL23" s="76" t="s">
        <v>285</v>
      </c>
      <c r="CM23" s="77" t="s">
        <v>99</v>
      </c>
      <c r="CN23" s="59"/>
      <c r="CO23" s="74">
        <v>0.1</v>
      </c>
      <c r="CP23" s="75"/>
      <c r="CQ23" s="76" t="s">
        <v>286</v>
      </c>
      <c r="CR23" s="77" t="s">
        <v>104</v>
      </c>
      <c r="CS23" s="59"/>
      <c r="CT23" s="74">
        <v>0.1</v>
      </c>
      <c r="CU23" s="75"/>
      <c r="CV23" s="76" t="s">
        <v>287</v>
      </c>
      <c r="CW23" s="77" t="s">
        <v>104</v>
      </c>
      <c r="CX23" s="59"/>
      <c r="CY23" s="74">
        <v>0.1</v>
      </c>
      <c r="CZ23" s="75"/>
      <c r="DA23" s="76" t="s">
        <v>288</v>
      </c>
      <c r="DB23" s="77" t="s">
        <v>106</v>
      </c>
      <c r="DC23" s="59"/>
      <c r="DD23" s="74">
        <v>0.1</v>
      </c>
      <c r="DE23" s="75"/>
      <c r="DF23" s="76" t="s">
        <v>289</v>
      </c>
      <c r="DG23" s="77" t="s">
        <v>108</v>
      </c>
      <c r="DH23" s="59"/>
      <c r="DI23" s="74">
        <v>0.1</v>
      </c>
      <c r="DJ23" s="75"/>
      <c r="DK23" s="76" t="s">
        <v>585</v>
      </c>
      <c r="DL23" s="77" t="s">
        <v>110</v>
      </c>
      <c r="DM23" s="59"/>
      <c r="DN23" s="74">
        <v>0.1</v>
      </c>
      <c r="DO23" s="75"/>
      <c r="DP23" s="76" t="s">
        <v>371</v>
      </c>
      <c r="DQ23" s="77" t="s">
        <v>112</v>
      </c>
      <c r="DR23" s="59"/>
      <c r="DS23" s="74">
        <v>0.1</v>
      </c>
      <c r="DT23" s="75"/>
      <c r="DU23" s="76" t="s">
        <v>568</v>
      </c>
      <c r="DV23" s="77" t="s">
        <v>114</v>
      </c>
      <c r="DW23" s="59"/>
      <c r="DX23" s="74">
        <v>0.1</v>
      </c>
      <c r="DY23" s="75"/>
      <c r="DZ23" s="76" t="s">
        <v>149</v>
      </c>
      <c r="EA23" s="77" t="s">
        <v>116</v>
      </c>
      <c r="EB23" s="59"/>
      <c r="EC23" s="74">
        <v>0.1</v>
      </c>
      <c r="ED23" s="75"/>
      <c r="EE23" s="76" t="s">
        <v>292</v>
      </c>
      <c r="EF23" s="77" t="s">
        <v>118</v>
      </c>
      <c r="EG23" s="59"/>
      <c r="EH23" s="74">
        <v>0.1</v>
      </c>
      <c r="EI23" s="75"/>
      <c r="EJ23" s="76" t="s">
        <v>292</v>
      </c>
      <c r="EK23" s="77" t="s">
        <v>118</v>
      </c>
      <c r="EL23" s="59"/>
      <c r="EM23" s="74">
        <v>0.1</v>
      </c>
      <c r="EN23" s="75"/>
      <c r="EO23" s="76" t="s">
        <v>293</v>
      </c>
      <c r="EP23" s="77" t="s">
        <v>118</v>
      </c>
      <c r="EQ23" s="59"/>
      <c r="ER23" s="74">
        <v>0.1</v>
      </c>
      <c r="ES23" s="75"/>
      <c r="ET23" s="76" t="s">
        <v>292</v>
      </c>
      <c r="EU23" s="77" t="s">
        <v>118</v>
      </c>
      <c r="EV23" s="59"/>
      <c r="EW23" s="74">
        <v>0.1</v>
      </c>
      <c r="EX23" s="75"/>
      <c r="EY23" s="76" t="s">
        <v>586</v>
      </c>
      <c r="EZ23" s="77" t="s">
        <v>114</v>
      </c>
      <c r="FA23" s="59"/>
      <c r="FB23" s="74">
        <v>0.1</v>
      </c>
      <c r="FC23" s="75"/>
      <c r="FD23" s="76" t="s">
        <v>253</v>
      </c>
      <c r="FE23" s="77" t="s">
        <v>121</v>
      </c>
      <c r="FF23" s="59"/>
      <c r="FG23" s="74">
        <v>0.1</v>
      </c>
      <c r="FH23" s="75"/>
      <c r="FI23" s="76" t="s">
        <v>133</v>
      </c>
      <c r="FJ23" s="77" t="s">
        <v>123</v>
      </c>
      <c r="FK23" s="59"/>
      <c r="FL23" s="74">
        <v>0.1</v>
      </c>
      <c r="FM23" s="75"/>
      <c r="FN23" s="76" t="s">
        <v>587</v>
      </c>
      <c r="FO23" s="77" t="s">
        <v>125</v>
      </c>
      <c r="FP23" s="59"/>
      <c r="FQ23" s="74">
        <v>0.1</v>
      </c>
      <c r="FR23" s="75"/>
      <c r="FS23" s="76" t="s">
        <v>336</v>
      </c>
      <c r="FT23" s="77" t="s">
        <v>127</v>
      </c>
      <c r="FU23" s="59"/>
      <c r="FV23" s="74">
        <v>0.1</v>
      </c>
      <c r="FW23" s="75"/>
      <c r="FX23" s="76" t="s">
        <v>153</v>
      </c>
      <c r="FY23" s="77" t="s">
        <v>127</v>
      </c>
      <c r="FZ23" s="59"/>
      <c r="GA23" s="74">
        <v>0.1</v>
      </c>
      <c r="GB23" s="75"/>
      <c r="GC23" s="76" t="s">
        <v>297</v>
      </c>
      <c r="GD23" s="77" t="s">
        <v>123</v>
      </c>
      <c r="GE23" s="59"/>
      <c r="GF23" s="74">
        <v>0.1</v>
      </c>
      <c r="GG23" s="75"/>
      <c r="GH23" s="76" t="s">
        <v>298</v>
      </c>
      <c r="GI23" s="77" t="s">
        <v>116</v>
      </c>
      <c r="GJ23" s="59"/>
      <c r="GK23" s="74">
        <v>0.1</v>
      </c>
      <c r="GL23" s="75"/>
      <c r="GM23" s="76" t="s">
        <v>249</v>
      </c>
      <c r="GN23" s="77" t="s">
        <v>132</v>
      </c>
      <c r="GO23" s="59"/>
      <c r="GP23" s="74">
        <v>0.1</v>
      </c>
      <c r="GQ23" s="75"/>
      <c r="GR23" s="76" t="s">
        <v>250</v>
      </c>
      <c r="GS23" s="77" t="s">
        <v>132</v>
      </c>
      <c r="GT23" s="59"/>
      <c r="GU23" s="74">
        <v>0.1</v>
      </c>
      <c r="GV23" s="75"/>
      <c r="GW23" s="76" t="s">
        <v>251</v>
      </c>
      <c r="GX23" s="77" t="s">
        <v>132</v>
      </c>
      <c r="GY23" s="59"/>
      <c r="GZ23" s="74">
        <v>0.1</v>
      </c>
      <c r="HA23" s="75"/>
      <c r="HB23" s="76" t="s">
        <v>251</v>
      </c>
      <c r="HC23" s="77" t="s">
        <v>132</v>
      </c>
      <c r="HD23" s="59"/>
      <c r="HE23" s="74">
        <v>0.1</v>
      </c>
      <c r="HF23" s="75"/>
      <c r="HG23" s="76" t="s">
        <v>251</v>
      </c>
      <c r="HH23" s="77" t="s">
        <v>132</v>
      </c>
      <c r="HI23" s="59"/>
      <c r="HJ23" s="74">
        <v>0.1</v>
      </c>
      <c r="HK23" s="75"/>
      <c r="HL23" s="76" t="s">
        <v>569</v>
      </c>
      <c r="HM23" s="77" t="s">
        <v>135</v>
      </c>
      <c r="HN23" s="59"/>
      <c r="HO23" s="74">
        <v>0.1</v>
      </c>
      <c r="HP23" s="75"/>
      <c r="HQ23" s="76" t="s">
        <v>299</v>
      </c>
      <c r="HR23" s="77" t="s">
        <v>135</v>
      </c>
      <c r="HS23" s="59"/>
      <c r="HT23" s="74">
        <v>0.1</v>
      </c>
      <c r="HU23" s="75"/>
      <c r="HV23" s="76" t="s">
        <v>252</v>
      </c>
      <c r="HW23" s="77" t="s">
        <v>135</v>
      </c>
      <c r="HX23" s="59"/>
      <c r="HY23" s="74">
        <v>0.1</v>
      </c>
      <c r="HZ23" s="75"/>
      <c r="IA23" s="76" t="s">
        <v>252</v>
      </c>
      <c r="IB23" s="77" t="s">
        <v>135</v>
      </c>
      <c r="IC23" s="59"/>
      <c r="ID23" s="74">
        <v>0.1</v>
      </c>
      <c r="IE23" s="75"/>
      <c r="IF23" s="76" t="s">
        <v>187</v>
      </c>
      <c r="IG23" s="77" t="s">
        <v>135</v>
      </c>
      <c r="IH23" s="59"/>
      <c r="II23" s="74">
        <v>0.1</v>
      </c>
      <c r="IJ23" s="75"/>
      <c r="IK23" s="76" t="s">
        <v>572</v>
      </c>
      <c r="IL23" s="77" t="s">
        <v>140</v>
      </c>
      <c r="IM23" s="59"/>
      <c r="IN23" s="74">
        <v>0.1</v>
      </c>
      <c r="IO23" s="75"/>
      <c r="IP23" s="76" t="s">
        <v>573</v>
      </c>
      <c r="IQ23" s="77" t="s">
        <v>140</v>
      </c>
      <c r="IR23" s="59"/>
      <c r="IS23" s="74">
        <v>0.1</v>
      </c>
      <c r="IT23" s="75"/>
      <c r="IU23" s="76" t="s">
        <v>409</v>
      </c>
      <c r="IV23" s="77" t="s">
        <v>140</v>
      </c>
      <c r="IW23" s="59"/>
      <c r="IX23" s="74">
        <v>0.1</v>
      </c>
      <c r="IY23" s="75"/>
      <c r="IZ23" s="76" t="s">
        <v>574</v>
      </c>
      <c r="JA23" s="78" t="s">
        <v>144</v>
      </c>
      <c r="JB23" s="59"/>
      <c r="JC23" s="74">
        <v>0.1</v>
      </c>
      <c r="JD23" s="75"/>
      <c r="JE23" s="76" t="s">
        <v>575</v>
      </c>
      <c r="JF23" s="78" t="s">
        <v>144</v>
      </c>
      <c r="JG23" s="59"/>
      <c r="JH23" s="74">
        <v>0.1</v>
      </c>
      <c r="JI23" s="75"/>
      <c r="JJ23" s="76" t="s">
        <v>301</v>
      </c>
      <c r="JK23" s="77" t="s">
        <v>146</v>
      </c>
      <c r="JL23" s="59"/>
      <c r="JM23" s="74">
        <v>0.1</v>
      </c>
      <c r="JN23" s="75"/>
      <c r="JO23" s="76" t="s">
        <v>254</v>
      </c>
      <c r="JP23" s="77" t="s">
        <v>146</v>
      </c>
      <c r="JQ23" s="59"/>
      <c r="JR23" s="74">
        <v>0.1</v>
      </c>
      <c r="JS23" s="75"/>
      <c r="JT23" s="76" t="s">
        <v>302</v>
      </c>
      <c r="JU23" s="77" t="s">
        <v>146</v>
      </c>
      <c r="JV23" s="59"/>
      <c r="JW23" s="51"/>
      <c r="JX23" s="59"/>
      <c r="JY23" s="74">
        <v>0.1</v>
      </c>
      <c r="JZ23" s="75"/>
      <c r="KA23" s="76" t="s">
        <v>261</v>
      </c>
      <c r="KB23" s="77" t="s">
        <v>150</v>
      </c>
      <c r="KC23" s="59"/>
      <c r="KD23" s="74">
        <v>0.1</v>
      </c>
      <c r="KE23" s="75"/>
      <c r="KF23" s="76" t="s">
        <v>262</v>
      </c>
      <c r="KG23" s="77" t="s">
        <v>150</v>
      </c>
      <c r="KH23" s="59"/>
      <c r="KI23" s="74">
        <v>0.1</v>
      </c>
      <c r="KJ23" s="75"/>
      <c r="KK23" s="76" t="s">
        <v>263</v>
      </c>
      <c r="KL23" s="77" t="s">
        <v>209</v>
      </c>
      <c r="KM23" s="59"/>
      <c r="KN23" s="74">
        <v>0.1</v>
      </c>
      <c r="KO23" s="75"/>
      <c r="KP23" s="76" t="s">
        <v>266</v>
      </c>
      <c r="KQ23" s="77" t="s">
        <v>209</v>
      </c>
      <c r="KR23" s="59"/>
      <c r="KS23" s="74">
        <v>0.1</v>
      </c>
      <c r="KT23" s="75"/>
      <c r="KU23" s="76" t="s">
        <v>576</v>
      </c>
      <c r="KV23" s="77" t="s">
        <v>209</v>
      </c>
      <c r="KW23" s="59"/>
      <c r="KX23" s="74">
        <v>0.1</v>
      </c>
      <c r="KY23" s="75"/>
      <c r="KZ23" s="76" t="s">
        <v>577</v>
      </c>
      <c r="LA23" s="77" t="s">
        <v>209</v>
      </c>
      <c r="LB23" s="59"/>
      <c r="LC23" s="74">
        <v>0.1</v>
      </c>
      <c r="LD23" s="75"/>
      <c r="LE23" s="76" t="s">
        <v>267</v>
      </c>
      <c r="LF23" s="77" t="s">
        <v>209</v>
      </c>
      <c r="LG23" s="59"/>
      <c r="LH23" s="74">
        <v>0.1</v>
      </c>
      <c r="LI23" s="75"/>
      <c r="LJ23" s="76" t="s">
        <v>158</v>
      </c>
      <c r="LK23" s="77" t="s">
        <v>209</v>
      </c>
      <c r="LL23" s="59"/>
      <c r="LM23" s="74">
        <v>0.1</v>
      </c>
      <c r="LN23" s="75"/>
      <c r="LO23" s="76" t="s">
        <v>578</v>
      </c>
      <c r="LP23" s="77" t="s">
        <v>209</v>
      </c>
      <c r="LQ23" s="59"/>
      <c r="LR23" s="74">
        <v>0.1</v>
      </c>
      <c r="LS23" s="75"/>
      <c r="LT23" s="76" t="s">
        <v>269</v>
      </c>
      <c r="LU23" s="77" t="s">
        <v>150</v>
      </c>
      <c r="LV23" s="59"/>
      <c r="LW23" s="74">
        <v>0.1</v>
      </c>
      <c r="LX23" s="75"/>
      <c r="LY23" s="76" t="s">
        <v>270</v>
      </c>
      <c r="LZ23" s="77" t="s">
        <v>209</v>
      </c>
      <c r="MA23" s="61"/>
      <c r="MB23" s="29"/>
    </row>
    <row r="24" ht="23.25" customHeight="1">
      <c r="A24" s="23"/>
      <c r="B24" s="54"/>
      <c r="C24" s="74">
        <v>0.1</v>
      </c>
      <c r="D24" s="80"/>
      <c r="E24" s="81" t="s">
        <v>536</v>
      </c>
      <c r="F24" s="82">
        <v>44231.0</v>
      </c>
      <c r="G24" s="59"/>
      <c r="H24" s="74">
        <v>0.1</v>
      </c>
      <c r="I24" s="80"/>
      <c r="J24" s="81" t="s">
        <v>303</v>
      </c>
      <c r="K24" s="82">
        <v>44625.0</v>
      </c>
      <c r="L24" s="59"/>
      <c r="M24" s="74">
        <v>0.1</v>
      </c>
      <c r="N24" s="80"/>
      <c r="O24" s="81" t="s">
        <v>436</v>
      </c>
      <c r="P24" s="82">
        <v>44625.0</v>
      </c>
      <c r="Q24" s="59"/>
      <c r="R24" s="74">
        <v>0.1</v>
      </c>
      <c r="S24" s="80"/>
      <c r="T24" s="81" t="s">
        <v>304</v>
      </c>
      <c r="U24" s="82">
        <v>45022.0</v>
      </c>
      <c r="V24" s="59"/>
      <c r="W24" s="74">
        <v>0.1</v>
      </c>
      <c r="X24" s="80"/>
      <c r="Y24" s="81" t="s">
        <v>305</v>
      </c>
      <c r="Z24" s="82">
        <v>44625.0</v>
      </c>
      <c r="AA24" s="59"/>
      <c r="AB24" s="74">
        <v>0.1</v>
      </c>
      <c r="AC24" s="80"/>
      <c r="AD24" s="81" t="s">
        <v>588</v>
      </c>
      <c r="AE24" s="82">
        <v>44657.0</v>
      </c>
      <c r="AF24" s="59"/>
      <c r="AG24" s="74">
        <v>0.1</v>
      </c>
      <c r="AH24" s="80"/>
      <c r="AI24" s="81" t="s">
        <v>588</v>
      </c>
      <c r="AJ24" s="82">
        <v>44657.0</v>
      </c>
      <c r="AK24" s="59"/>
      <c r="AL24" s="74">
        <v>0.1</v>
      </c>
      <c r="AM24" s="80"/>
      <c r="AN24" s="81" t="s">
        <v>308</v>
      </c>
      <c r="AO24" s="82">
        <v>44751.0</v>
      </c>
      <c r="AP24" s="59"/>
      <c r="AQ24" s="74">
        <v>0.1</v>
      </c>
      <c r="AR24" s="80"/>
      <c r="AS24" s="81" t="s">
        <v>589</v>
      </c>
      <c r="AT24" s="82">
        <v>44751.0</v>
      </c>
      <c r="AU24" s="59"/>
      <c r="AV24" s="74">
        <v>0.1</v>
      </c>
      <c r="AW24" s="80"/>
      <c r="AX24" s="81" t="s">
        <v>310</v>
      </c>
      <c r="AY24" s="82">
        <v>44846.0</v>
      </c>
      <c r="AZ24" s="59"/>
      <c r="BA24" s="74">
        <v>0.1</v>
      </c>
      <c r="BB24" s="80"/>
      <c r="BC24" s="81" t="s">
        <v>494</v>
      </c>
      <c r="BD24" s="82">
        <v>45576.0</v>
      </c>
      <c r="BE24" s="59"/>
      <c r="BF24" s="74">
        <v>0.1</v>
      </c>
      <c r="BG24" s="80"/>
      <c r="BH24" s="81" t="s">
        <v>153</v>
      </c>
      <c r="BI24" s="82">
        <v>44909.0</v>
      </c>
      <c r="BJ24" s="59"/>
      <c r="BK24" s="74">
        <v>0.1</v>
      </c>
      <c r="BL24" s="80"/>
      <c r="BM24" s="81" t="s">
        <v>590</v>
      </c>
      <c r="BN24" s="82">
        <v>44909.0</v>
      </c>
      <c r="BO24" s="59"/>
      <c r="BP24" s="74">
        <v>0.1</v>
      </c>
      <c r="BQ24" s="80"/>
      <c r="BR24" s="81" t="s">
        <v>484</v>
      </c>
      <c r="BS24" s="82" t="s">
        <v>95</v>
      </c>
      <c r="BT24" s="59"/>
      <c r="BU24" s="74">
        <v>0.1</v>
      </c>
      <c r="BV24" s="80"/>
      <c r="BW24" s="81" t="s">
        <v>591</v>
      </c>
      <c r="BX24" s="82" t="s">
        <v>97</v>
      </c>
      <c r="BY24" s="59"/>
      <c r="BZ24" s="74">
        <v>0.1</v>
      </c>
      <c r="CA24" s="80"/>
      <c r="CB24" s="81" t="s">
        <v>315</v>
      </c>
      <c r="CC24" s="82" t="s">
        <v>99</v>
      </c>
      <c r="CD24" s="59"/>
      <c r="CE24" s="74">
        <v>0.1</v>
      </c>
      <c r="CF24" s="80"/>
      <c r="CG24" s="81" t="s">
        <v>592</v>
      </c>
      <c r="CH24" s="82" t="s">
        <v>101</v>
      </c>
      <c r="CI24" s="59"/>
      <c r="CJ24" s="74">
        <v>0.1</v>
      </c>
      <c r="CK24" s="80"/>
      <c r="CL24" s="81" t="s">
        <v>317</v>
      </c>
      <c r="CM24" s="82" t="s">
        <v>99</v>
      </c>
      <c r="CN24" s="59"/>
      <c r="CO24" s="74">
        <v>0.1</v>
      </c>
      <c r="CP24" s="80"/>
      <c r="CQ24" s="81" t="s">
        <v>593</v>
      </c>
      <c r="CR24" s="82" t="s">
        <v>104</v>
      </c>
      <c r="CS24" s="59"/>
      <c r="CT24" s="74">
        <v>0.1</v>
      </c>
      <c r="CU24" s="80"/>
      <c r="CV24" s="81" t="s">
        <v>594</v>
      </c>
      <c r="CW24" s="82" t="s">
        <v>104</v>
      </c>
      <c r="CX24" s="59"/>
      <c r="CY24" s="74">
        <v>0.1</v>
      </c>
      <c r="CZ24" s="80"/>
      <c r="DA24" s="81" t="s">
        <v>595</v>
      </c>
      <c r="DB24" s="82" t="s">
        <v>106</v>
      </c>
      <c r="DC24" s="59"/>
      <c r="DD24" s="74">
        <v>0.1</v>
      </c>
      <c r="DE24" s="80"/>
      <c r="DF24" s="81" t="s">
        <v>596</v>
      </c>
      <c r="DG24" s="82" t="s">
        <v>108</v>
      </c>
      <c r="DH24" s="59"/>
      <c r="DI24" s="74">
        <v>0.1</v>
      </c>
      <c r="DJ24" s="80"/>
      <c r="DK24" s="81" t="s">
        <v>498</v>
      </c>
      <c r="DL24" s="82" t="s">
        <v>110</v>
      </c>
      <c r="DM24" s="59"/>
      <c r="DN24" s="74">
        <v>0.1</v>
      </c>
      <c r="DO24" s="80"/>
      <c r="DP24" s="81" t="s">
        <v>597</v>
      </c>
      <c r="DQ24" s="82" t="s">
        <v>112</v>
      </c>
      <c r="DR24" s="59"/>
      <c r="DS24" s="74">
        <v>0.1</v>
      </c>
      <c r="DT24" s="80"/>
      <c r="DU24" s="81" t="s">
        <v>324</v>
      </c>
      <c r="DV24" s="82" t="s">
        <v>114</v>
      </c>
      <c r="DW24" s="59"/>
      <c r="DX24" s="74">
        <v>0.1</v>
      </c>
      <c r="DY24" s="80"/>
      <c r="DZ24" s="81" t="s">
        <v>149</v>
      </c>
      <c r="EA24" s="82" t="s">
        <v>116</v>
      </c>
      <c r="EB24" s="59"/>
      <c r="EC24" s="74">
        <v>0.1</v>
      </c>
      <c r="ED24" s="80"/>
      <c r="EE24" s="81" t="s">
        <v>292</v>
      </c>
      <c r="EF24" s="82" t="s">
        <v>118</v>
      </c>
      <c r="EG24" s="59"/>
      <c r="EH24" s="74">
        <v>0.1</v>
      </c>
      <c r="EI24" s="80"/>
      <c r="EJ24" s="81" t="s">
        <v>292</v>
      </c>
      <c r="EK24" s="82" t="s">
        <v>118</v>
      </c>
      <c r="EL24" s="59"/>
      <c r="EM24" s="74">
        <v>0.1</v>
      </c>
      <c r="EN24" s="80"/>
      <c r="EO24" s="81" t="s">
        <v>293</v>
      </c>
      <c r="EP24" s="82" t="s">
        <v>118</v>
      </c>
      <c r="EQ24" s="59"/>
      <c r="ER24" s="74">
        <v>0.1</v>
      </c>
      <c r="ES24" s="80"/>
      <c r="ET24" s="81" t="s">
        <v>292</v>
      </c>
      <c r="EU24" s="82" t="s">
        <v>118</v>
      </c>
      <c r="EV24" s="59"/>
      <c r="EW24" s="74">
        <v>0.1</v>
      </c>
      <c r="EX24" s="80"/>
      <c r="EY24" s="81" t="s">
        <v>325</v>
      </c>
      <c r="EZ24" s="82" t="s">
        <v>114</v>
      </c>
      <c r="FA24" s="59"/>
      <c r="FB24" s="74">
        <v>0.1</v>
      </c>
      <c r="FC24" s="80"/>
      <c r="FD24" s="81" t="s">
        <v>326</v>
      </c>
      <c r="FE24" s="82" t="s">
        <v>121</v>
      </c>
      <c r="FF24" s="59"/>
      <c r="FG24" s="74">
        <v>0.1</v>
      </c>
      <c r="FH24" s="80"/>
      <c r="FI24" s="81" t="s">
        <v>327</v>
      </c>
      <c r="FJ24" s="82" t="s">
        <v>123</v>
      </c>
      <c r="FK24" s="59"/>
      <c r="FL24" s="74">
        <v>0.1</v>
      </c>
      <c r="FM24" s="80"/>
      <c r="FN24" s="81" t="s">
        <v>598</v>
      </c>
      <c r="FO24" s="82" t="s">
        <v>125</v>
      </c>
      <c r="FP24" s="59"/>
      <c r="FQ24" s="74">
        <v>0.1</v>
      </c>
      <c r="FR24" s="80"/>
      <c r="FS24" s="81" t="s">
        <v>298</v>
      </c>
      <c r="FT24" s="82" t="s">
        <v>127</v>
      </c>
      <c r="FU24" s="59"/>
      <c r="FV24" s="74">
        <v>0.1</v>
      </c>
      <c r="FW24" s="80"/>
      <c r="FX24" s="81" t="s">
        <v>599</v>
      </c>
      <c r="FY24" s="82" t="s">
        <v>127</v>
      </c>
      <c r="FZ24" s="59"/>
      <c r="GA24" s="74">
        <v>0.1</v>
      </c>
      <c r="GB24" s="80"/>
      <c r="GC24" s="81" t="s">
        <v>330</v>
      </c>
      <c r="GD24" s="82" t="s">
        <v>123</v>
      </c>
      <c r="GE24" s="59"/>
      <c r="GF24" s="74">
        <v>0.1</v>
      </c>
      <c r="GG24" s="80"/>
      <c r="GH24" s="81" t="s">
        <v>330</v>
      </c>
      <c r="GI24" s="82" t="s">
        <v>116</v>
      </c>
      <c r="GJ24" s="59"/>
      <c r="GK24" s="74">
        <v>0.1</v>
      </c>
      <c r="GL24" s="80"/>
      <c r="GM24" s="81" t="s">
        <v>245</v>
      </c>
      <c r="GN24" s="82" t="s">
        <v>132</v>
      </c>
      <c r="GO24" s="59"/>
      <c r="GP24" s="74">
        <v>0.1</v>
      </c>
      <c r="GQ24" s="80"/>
      <c r="GR24" s="81" t="s">
        <v>600</v>
      </c>
      <c r="GS24" s="82" t="s">
        <v>132</v>
      </c>
      <c r="GT24" s="59"/>
      <c r="GU24" s="74">
        <v>0.1</v>
      </c>
      <c r="GV24" s="80"/>
      <c r="GW24" s="81" t="s">
        <v>476</v>
      </c>
      <c r="GX24" s="82" t="s">
        <v>132</v>
      </c>
      <c r="GY24" s="59"/>
      <c r="GZ24" s="74">
        <v>0.1</v>
      </c>
      <c r="HA24" s="80"/>
      <c r="HB24" s="81" t="s">
        <v>600</v>
      </c>
      <c r="HC24" s="82" t="s">
        <v>132</v>
      </c>
      <c r="HD24" s="59"/>
      <c r="HE24" s="74">
        <v>0.1</v>
      </c>
      <c r="HF24" s="80"/>
      <c r="HG24" s="81" t="s">
        <v>188</v>
      </c>
      <c r="HH24" s="82" t="s">
        <v>132</v>
      </c>
      <c r="HI24" s="59"/>
      <c r="HJ24" s="74">
        <v>0.1</v>
      </c>
      <c r="HK24" s="80"/>
      <c r="HL24" s="81" t="s">
        <v>544</v>
      </c>
      <c r="HM24" s="82" t="s">
        <v>135</v>
      </c>
      <c r="HN24" s="59"/>
      <c r="HO24" s="74">
        <v>0.1</v>
      </c>
      <c r="HP24" s="80"/>
      <c r="HQ24" s="81" t="s">
        <v>334</v>
      </c>
      <c r="HR24" s="82" t="s">
        <v>135</v>
      </c>
      <c r="HS24" s="59"/>
      <c r="HT24" s="74">
        <v>0.1</v>
      </c>
      <c r="HU24" s="80"/>
      <c r="HV24" s="81" t="s">
        <v>601</v>
      </c>
      <c r="HW24" s="82" t="s">
        <v>135</v>
      </c>
      <c r="HX24" s="59"/>
      <c r="HY24" s="74">
        <v>0.1</v>
      </c>
      <c r="HZ24" s="80"/>
      <c r="IA24" s="81" t="s">
        <v>336</v>
      </c>
      <c r="IB24" s="82" t="s">
        <v>135</v>
      </c>
      <c r="IC24" s="59"/>
      <c r="ID24" s="74">
        <v>0.1</v>
      </c>
      <c r="IE24" s="80"/>
      <c r="IF24" s="81" t="s">
        <v>337</v>
      </c>
      <c r="IG24" s="82" t="s">
        <v>135</v>
      </c>
      <c r="IH24" s="59"/>
      <c r="II24" s="74">
        <v>0.1</v>
      </c>
      <c r="IJ24" s="80"/>
      <c r="IK24" s="81" t="s">
        <v>138</v>
      </c>
      <c r="IL24" s="82" t="s">
        <v>140</v>
      </c>
      <c r="IM24" s="59"/>
      <c r="IN24" s="74">
        <v>0.1</v>
      </c>
      <c r="IO24" s="80"/>
      <c r="IP24" s="81" t="s">
        <v>142</v>
      </c>
      <c r="IQ24" s="82" t="s">
        <v>140</v>
      </c>
      <c r="IR24" s="59"/>
      <c r="IS24" s="74">
        <v>0.1</v>
      </c>
      <c r="IT24" s="80"/>
      <c r="IU24" s="81" t="s">
        <v>338</v>
      </c>
      <c r="IV24" s="82" t="s">
        <v>140</v>
      </c>
      <c r="IW24" s="59"/>
      <c r="IX24" s="74">
        <v>0.1</v>
      </c>
      <c r="IY24" s="80"/>
      <c r="IZ24" s="81" t="s">
        <v>339</v>
      </c>
      <c r="JA24" s="83" t="s">
        <v>144</v>
      </c>
      <c r="JB24" s="59"/>
      <c r="JC24" s="74">
        <v>0.1</v>
      </c>
      <c r="JD24" s="80"/>
      <c r="JE24" s="81" t="s">
        <v>340</v>
      </c>
      <c r="JF24" s="83" t="s">
        <v>144</v>
      </c>
      <c r="JG24" s="59"/>
      <c r="JH24" s="74">
        <v>0.1</v>
      </c>
      <c r="JI24" s="80"/>
      <c r="JJ24" s="81" t="s">
        <v>196</v>
      </c>
      <c r="JK24" s="82" t="s">
        <v>146</v>
      </c>
      <c r="JL24" s="59"/>
      <c r="JM24" s="74">
        <v>0.1</v>
      </c>
      <c r="JN24" s="80"/>
      <c r="JO24" s="81" t="s">
        <v>255</v>
      </c>
      <c r="JP24" s="82" t="s">
        <v>146</v>
      </c>
      <c r="JQ24" s="59"/>
      <c r="JR24" s="74">
        <v>0.1</v>
      </c>
      <c r="JS24" s="80"/>
      <c r="JT24" s="81" t="s">
        <v>302</v>
      </c>
      <c r="JU24" s="82" t="s">
        <v>146</v>
      </c>
      <c r="JV24" s="59"/>
      <c r="JW24" s="51"/>
      <c r="JX24" s="59"/>
      <c r="JY24" s="74">
        <v>0.1</v>
      </c>
      <c r="JZ24" s="80"/>
      <c r="KA24" s="105" t="s">
        <v>602</v>
      </c>
      <c r="KB24" s="82" t="s">
        <v>150</v>
      </c>
      <c r="KC24" s="59"/>
      <c r="KD24" s="74">
        <v>0.1</v>
      </c>
      <c r="KE24" s="80"/>
      <c r="KF24" s="81" t="s">
        <v>415</v>
      </c>
      <c r="KG24" s="82" t="s">
        <v>150</v>
      </c>
      <c r="KH24" s="59"/>
      <c r="KI24" s="74">
        <v>0.1</v>
      </c>
      <c r="KJ24" s="80"/>
      <c r="KK24" s="81" t="s">
        <v>342</v>
      </c>
      <c r="KL24" s="82" t="s">
        <v>209</v>
      </c>
      <c r="KM24" s="59"/>
      <c r="KN24" s="74">
        <v>0.1</v>
      </c>
      <c r="KO24" s="80"/>
      <c r="KP24" s="81" t="s">
        <v>428</v>
      </c>
      <c r="KQ24" s="82" t="s">
        <v>209</v>
      </c>
      <c r="KR24" s="59"/>
      <c r="KS24" s="74">
        <v>0.1</v>
      </c>
      <c r="KT24" s="80"/>
      <c r="KU24" s="81" t="s">
        <v>234</v>
      </c>
      <c r="KV24" s="82" t="s">
        <v>209</v>
      </c>
      <c r="KW24" s="59"/>
      <c r="KX24" s="74">
        <v>0.1</v>
      </c>
      <c r="KY24" s="80"/>
      <c r="KZ24" s="81" t="s">
        <v>331</v>
      </c>
      <c r="LA24" s="82" t="s">
        <v>209</v>
      </c>
      <c r="LB24" s="59"/>
      <c r="LC24" s="74">
        <v>0.1</v>
      </c>
      <c r="LD24" s="80"/>
      <c r="LE24" s="81" t="s">
        <v>346</v>
      </c>
      <c r="LF24" s="82" t="s">
        <v>209</v>
      </c>
      <c r="LG24" s="59"/>
      <c r="LH24" s="74">
        <v>0.1</v>
      </c>
      <c r="LI24" s="80"/>
      <c r="LJ24" s="81" t="s">
        <v>347</v>
      </c>
      <c r="LK24" s="82" t="s">
        <v>209</v>
      </c>
      <c r="LL24" s="59"/>
      <c r="LM24" s="74">
        <v>0.1</v>
      </c>
      <c r="LN24" s="80"/>
      <c r="LO24" s="81" t="s">
        <v>348</v>
      </c>
      <c r="LP24" s="82" t="s">
        <v>209</v>
      </c>
      <c r="LQ24" s="59"/>
      <c r="LR24" s="74">
        <v>0.1</v>
      </c>
      <c r="LS24" s="80"/>
      <c r="LT24" s="81" t="s">
        <v>349</v>
      </c>
      <c r="LU24" s="82" t="s">
        <v>209</v>
      </c>
      <c r="LV24" s="59"/>
      <c r="LW24" s="74">
        <v>0.1</v>
      </c>
      <c r="LX24" s="80"/>
      <c r="LY24" s="81" t="s">
        <v>350</v>
      </c>
      <c r="LZ24" s="82" t="s">
        <v>209</v>
      </c>
      <c r="MA24" s="61"/>
      <c r="MB24" s="29"/>
    </row>
    <row r="25" ht="23.25" customHeight="1">
      <c r="A25" s="23"/>
      <c r="B25" s="54"/>
      <c r="C25" s="84">
        <v>0.1</v>
      </c>
      <c r="D25" s="85"/>
      <c r="E25" s="86" t="s">
        <v>603</v>
      </c>
      <c r="F25" s="87">
        <v>44231.0</v>
      </c>
      <c r="G25" s="59"/>
      <c r="H25" s="84">
        <v>0.1</v>
      </c>
      <c r="I25" s="85"/>
      <c r="J25" s="86" t="s">
        <v>352</v>
      </c>
      <c r="K25" s="87">
        <v>44657.0</v>
      </c>
      <c r="L25" s="59"/>
      <c r="M25" s="84">
        <v>0.1</v>
      </c>
      <c r="N25" s="85"/>
      <c r="O25" s="86" t="s">
        <v>604</v>
      </c>
      <c r="P25" s="87">
        <v>44625.0</v>
      </c>
      <c r="Q25" s="59"/>
      <c r="R25" s="84">
        <v>0.1</v>
      </c>
      <c r="S25" s="85"/>
      <c r="T25" s="86" t="s">
        <v>96</v>
      </c>
      <c r="U25" s="87">
        <v>45022.0</v>
      </c>
      <c r="V25" s="59"/>
      <c r="W25" s="84">
        <v>0.1</v>
      </c>
      <c r="X25" s="85"/>
      <c r="Y25" s="86" t="s">
        <v>84</v>
      </c>
      <c r="Z25" s="87">
        <v>44625.0</v>
      </c>
      <c r="AA25" s="59"/>
      <c r="AB25" s="84">
        <v>0.1</v>
      </c>
      <c r="AC25" s="85"/>
      <c r="AD25" s="86" t="s">
        <v>355</v>
      </c>
      <c r="AE25" s="87">
        <v>44657.0</v>
      </c>
      <c r="AF25" s="59"/>
      <c r="AG25" s="84">
        <v>0.1</v>
      </c>
      <c r="AH25" s="85"/>
      <c r="AI25" s="86" t="s">
        <v>355</v>
      </c>
      <c r="AJ25" s="87">
        <v>44657.0</v>
      </c>
      <c r="AK25" s="59"/>
      <c r="AL25" s="84">
        <v>0.1</v>
      </c>
      <c r="AM25" s="85"/>
      <c r="AN25" s="86" t="s">
        <v>535</v>
      </c>
      <c r="AO25" s="87">
        <v>44751.0</v>
      </c>
      <c r="AP25" s="59"/>
      <c r="AQ25" s="84">
        <v>0.1</v>
      </c>
      <c r="AR25" s="85"/>
      <c r="AS25" s="86" t="s">
        <v>224</v>
      </c>
      <c r="AT25" s="87">
        <v>44751.0</v>
      </c>
      <c r="AU25" s="59"/>
      <c r="AV25" s="84">
        <v>0.1</v>
      </c>
      <c r="AW25" s="85"/>
      <c r="AX25" s="86" t="s">
        <v>589</v>
      </c>
      <c r="AY25" s="87">
        <v>44846.0</v>
      </c>
      <c r="AZ25" s="59"/>
      <c r="BA25" s="84">
        <v>0.1</v>
      </c>
      <c r="BB25" s="85"/>
      <c r="BC25" s="86" t="s">
        <v>605</v>
      </c>
      <c r="BD25" s="87">
        <v>44909.0</v>
      </c>
      <c r="BE25" s="59"/>
      <c r="BF25" s="84">
        <v>0.1</v>
      </c>
      <c r="BG25" s="85"/>
      <c r="BH25" s="86" t="s">
        <v>358</v>
      </c>
      <c r="BI25" s="87">
        <v>44909.0</v>
      </c>
      <c r="BJ25" s="59"/>
      <c r="BK25" s="84">
        <v>0.1</v>
      </c>
      <c r="BL25" s="85"/>
      <c r="BM25" s="86" t="s">
        <v>359</v>
      </c>
      <c r="BN25" s="87">
        <v>44909.0</v>
      </c>
      <c r="BO25" s="59"/>
      <c r="BP25" s="84">
        <v>0.1</v>
      </c>
      <c r="BQ25" s="85"/>
      <c r="BR25" s="86" t="s">
        <v>360</v>
      </c>
      <c r="BS25" s="87" t="s">
        <v>95</v>
      </c>
      <c r="BT25" s="59"/>
      <c r="BU25" s="84">
        <v>0.1</v>
      </c>
      <c r="BV25" s="85"/>
      <c r="BW25" s="86" t="s">
        <v>606</v>
      </c>
      <c r="BX25" s="87" t="s">
        <v>97</v>
      </c>
      <c r="BY25" s="59"/>
      <c r="BZ25" s="84">
        <v>0.1</v>
      </c>
      <c r="CA25" s="85"/>
      <c r="CB25" s="86" t="s">
        <v>362</v>
      </c>
      <c r="CC25" s="87" t="s">
        <v>99</v>
      </c>
      <c r="CD25" s="59"/>
      <c r="CE25" s="84">
        <v>0.1</v>
      </c>
      <c r="CF25" s="85"/>
      <c r="CG25" s="86" t="s">
        <v>272</v>
      </c>
      <c r="CH25" s="87" t="s">
        <v>101</v>
      </c>
      <c r="CI25" s="59"/>
      <c r="CJ25" s="84">
        <v>0.1</v>
      </c>
      <c r="CK25" s="85"/>
      <c r="CL25" s="86" t="s">
        <v>363</v>
      </c>
      <c r="CM25" s="87" t="s">
        <v>99</v>
      </c>
      <c r="CN25" s="59"/>
      <c r="CO25" s="84">
        <v>0.1</v>
      </c>
      <c r="CP25" s="85"/>
      <c r="CQ25" s="86" t="s">
        <v>364</v>
      </c>
      <c r="CR25" s="87" t="s">
        <v>104</v>
      </c>
      <c r="CS25" s="59"/>
      <c r="CT25" s="84">
        <v>0.1</v>
      </c>
      <c r="CU25" s="85"/>
      <c r="CV25" s="86" t="s">
        <v>365</v>
      </c>
      <c r="CW25" s="87" t="s">
        <v>104</v>
      </c>
      <c r="CX25" s="59"/>
      <c r="CY25" s="84">
        <v>0.1</v>
      </c>
      <c r="CZ25" s="85"/>
      <c r="DA25" s="86" t="s">
        <v>239</v>
      </c>
      <c r="DB25" s="87" t="s">
        <v>106</v>
      </c>
      <c r="DC25" s="59"/>
      <c r="DD25" s="84">
        <v>0.1</v>
      </c>
      <c r="DE25" s="85"/>
      <c r="DF25" s="86" t="s">
        <v>366</v>
      </c>
      <c r="DG25" s="87" t="s">
        <v>108</v>
      </c>
      <c r="DH25" s="59"/>
      <c r="DI25" s="84">
        <v>0.1</v>
      </c>
      <c r="DJ25" s="85"/>
      <c r="DK25" s="86" t="s">
        <v>367</v>
      </c>
      <c r="DL25" s="87" t="s">
        <v>110</v>
      </c>
      <c r="DM25" s="59"/>
      <c r="DN25" s="84">
        <v>0.1</v>
      </c>
      <c r="DO25" s="85"/>
      <c r="DP25" s="86" t="s">
        <v>467</v>
      </c>
      <c r="DQ25" s="87" t="s">
        <v>112</v>
      </c>
      <c r="DR25" s="59"/>
      <c r="DS25" s="84">
        <v>0.1</v>
      </c>
      <c r="DT25" s="85"/>
      <c r="DU25" s="86" t="s">
        <v>369</v>
      </c>
      <c r="DV25" s="87" t="s">
        <v>114</v>
      </c>
      <c r="DW25" s="59"/>
      <c r="DX25" s="84">
        <v>0.1</v>
      </c>
      <c r="DY25" s="85"/>
      <c r="DZ25" s="86" t="s">
        <v>370</v>
      </c>
      <c r="EA25" s="87" t="s">
        <v>116</v>
      </c>
      <c r="EB25" s="59"/>
      <c r="EC25" s="84">
        <v>0.1</v>
      </c>
      <c r="ED25" s="85"/>
      <c r="EE25" s="86" t="s">
        <v>371</v>
      </c>
      <c r="EF25" s="87" t="s">
        <v>118</v>
      </c>
      <c r="EG25" s="59"/>
      <c r="EH25" s="84">
        <v>0.1</v>
      </c>
      <c r="EI25" s="85"/>
      <c r="EJ25" s="86" t="s">
        <v>371</v>
      </c>
      <c r="EK25" s="87" t="s">
        <v>118</v>
      </c>
      <c r="EL25" s="59"/>
      <c r="EM25" s="84">
        <v>0.1</v>
      </c>
      <c r="EN25" s="85"/>
      <c r="EO25" s="86" t="s">
        <v>371</v>
      </c>
      <c r="EP25" s="87" t="s">
        <v>118</v>
      </c>
      <c r="EQ25" s="59"/>
      <c r="ER25" s="84">
        <v>0.1</v>
      </c>
      <c r="ES25" s="85"/>
      <c r="ET25" s="86" t="s">
        <v>371</v>
      </c>
      <c r="EU25" s="87" t="s">
        <v>118</v>
      </c>
      <c r="EV25" s="59"/>
      <c r="EW25" s="84">
        <v>0.1</v>
      </c>
      <c r="EX25" s="85"/>
      <c r="EY25" s="86" t="s">
        <v>372</v>
      </c>
      <c r="EZ25" s="87" t="s">
        <v>114</v>
      </c>
      <c r="FA25" s="59"/>
      <c r="FB25" s="84">
        <v>0.1</v>
      </c>
      <c r="FC25" s="85"/>
      <c r="FD25" s="86" t="s">
        <v>153</v>
      </c>
      <c r="FE25" s="87" t="s">
        <v>121</v>
      </c>
      <c r="FF25" s="59"/>
      <c r="FG25" s="84">
        <v>0.1</v>
      </c>
      <c r="FH25" s="85"/>
      <c r="FI25" s="86" t="s">
        <v>516</v>
      </c>
      <c r="FJ25" s="87" t="s">
        <v>123</v>
      </c>
      <c r="FK25" s="59"/>
      <c r="FL25" s="84">
        <v>0.1</v>
      </c>
      <c r="FM25" s="85"/>
      <c r="FN25" s="86" t="s">
        <v>373</v>
      </c>
      <c r="FO25" s="87" t="s">
        <v>125</v>
      </c>
      <c r="FP25" s="59"/>
      <c r="FQ25" s="84">
        <v>0.1</v>
      </c>
      <c r="FR25" s="85"/>
      <c r="FS25" s="86" t="s">
        <v>375</v>
      </c>
      <c r="FT25" s="87" t="s">
        <v>127</v>
      </c>
      <c r="FU25" s="59"/>
      <c r="FV25" s="84">
        <v>0.1</v>
      </c>
      <c r="FW25" s="85"/>
      <c r="FX25" s="86" t="s">
        <v>599</v>
      </c>
      <c r="FY25" s="87" t="s">
        <v>127</v>
      </c>
      <c r="FZ25" s="59"/>
      <c r="GA25" s="84">
        <v>0.1</v>
      </c>
      <c r="GB25" s="85"/>
      <c r="GC25" s="86" t="s">
        <v>375</v>
      </c>
      <c r="GD25" s="87" t="s">
        <v>123</v>
      </c>
      <c r="GE25" s="59"/>
      <c r="GF25" s="84">
        <v>0.1</v>
      </c>
      <c r="GG25" s="85"/>
      <c r="GH25" s="86" t="s">
        <v>330</v>
      </c>
      <c r="GI25" s="87" t="s">
        <v>116</v>
      </c>
      <c r="GJ25" s="59"/>
      <c r="GK25" s="84">
        <v>0.1</v>
      </c>
      <c r="GL25" s="85"/>
      <c r="GM25" s="86" t="s">
        <v>245</v>
      </c>
      <c r="GN25" s="87" t="s">
        <v>132</v>
      </c>
      <c r="GO25" s="59"/>
      <c r="GP25" s="84">
        <v>0.1</v>
      </c>
      <c r="GQ25" s="85"/>
      <c r="GR25" s="86" t="s">
        <v>600</v>
      </c>
      <c r="GS25" s="87" t="s">
        <v>132</v>
      </c>
      <c r="GT25" s="59"/>
      <c r="GU25" s="84">
        <v>0.1</v>
      </c>
      <c r="GV25" s="85"/>
      <c r="GW25" s="86" t="s">
        <v>476</v>
      </c>
      <c r="GX25" s="87" t="s">
        <v>132</v>
      </c>
      <c r="GY25" s="59"/>
      <c r="GZ25" s="84">
        <v>0.1</v>
      </c>
      <c r="HA25" s="85"/>
      <c r="HB25" s="86" t="s">
        <v>600</v>
      </c>
      <c r="HC25" s="87" t="s">
        <v>132</v>
      </c>
      <c r="HD25" s="59"/>
      <c r="HE25" s="84">
        <v>0.1</v>
      </c>
      <c r="HF25" s="85"/>
      <c r="HG25" s="86" t="s">
        <v>188</v>
      </c>
      <c r="HH25" s="87" t="s">
        <v>132</v>
      </c>
      <c r="HI25" s="59"/>
      <c r="HJ25" s="84">
        <v>0.1</v>
      </c>
      <c r="HK25" s="85"/>
      <c r="HL25" s="86" t="s">
        <v>376</v>
      </c>
      <c r="HM25" s="87" t="s">
        <v>135</v>
      </c>
      <c r="HN25" s="59"/>
      <c r="HO25" s="84">
        <v>0.1</v>
      </c>
      <c r="HP25" s="85"/>
      <c r="HQ25" s="86" t="s">
        <v>377</v>
      </c>
      <c r="HR25" s="87" t="s">
        <v>135</v>
      </c>
      <c r="HS25" s="59"/>
      <c r="HT25" s="84">
        <v>0.1</v>
      </c>
      <c r="HU25" s="85"/>
      <c r="HV25" s="86" t="s">
        <v>378</v>
      </c>
      <c r="HW25" s="87" t="s">
        <v>135</v>
      </c>
      <c r="HX25" s="59"/>
      <c r="HY25" s="84">
        <v>0.1</v>
      </c>
      <c r="HZ25" s="85"/>
      <c r="IA25" s="86" t="s">
        <v>379</v>
      </c>
      <c r="IB25" s="87" t="s">
        <v>135</v>
      </c>
      <c r="IC25" s="59"/>
      <c r="ID25" s="84">
        <v>0.1</v>
      </c>
      <c r="IE25" s="85"/>
      <c r="IF25" s="86" t="s">
        <v>337</v>
      </c>
      <c r="IG25" s="87" t="s">
        <v>135</v>
      </c>
      <c r="IH25" s="59"/>
      <c r="II25" s="84">
        <v>0.1</v>
      </c>
      <c r="IJ25" s="85"/>
      <c r="IK25" s="86" t="s">
        <v>138</v>
      </c>
      <c r="IL25" s="87" t="s">
        <v>140</v>
      </c>
      <c r="IM25" s="59"/>
      <c r="IN25" s="84">
        <v>0.1</v>
      </c>
      <c r="IO25" s="85"/>
      <c r="IP25" s="86" t="s">
        <v>196</v>
      </c>
      <c r="IQ25" s="87" t="s">
        <v>140</v>
      </c>
      <c r="IR25" s="59"/>
      <c r="IS25" s="84">
        <v>0.1</v>
      </c>
      <c r="IT25" s="85"/>
      <c r="IU25" s="86" t="s">
        <v>142</v>
      </c>
      <c r="IV25" s="87" t="s">
        <v>140</v>
      </c>
      <c r="IW25" s="59"/>
      <c r="IX25" s="84">
        <v>0.1</v>
      </c>
      <c r="IY25" s="85"/>
      <c r="IZ25" s="86" t="s">
        <v>339</v>
      </c>
      <c r="JA25" s="88" t="s">
        <v>144</v>
      </c>
      <c r="JB25" s="59"/>
      <c r="JC25" s="84">
        <v>0.1</v>
      </c>
      <c r="JD25" s="85"/>
      <c r="JE25" s="86" t="s">
        <v>340</v>
      </c>
      <c r="JF25" s="88" t="s">
        <v>144</v>
      </c>
      <c r="JG25" s="59"/>
      <c r="JH25" s="84">
        <v>0.1</v>
      </c>
      <c r="JI25" s="85"/>
      <c r="JJ25" s="86" t="s">
        <v>380</v>
      </c>
      <c r="JK25" s="87" t="s">
        <v>146</v>
      </c>
      <c r="JL25" s="59"/>
      <c r="JM25" s="84">
        <v>0.1</v>
      </c>
      <c r="JN25" s="85"/>
      <c r="JO25" s="86" t="s">
        <v>381</v>
      </c>
      <c r="JP25" s="87" t="s">
        <v>146</v>
      </c>
      <c r="JQ25" s="59"/>
      <c r="JR25" s="84">
        <v>0.1</v>
      </c>
      <c r="JS25" s="85"/>
      <c r="JT25" s="86" t="s">
        <v>382</v>
      </c>
      <c r="JU25" s="87" t="s">
        <v>146</v>
      </c>
      <c r="JV25" s="59"/>
      <c r="JW25" s="51"/>
      <c r="JX25" s="59"/>
      <c r="JY25" s="84">
        <v>0.1</v>
      </c>
      <c r="JZ25" s="85"/>
      <c r="KA25" s="106" t="s">
        <v>602</v>
      </c>
      <c r="KB25" s="87" t="s">
        <v>150</v>
      </c>
      <c r="KC25" s="59"/>
      <c r="KD25" s="84">
        <v>0.1</v>
      </c>
      <c r="KE25" s="85"/>
      <c r="KF25" s="86" t="s">
        <v>383</v>
      </c>
      <c r="KG25" s="87" t="s">
        <v>150</v>
      </c>
      <c r="KH25" s="59"/>
      <c r="KI25" s="84">
        <v>0.1</v>
      </c>
      <c r="KJ25" s="85"/>
      <c r="KK25" s="86" t="s">
        <v>342</v>
      </c>
      <c r="KL25" s="87" t="s">
        <v>150</v>
      </c>
      <c r="KM25" s="59"/>
      <c r="KN25" s="84">
        <v>0.1</v>
      </c>
      <c r="KO25" s="85"/>
      <c r="KP25" s="86" t="s">
        <v>428</v>
      </c>
      <c r="KQ25" s="87" t="s">
        <v>150</v>
      </c>
      <c r="KR25" s="59"/>
      <c r="KS25" s="84">
        <v>0.1</v>
      </c>
      <c r="KT25" s="85"/>
      <c r="KU25" s="86" t="s">
        <v>234</v>
      </c>
      <c r="KV25" s="87" t="s">
        <v>150</v>
      </c>
      <c r="KW25" s="59"/>
      <c r="KX25" s="84">
        <v>0.1</v>
      </c>
      <c r="KY25" s="85"/>
      <c r="KZ25" s="86" t="s">
        <v>331</v>
      </c>
      <c r="LA25" s="87" t="s">
        <v>150</v>
      </c>
      <c r="LB25" s="59"/>
      <c r="LC25" s="84">
        <v>0.1</v>
      </c>
      <c r="LD25" s="85"/>
      <c r="LE25" s="86" t="s">
        <v>346</v>
      </c>
      <c r="LF25" s="87" t="s">
        <v>150</v>
      </c>
      <c r="LG25" s="59"/>
      <c r="LH25" s="84">
        <v>0.1</v>
      </c>
      <c r="LI25" s="85"/>
      <c r="LJ25" s="86" t="s">
        <v>347</v>
      </c>
      <c r="LK25" s="87" t="s">
        <v>150</v>
      </c>
      <c r="LL25" s="59"/>
      <c r="LM25" s="84">
        <v>0.1</v>
      </c>
      <c r="LN25" s="85"/>
      <c r="LO25" s="86" t="s">
        <v>348</v>
      </c>
      <c r="LP25" s="87" t="s">
        <v>150</v>
      </c>
      <c r="LQ25" s="59"/>
      <c r="LR25" s="84">
        <v>0.1</v>
      </c>
      <c r="LS25" s="85"/>
      <c r="LT25" s="86" t="s">
        <v>349</v>
      </c>
      <c r="LU25" s="87" t="s">
        <v>150</v>
      </c>
      <c r="LV25" s="59"/>
      <c r="LW25" s="84">
        <v>0.1</v>
      </c>
      <c r="LX25" s="85"/>
      <c r="LY25" s="86" t="s">
        <v>350</v>
      </c>
      <c r="LZ25" s="87" t="s">
        <v>150</v>
      </c>
      <c r="MA25" s="61"/>
      <c r="MB25" s="29"/>
    </row>
    <row r="26" ht="23.25" customHeight="1">
      <c r="A26" s="23"/>
      <c r="B26" s="54"/>
      <c r="C26" s="89">
        <v>0.05</v>
      </c>
      <c r="D26" s="56"/>
      <c r="E26" s="57" t="s">
        <v>384</v>
      </c>
      <c r="F26" s="58">
        <v>44260.0</v>
      </c>
      <c r="G26" s="59"/>
      <c r="H26" s="89">
        <v>0.05</v>
      </c>
      <c r="I26" s="56"/>
      <c r="J26" s="57" t="s">
        <v>607</v>
      </c>
      <c r="K26" s="58">
        <v>44625.0</v>
      </c>
      <c r="L26" s="59"/>
      <c r="M26" s="89">
        <v>0.05</v>
      </c>
      <c r="N26" s="56"/>
      <c r="O26" s="57" t="s">
        <v>369</v>
      </c>
      <c r="P26" s="58">
        <v>44625.0</v>
      </c>
      <c r="Q26" s="59"/>
      <c r="R26" s="89">
        <v>0.05</v>
      </c>
      <c r="S26" s="56"/>
      <c r="T26" s="57" t="s">
        <v>387</v>
      </c>
      <c r="U26" s="58">
        <v>45022.0</v>
      </c>
      <c r="V26" s="59"/>
      <c r="W26" s="89">
        <v>0.05</v>
      </c>
      <c r="X26" s="56"/>
      <c r="Y26" s="57" t="s">
        <v>388</v>
      </c>
      <c r="Z26" s="58">
        <v>44625.0</v>
      </c>
      <c r="AA26" s="59"/>
      <c r="AB26" s="89">
        <v>0.05</v>
      </c>
      <c r="AC26" s="56"/>
      <c r="AD26" s="57" t="s">
        <v>389</v>
      </c>
      <c r="AE26" s="58">
        <v>44657.0</v>
      </c>
      <c r="AF26" s="59"/>
      <c r="AG26" s="89">
        <v>0.05</v>
      </c>
      <c r="AH26" s="56"/>
      <c r="AI26" s="57" t="s">
        <v>390</v>
      </c>
      <c r="AJ26" s="58">
        <v>44657.0</v>
      </c>
      <c r="AK26" s="59"/>
      <c r="AL26" s="89">
        <v>0.05</v>
      </c>
      <c r="AM26" s="56"/>
      <c r="AN26" s="57" t="s">
        <v>391</v>
      </c>
      <c r="AO26" s="58">
        <v>44751.0</v>
      </c>
      <c r="AP26" s="59"/>
      <c r="AQ26" s="89">
        <v>0.05</v>
      </c>
      <c r="AR26" s="56"/>
      <c r="AS26" s="57" t="s">
        <v>608</v>
      </c>
      <c r="AT26" s="58">
        <v>44751.0</v>
      </c>
      <c r="AU26" s="59"/>
      <c r="AV26" s="89">
        <v>0.05</v>
      </c>
      <c r="AW26" s="56"/>
      <c r="AX26" s="57" t="s">
        <v>609</v>
      </c>
      <c r="AY26" s="58">
        <v>44846.0</v>
      </c>
      <c r="AZ26" s="59"/>
      <c r="BA26" s="89">
        <v>0.05</v>
      </c>
      <c r="BB26" s="56"/>
      <c r="BC26" s="57" t="s">
        <v>162</v>
      </c>
      <c r="BD26" s="58">
        <v>44909.0</v>
      </c>
      <c r="BE26" s="59"/>
      <c r="BF26" s="89">
        <v>0.05</v>
      </c>
      <c r="BG26" s="56"/>
      <c r="BH26" s="57" t="s">
        <v>394</v>
      </c>
      <c r="BI26" s="58">
        <v>44909.0</v>
      </c>
      <c r="BJ26" s="59"/>
      <c r="BK26" s="89">
        <v>0.05</v>
      </c>
      <c r="BL26" s="56"/>
      <c r="BM26" s="57" t="s">
        <v>395</v>
      </c>
      <c r="BN26" s="58">
        <v>44909.0</v>
      </c>
      <c r="BO26" s="59"/>
      <c r="BP26" s="89">
        <v>0.05</v>
      </c>
      <c r="BQ26" s="56"/>
      <c r="BR26" s="57" t="s">
        <v>610</v>
      </c>
      <c r="BS26" s="58" t="s">
        <v>95</v>
      </c>
      <c r="BT26" s="59"/>
      <c r="BU26" s="89">
        <v>0.05</v>
      </c>
      <c r="BV26" s="56"/>
      <c r="BW26" s="57" t="s">
        <v>611</v>
      </c>
      <c r="BX26" s="58" t="s">
        <v>97</v>
      </c>
      <c r="BY26" s="59"/>
      <c r="BZ26" s="89">
        <v>0.05</v>
      </c>
      <c r="CA26" s="56"/>
      <c r="CB26" s="57" t="s">
        <v>398</v>
      </c>
      <c r="CC26" s="58" t="s">
        <v>99</v>
      </c>
      <c r="CD26" s="59"/>
      <c r="CE26" s="89">
        <v>0.05</v>
      </c>
      <c r="CF26" s="56"/>
      <c r="CG26" s="57" t="s">
        <v>612</v>
      </c>
      <c r="CH26" s="58" t="s">
        <v>101</v>
      </c>
      <c r="CI26" s="59"/>
      <c r="CJ26" s="89">
        <v>0.05</v>
      </c>
      <c r="CK26" s="56"/>
      <c r="CL26" s="57" t="s">
        <v>549</v>
      </c>
      <c r="CM26" s="58" t="s">
        <v>99</v>
      </c>
      <c r="CN26" s="59"/>
      <c r="CO26" s="89">
        <v>0.05</v>
      </c>
      <c r="CP26" s="56"/>
      <c r="CQ26" s="57" t="s">
        <v>579</v>
      </c>
      <c r="CR26" s="58" t="s">
        <v>104</v>
      </c>
      <c r="CS26" s="59"/>
      <c r="CT26" s="89">
        <v>0.05</v>
      </c>
      <c r="CU26" s="56"/>
      <c r="CV26" s="57" t="s">
        <v>359</v>
      </c>
      <c r="CW26" s="58" t="s">
        <v>104</v>
      </c>
      <c r="CX26" s="59"/>
      <c r="CY26" s="89">
        <v>0.05</v>
      </c>
      <c r="CZ26" s="56"/>
      <c r="DA26" s="57" t="s">
        <v>582</v>
      </c>
      <c r="DB26" s="58" t="s">
        <v>106</v>
      </c>
      <c r="DC26" s="59"/>
      <c r="DD26" s="89">
        <v>0.05</v>
      </c>
      <c r="DE26" s="56"/>
      <c r="DF26" s="57" t="s">
        <v>613</v>
      </c>
      <c r="DG26" s="58" t="s">
        <v>108</v>
      </c>
      <c r="DH26" s="59"/>
      <c r="DI26" s="89">
        <v>0.05</v>
      </c>
      <c r="DJ26" s="56"/>
      <c r="DK26" s="57" t="s">
        <v>403</v>
      </c>
      <c r="DL26" s="58" t="s">
        <v>110</v>
      </c>
      <c r="DM26" s="59"/>
      <c r="DN26" s="89">
        <v>0.05</v>
      </c>
      <c r="DO26" s="56"/>
      <c r="DP26" s="57" t="s">
        <v>404</v>
      </c>
      <c r="DQ26" s="58" t="s">
        <v>112</v>
      </c>
      <c r="DR26" s="59"/>
      <c r="DS26" s="89">
        <v>0.05</v>
      </c>
      <c r="DT26" s="56"/>
      <c r="DU26" s="57" t="s">
        <v>614</v>
      </c>
      <c r="DV26" s="58" t="s">
        <v>114</v>
      </c>
      <c r="DW26" s="59"/>
      <c r="DX26" s="89">
        <v>0.05</v>
      </c>
      <c r="DY26" s="56"/>
      <c r="DZ26" s="57" t="s">
        <v>615</v>
      </c>
      <c r="EA26" s="58" t="s">
        <v>116</v>
      </c>
      <c r="EB26" s="59"/>
      <c r="EC26" s="89">
        <v>0.05</v>
      </c>
      <c r="ED26" s="56"/>
      <c r="EE26" s="57" t="s">
        <v>349</v>
      </c>
      <c r="EF26" s="58" t="s">
        <v>118</v>
      </c>
      <c r="EG26" s="59"/>
      <c r="EH26" s="89">
        <v>0.05</v>
      </c>
      <c r="EI26" s="56"/>
      <c r="EJ26" s="57" t="s">
        <v>349</v>
      </c>
      <c r="EK26" s="58" t="s">
        <v>118</v>
      </c>
      <c r="EL26" s="59"/>
      <c r="EM26" s="89">
        <v>0.05</v>
      </c>
      <c r="EN26" s="56"/>
      <c r="EO26" s="57" t="s">
        <v>349</v>
      </c>
      <c r="EP26" s="58" t="s">
        <v>118</v>
      </c>
      <c r="EQ26" s="59"/>
      <c r="ER26" s="89">
        <v>0.05</v>
      </c>
      <c r="ES26" s="56"/>
      <c r="ET26" s="57" t="s">
        <v>349</v>
      </c>
      <c r="EU26" s="58" t="s">
        <v>118</v>
      </c>
      <c r="EV26" s="59"/>
      <c r="EW26" s="89">
        <v>0.05</v>
      </c>
      <c r="EX26" s="56"/>
      <c r="EY26" s="57" t="s">
        <v>407</v>
      </c>
      <c r="EZ26" s="58" t="s">
        <v>114</v>
      </c>
      <c r="FA26" s="59"/>
      <c r="FB26" s="89">
        <v>0.05</v>
      </c>
      <c r="FC26" s="56"/>
      <c r="FD26" s="57" t="s">
        <v>408</v>
      </c>
      <c r="FE26" s="58" t="s">
        <v>121</v>
      </c>
      <c r="FF26" s="59"/>
      <c r="FG26" s="89">
        <v>0.05</v>
      </c>
      <c r="FH26" s="56"/>
      <c r="FI26" s="57" t="s">
        <v>616</v>
      </c>
      <c r="FJ26" s="58" t="s">
        <v>123</v>
      </c>
      <c r="FK26" s="59"/>
      <c r="FL26" s="89">
        <v>0.05</v>
      </c>
      <c r="FM26" s="56"/>
      <c r="FN26" s="57" t="s">
        <v>617</v>
      </c>
      <c r="FO26" s="58" t="s">
        <v>125</v>
      </c>
      <c r="FP26" s="59"/>
      <c r="FQ26" s="89">
        <v>0.05</v>
      </c>
      <c r="FR26" s="56"/>
      <c r="FS26" s="57" t="s">
        <v>512</v>
      </c>
      <c r="FT26" s="58" t="s">
        <v>127</v>
      </c>
      <c r="FU26" s="59"/>
      <c r="FV26" s="89">
        <v>0.05</v>
      </c>
      <c r="FW26" s="56"/>
      <c r="FX26" s="57" t="s">
        <v>412</v>
      </c>
      <c r="FY26" s="58" t="s">
        <v>127</v>
      </c>
      <c r="FZ26" s="59"/>
      <c r="GA26" s="89">
        <v>0.05</v>
      </c>
      <c r="GB26" s="56"/>
      <c r="GC26" s="57" t="s">
        <v>413</v>
      </c>
      <c r="GD26" s="58" t="s">
        <v>123</v>
      </c>
      <c r="GE26" s="59"/>
      <c r="GF26" s="89">
        <v>0.05</v>
      </c>
      <c r="GG26" s="56"/>
      <c r="GH26" s="57" t="s">
        <v>198</v>
      </c>
      <c r="GI26" s="58" t="s">
        <v>116</v>
      </c>
      <c r="GJ26" s="59"/>
      <c r="GK26" s="89">
        <v>0.05</v>
      </c>
      <c r="GL26" s="56"/>
      <c r="GM26" s="57" t="s">
        <v>200</v>
      </c>
      <c r="GN26" s="58" t="s">
        <v>132</v>
      </c>
      <c r="GO26" s="59"/>
      <c r="GP26" s="89">
        <v>0.05</v>
      </c>
      <c r="GQ26" s="56"/>
      <c r="GR26" s="57" t="s">
        <v>200</v>
      </c>
      <c r="GS26" s="58" t="s">
        <v>132</v>
      </c>
      <c r="GT26" s="59"/>
      <c r="GU26" s="89">
        <v>0.05</v>
      </c>
      <c r="GV26" s="56"/>
      <c r="GW26" s="57" t="s">
        <v>200</v>
      </c>
      <c r="GX26" s="58" t="s">
        <v>132</v>
      </c>
      <c r="GY26" s="59"/>
      <c r="GZ26" s="89">
        <v>0.05</v>
      </c>
      <c r="HA26" s="56"/>
      <c r="HB26" s="57" t="s">
        <v>200</v>
      </c>
      <c r="HC26" s="58" t="s">
        <v>132</v>
      </c>
      <c r="HD26" s="59"/>
      <c r="HE26" s="89">
        <v>0.05</v>
      </c>
      <c r="HF26" s="56"/>
      <c r="HG26" s="57" t="s">
        <v>333</v>
      </c>
      <c r="HH26" s="58" t="s">
        <v>132</v>
      </c>
      <c r="HI26" s="59"/>
      <c r="HJ26" s="89">
        <v>0.05</v>
      </c>
      <c r="HK26" s="56"/>
      <c r="HL26" s="57" t="s">
        <v>263</v>
      </c>
      <c r="HM26" s="58" t="s">
        <v>135</v>
      </c>
      <c r="HN26" s="59"/>
      <c r="HO26" s="89">
        <v>0.05</v>
      </c>
      <c r="HP26" s="56"/>
      <c r="HQ26" s="57" t="s">
        <v>263</v>
      </c>
      <c r="HR26" s="58" t="s">
        <v>135</v>
      </c>
      <c r="HS26" s="59"/>
      <c r="HT26" s="89">
        <v>0.05</v>
      </c>
      <c r="HU26" s="56"/>
      <c r="HV26" s="57" t="s">
        <v>618</v>
      </c>
      <c r="HW26" s="58" t="s">
        <v>135</v>
      </c>
      <c r="HX26" s="59"/>
      <c r="HY26" s="89">
        <v>0.05</v>
      </c>
      <c r="HZ26" s="56"/>
      <c r="IA26" s="57" t="s">
        <v>263</v>
      </c>
      <c r="IB26" s="58" t="s">
        <v>135</v>
      </c>
      <c r="IC26" s="59"/>
      <c r="ID26" s="89">
        <v>0.05</v>
      </c>
      <c r="IE26" s="56"/>
      <c r="IF26" s="57" t="s">
        <v>407</v>
      </c>
      <c r="IG26" s="58" t="s">
        <v>135</v>
      </c>
      <c r="IH26" s="59"/>
      <c r="II26" s="89">
        <v>0.05</v>
      </c>
      <c r="IJ26" s="56"/>
      <c r="IK26" s="57" t="s">
        <v>417</v>
      </c>
      <c r="IL26" s="58" t="s">
        <v>140</v>
      </c>
      <c r="IM26" s="59"/>
      <c r="IN26" s="89">
        <v>0.05</v>
      </c>
      <c r="IO26" s="56"/>
      <c r="IP26" s="57" t="s">
        <v>619</v>
      </c>
      <c r="IQ26" s="58" t="s">
        <v>140</v>
      </c>
      <c r="IR26" s="59"/>
      <c r="IS26" s="89">
        <v>0.05</v>
      </c>
      <c r="IT26" s="56"/>
      <c r="IU26" s="57" t="s">
        <v>338</v>
      </c>
      <c r="IV26" s="58" t="s">
        <v>140</v>
      </c>
      <c r="IW26" s="59"/>
      <c r="IX26" s="89">
        <v>0.05</v>
      </c>
      <c r="IY26" s="56"/>
      <c r="IZ26" s="57" t="s">
        <v>419</v>
      </c>
      <c r="JA26" s="60" t="s">
        <v>144</v>
      </c>
      <c r="JB26" s="59"/>
      <c r="JC26" s="89">
        <v>0.05</v>
      </c>
      <c r="JD26" s="56"/>
      <c r="JE26" s="57" t="s">
        <v>420</v>
      </c>
      <c r="JF26" s="60" t="s">
        <v>144</v>
      </c>
      <c r="JG26" s="59"/>
      <c r="JH26" s="89">
        <v>0.05</v>
      </c>
      <c r="JI26" s="56"/>
      <c r="JJ26" s="57" t="s">
        <v>421</v>
      </c>
      <c r="JK26" s="58" t="s">
        <v>146</v>
      </c>
      <c r="JL26" s="59"/>
      <c r="JM26" s="89">
        <v>0.05</v>
      </c>
      <c r="JN26" s="56"/>
      <c r="JO26" s="57" t="s">
        <v>381</v>
      </c>
      <c r="JP26" s="58" t="s">
        <v>146</v>
      </c>
      <c r="JQ26" s="59"/>
      <c r="JR26" s="89">
        <v>0.05</v>
      </c>
      <c r="JS26" s="56"/>
      <c r="JT26" s="57" t="s">
        <v>422</v>
      </c>
      <c r="JU26" s="58" t="s">
        <v>146</v>
      </c>
      <c r="JV26" s="59"/>
      <c r="JW26" s="51"/>
      <c r="JX26" s="59"/>
      <c r="JY26" s="89">
        <v>0.05</v>
      </c>
      <c r="JZ26" s="56"/>
      <c r="KA26" s="57" t="s">
        <v>620</v>
      </c>
      <c r="KB26" s="58" t="s">
        <v>150</v>
      </c>
      <c r="KC26" s="59"/>
      <c r="KD26" s="89">
        <v>0.05</v>
      </c>
      <c r="KE26" s="56"/>
      <c r="KF26" s="57" t="s">
        <v>425</v>
      </c>
      <c r="KG26" s="58" t="s">
        <v>150</v>
      </c>
      <c r="KH26" s="59"/>
      <c r="KI26" s="89">
        <v>0.05</v>
      </c>
      <c r="KJ26" s="56"/>
      <c r="KK26" s="57" t="s">
        <v>262</v>
      </c>
      <c r="KL26" s="58" t="s">
        <v>150</v>
      </c>
      <c r="KM26" s="59"/>
      <c r="KN26" s="89">
        <v>0.05</v>
      </c>
      <c r="KO26" s="56"/>
      <c r="KP26" s="57" t="s">
        <v>424</v>
      </c>
      <c r="KQ26" s="58" t="s">
        <v>150</v>
      </c>
      <c r="KR26" s="59"/>
      <c r="KS26" s="89">
        <v>0.05</v>
      </c>
      <c r="KT26" s="56"/>
      <c r="KU26" s="57" t="s">
        <v>425</v>
      </c>
      <c r="KV26" s="58" t="s">
        <v>150</v>
      </c>
      <c r="KW26" s="59"/>
      <c r="KX26" s="89">
        <v>0.05</v>
      </c>
      <c r="KY26" s="56"/>
      <c r="KZ26" s="57" t="s">
        <v>426</v>
      </c>
      <c r="LA26" s="58" t="s">
        <v>150</v>
      </c>
      <c r="LB26" s="59"/>
      <c r="LC26" s="89">
        <v>0.05</v>
      </c>
      <c r="LD26" s="56"/>
      <c r="LE26" s="57" t="s">
        <v>427</v>
      </c>
      <c r="LF26" s="58" t="s">
        <v>150</v>
      </c>
      <c r="LG26" s="59"/>
      <c r="LH26" s="89">
        <v>0.05</v>
      </c>
      <c r="LI26" s="56"/>
      <c r="LJ26" s="57" t="s">
        <v>595</v>
      </c>
      <c r="LK26" s="58" t="s">
        <v>150</v>
      </c>
      <c r="LL26" s="59"/>
      <c r="LM26" s="89">
        <v>0.05</v>
      </c>
      <c r="LN26" s="56"/>
      <c r="LO26" s="57" t="s">
        <v>269</v>
      </c>
      <c r="LP26" s="58" t="s">
        <v>150</v>
      </c>
      <c r="LQ26" s="59"/>
      <c r="LR26" s="89">
        <v>0.05</v>
      </c>
      <c r="LS26" s="56"/>
      <c r="LT26" s="57" t="s">
        <v>260</v>
      </c>
      <c r="LU26" s="58" t="s">
        <v>150</v>
      </c>
      <c r="LV26" s="59"/>
      <c r="LW26" s="89">
        <v>0.05</v>
      </c>
      <c r="LX26" s="56"/>
      <c r="LY26" s="57" t="s">
        <v>428</v>
      </c>
      <c r="LZ26" s="58" t="s">
        <v>150</v>
      </c>
      <c r="MA26" s="61"/>
      <c r="MB26" s="29"/>
    </row>
    <row r="27" ht="23.25" customHeight="1">
      <c r="A27" s="23"/>
      <c r="B27" s="54"/>
      <c r="C27" s="91">
        <v>0.05</v>
      </c>
      <c r="D27" s="63"/>
      <c r="E27" s="64" t="s">
        <v>384</v>
      </c>
      <c r="F27" s="65">
        <v>44260.0</v>
      </c>
      <c r="G27" s="59"/>
      <c r="H27" s="91">
        <v>0.05</v>
      </c>
      <c r="I27" s="63"/>
      <c r="J27" s="64" t="s">
        <v>449</v>
      </c>
      <c r="K27" s="65">
        <v>44625.0</v>
      </c>
      <c r="L27" s="59"/>
      <c r="M27" s="91">
        <v>0.05</v>
      </c>
      <c r="N27" s="63"/>
      <c r="O27" s="64" t="s">
        <v>430</v>
      </c>
      <c r="P27" s="65">
        <v>44625.0</v>
      </c>
      <c r="Q27" s="59"/>
      <c r="R27" s="91">
        <v>0.05</v>
      </c>
      <c r="S27" s="63"/>
      <c r="T27" s="64" t="s">
        <v>387</v>
      </c>
      <c r="U27" s="65">
        <v>45022.0</v>
      </c>
      <c r="V27" s="59"/>
      <c r="W27" s="91">
        <v>0.05</v>
      </c>
      <c r="X27" s="63"/>
      <c r="Y27" s="64" t="s">
        <v>621</v>
      </c>
      <c r="Z27" s="65">
        <v>44657.0</v>
      </c>
      <c r="AA27" s="59"/>
      <c r="AB27" s="91">
        <v>0.05</v>
      </c>
      <c r="AC27" s="63"/>
      <c r="AD27" s="64" t="s">
        <v>622</v>
      </c>
      <c r="AE27" s="65">
        <v>44657.0</v>
      </c>
      <c r="AF27" s="59"/>
      <c r="AG27" s="91">
        <v>0.05</v>
      </c>
      <c r="AH27" s="63"/>
      <c r="AI27" s="64" t="s">
        <v>622</v>
      </c>
      <c r="AJ27" s="65">
        <v>44657.0</v>
      </c>
      <c r="AK27" s="59"/>
      <c r="AL27" s="91">
        <v>0.05</v>
      </c>
      <c r="AM27" s="63"/>
      <c r="AN27" s="64" t="s">
        <v>365</v>
      </c>
      <c r="AO27" s="65">
        <v>44751.0</v>
      </c>
      <c r="AP27" s="59"/>
      <c r="AQ27" s="91">
        <v>0.05</v>
      </c>
      <c r="AR27" s="63"/>
      <c r="AS27" s="64" t="s">
        <v>623</v>
      </c>
      <c r="AT27" s="65">
        <v>44751.0</v>
      </c>
      <c r="AU27" s="59"/>
      <c r="AV27" s="91">
        <v>0.05</v>
      </c>
      <c r="AW27" s="63"/>
      <c r="AX27" s="64" t="s">
        <v>609</v>
      </c>
      <c r="AY27" s="65">
        <v>44846.0</v>
      </c>
      <c r="AZ27" s="59"/>
      <c r="BA27" s="91">
        <v>0.05</v>
      </c>
      <c r="BB27" s="63"/>
      <c r="BC27" s="64" t="s">
        <v>162</v>
      </c>
      <c r="BD27" s="65">
        <v>44909.0</v>
      </c>
      <c r="BE27" s="59"/>
      <c r="BF27" s="91">
        <v>0.05</v>
      </c>
      <c r="BG27" s="63"/>
      <c r="BH27" s="64" t="s">
        <v>365</v>
      </c>
      <c r="BI27" s="65">
        <v>44909.0</v>
      </c>
      <c r="BJ27" s="59"/>
      <c r="BK27" s="91">
        <v>0.05</v>
      </c>
      <c r="BL27" s="63"/>
      <c r="BM27" s="64" t="s">
        <v>624</v>
      </c>
      <c r="BN27" s="65">
        <v>44909.0</v>
      </c>
      <c r="BO27" s="59"/>
      <c r="BP27" s="91">
        <v>0.05</v>
      </c>
      <c r="BQ27" s="63"/>
      <c r="BR27" s="64" t="s">
        <v>436</v>
      </c>
      <c r="BS27" s="65" t="s">
        <v>95</v>
      </c>
      <c r="BT27" s="59"/>
      <c r="BU27" s="91">
        <v>0.05</v>
      </c>
      <c r="BV27" s="63"/>
      <c r="BW27" s="64" t="s">
        <v>625</v>
      </c>
      <c r="BX27" s="65" t="s">
        <v>97</v>
      </c>
      <c r="BY27" s="59"/>
      <c r="BZ27" s="91">
        <v>0.05</v>
      </c>
      <c r="CA27" s="63"/>
      <c r="CB27" s="64" t="s">
        <v>626</v>
      </c>
      <c r="CC27" s="65" t="s">
        <v>99</v>
      </c>
      <c r="CD27" s="59"/>
      <c r="CE27" s="91">
        <v>0.05</v>
      </c>
      <c r="CF27" s="63"/>
      <c r="CG27" s="64" t="s">
        <v>565</v>
      </c>
      <c r="CH27" s="65" t="s">
        <v>101</v>
      </c>
      <c r="CI27" s="59"/>
      <c r="CJ27" s="91">
        <v>0.05</v>
      </c>
      <c r="CK27" s="63"/>
      <c r="CL27" s="64" t="s">
        <v>549</v>
      </c>
      <c r="CM27" s="65" t="s">
        <v>99</v>
      </c>
      <c r="CN27" s="59"/>
      <c r="CO27" s="91">
        <v>0.05</v>
      </c>
      <c r="CP27" s="63"/>
      <c r="CQ27" s="64" t="s">
        <v>579</v>
      </c>
      <c r="CR27" s="65" t="s">
        <v>104</v>
      </c>
      <c r="CS27" s="59"/>
      <c r="CT27" s="91">
        <v>0.05</v>
      </c>
      <c r="CU27" s="63"/>
      <c r="CV27" s="64" t="s">
        <v>439</v>
      </c>
      <c r="CW27" s="65" t="s">
        <v>104</v>
      </c>
      <c r="CX27" s="59"/>
      <c r="CY27" s="91">
        <v>0.05</v>
      </c>
      <c r="CZ27" s="63"/>
      <c r="DA27" s="64" t="s">
        <v>582</v>
      </c>
      <c r="DB27" s="65" t="s">
        <v>106</v>
      </c>
      <c r="DC27" s="59"/>
      <c r="DD27" s="91">
        <v>0.05</v>
      </c>
      <c r="DE27" s="63"/>
      <c r="DF27" s="64" t="s">
        <v>613</v>
      </c>
      <c r="DG27" s="65" t="s">
        <v>108</v>
      </c>
      <c r="DH27" s="59"/>
      <c r="DI27" s="91">
        <v>0.05</v>
      </c>
      <c r="DJ27" s="63"/>
      <c r="DK27" s="64" t="s">
        <v>440</v>
      </c>
      <c r="DL27" s="65" t="s">
        <v>110</v>
      </c>
      <c r="DM27" s="59"/>
      <c r="DN27" s="91">
        <v>0.05</v>
      </c>
      <c r="DO27" s="63"/>
      <c r="DP27" s="64" t="s">
        <v>404</v>
      </c>
      <c r="DQ27" s="65" t="s">
        <v>112</v>
      </c>
      <c r="DR27" s="59"/>
      <c r="DS27" s="91">
        <v>0.05</v>
      </c>
      <c r="DT27" s="63"/>
      <c r="DU27" s="64" t="s">
        <v>614</v>
      </c>
      <c r="DV27" s="65" t="s">
        <v>114</v>
      </c>
      <c r="DW27" s="59"/>
      <c r="DX27" s="91">
        <v>0.05</v>
      </c>
      <c r="DY27" s="63"/>
      <c r="DZ27" s="64" t="s">
        <v>615</v>
      </c>
      <c r="EA27" s="65" t="s">
        <v>116</v>
      </c>
      <c r="EB27" s="59"/>
      <c r="EC27" s="91">
        <v>0.05</v>
      </c>
      <c r="ED27" s="63"/>
      <c r="EE27" s="64" t="s">
        <v>441</v>
      </c>
      <c r="EF27" s="65" t="s">
        <v>118</v>
      </c>
      <c r="EG27" s="59"/>
      <c r="EH27" s="91">
        <v>0.05</v>
      </c>
      <c r="EI27" s="63"/>
      <c r="EJ27" s="64" t="s">
        <v>441</v>
      </c>
      <c r="EK27" s="65" t="s">
        <v>118</v>
      </c>
      <c r="EL27" s="59"/>
      <c r="EM27" s="91">
        <v>0.05</v>
      </c>
      <c r="EN27" s="63"/>
      <c r="EO27" s="64" t="s">
        <v>441</v>
      </c>
      <c r="EP27" s="65" t="s">
        <v>118</v>
      </c>
      <c r="EQ27" s="59"/>
      <c r="ER27" s="91">
        <v>0.05</v>
      </c>
      <c r="ES27" s="63"/>
      <c r="ET27" s="64" t="s">
        <v>441</v>
      </c>
      <c r="EU27" s="65" t="s">
        <v>118</v>
      </c>
      <c r="EV27" s="59"/>
      <c r="EW27" s="91">
        <v>0.05</v>
      </c>
      <c r="EX27" s="63"/>
      <c r="EY27" s="64" t="s">
        <v>408</v>
      </c>
      <c r="EZ27" s="65" t="s">
        <v>114</v>
      </c>
      <c r="FA27" s="59"/>
      <c r="FB27" s="91">
        <v>0.05</v>
      </c>
      <c r="FC27" s="63"/>
      <c r="FD27" s="64" t="s">
        <v>408</v>
      </c>
      <c r="FE27" s="65" t="s">
        <v>121</v>
      </c>
      <c r="FF27" s="59"/>
      <c r="FG27" s="91">
        <v>0.05</v>
      </c>
      <c r="FH27" s="63"/>
      <c r="FI27" s="64" t="s">
        <v>616</v>
      </c>
      <c r="FJ27" s="65" t="s">
        <v>123</v>
      </c>
      <c r="FK27" s="59"/>
      <c r="FL27" s="91">
        <v>0.05</v>
      </c>
      <c r="FM27" s="63"/>
      <c r="FN27" s="64" t="s">
        <v>617</v>
      </c>
      <c r="FO27" s="65" t="s">
        <v>125</v>
      </c>
      <c r="FP27" s="59"/>
      <c r="FQ27" s="91">
        <v>0.05</v>
      </c>
      <c r="FR27" s="63"/>
      <c r="FS27" s="64" t="s">
        <v>512</v>
      </c>
      <c r="FT27" s="65" t="s">
        <v>127</v>
      </c>
      <c r="FU27" s="59"/>
      <c r="FV27" s="91">
        <v>0.05</v>
      </c>
      <c r="FW27" s="63"/>
      <c r="FX27" s="64" t="s">
        <v>412</v>
      </c>
      <c r="FY27" s="65" t="s">
        <v>127</v>
      </c>
      <c r="FZ27" s="59"/>
      <c r="GA27" s="91">
        <v>0.05</v>
      </c>
      <c r="GB27" s="63"/>
      <c r="GC27" s="64" t="s">
        <v>413</v>
      </c>
      <c r="GD27" s="65" t="s">
        <v>123</v>
      </c>
      <c r="GE27" s="59"/>
      <c r="GF27" s="91">
        <v>0.05</v>
      </c>
      <c r="GG27" s="63"/>
      <c r="GH27" s="64" t="s">
        <v>198</v>
      </c>
      <c r="GI27" s="65" t="s">
        <v>116</v>
      </c>
      <c r="GJ27" s="59"/>
      <c r="GK27" s="91">
        <v>0.05</v>
      </c>
      <c r="GL27" s="63"/>
      <c r="GM27" s="64" t="s">
        <v>200</v>
      </c>
      <c r="GN27" s="65" t="s">
        <v>132</v>
      </c>
      <c r="GO27" s="59"/>
      <c r="GP27" s="91">
        <v>0.05</v>
      </c>
      <c r="GQ27" s="63"/>
      <c r="GR27" s="64" t="s">
        <v>200</v>
      </c>
      <c r="GS27" s="65" t="s">
        <v>132</v>
      </c>
      <c r="GT27" s="59"/>
      <c r="GU27" s="91">
        <v>0.05</v>
      </c>
      <c r="GV27" s="63"/>
      <c r="GW27" s="64" t="s">
        <v>200</v>
      </c>
      <c r="GX27" s="65" t="s">
        <v>132</v>
      </c>
      <c r="GY27" s="59"/>
      <c r="GZ27" s="91">
        <v>0.05</v>
      </c>
      <c r="HA27" s="63"/>
      <c r="HB27" s="64" t="s">
        <v>200</v>
      </c>
      <c r="HC27" s="65" t="s">
        <v>132</v>
      </c>
      <c r="HD27" s="59"/>
      <c r="HE27" s="91">
        <v>0.05</v>
      </c>
      <c r="HF27" s="63"/>
      <c r="HG27" s="64" t="s">
        <v>333</v>
      </c>
      <c r="HH27" s="65" t="s">
        <v>132</v>
      </c>
      <c r="HI27" s="59"/>
      <c r="HJ27" s="91">
        <v>0.05</v>
      </c>
      <c r="HK27" s="63"/>
      <c r="HL27" s="64" t="s">
        <v>263</v>
      </c>
      <c r="HM27" s="65" t="s">
        <v>135</v>
      </c>
      <c r="HN27" s="59"/>
      <c r="HO27" s="91">
        <v>0.05</v>
      </c>
      <c r="HP27" s="63"/>
      <c r="HQ27" s="64" t="s">
        <v>263</v>
      </c>
      <c r="HR27" s="65" t="s">
        <v>135</v>
      </c>
      <c r="HS27" s="59"/>
      <c r="HT27" s="91">
        <v>0.05</v>
      </c>
      <c r="HU27" s="63"/>
      <c r="HV27" s="64" t="s">
        <v>618</v>
      </c>
      <c r="HW27" s="65" t="s">
        <v>135</v>
      </c>
      <c r="HX27" s="59"/>
      <c r="HY27" s="91">
        <v>0.05</v>
      </c>
      <c r="HZ27" s="63"/>
      <c r="IA27" s="64" t="s">
        <v>263</v>
      </c>
      <c r="IB27" s="65" t="s">
        <v>135</v>
      </c>
      <c r="IC27" s="59"/>
      <c r="ID27" s="91">
        <v>0.05</v>
      </c>
      <c r="IE27" s="63"/>
      <c r="IF27" s="64" t="s">
        <v>407</v>
      </c>
      <c r="IG27" s="65" t="s">
        <v>135</v>
      </c>
      <c r="IH27" s="59"/>
      <c r="II27" s="91">
        <v>0.05</v>
      </c>
      <c r="IJ27" s="63"/>
      <c r="IK27" s="64" t="s">
        <v>417</v>
      </c>
      <c r="IL27" s="65" t="s">
        <v>140</v>
      </c>
      <c r="IM27" s="59"/>
      <c r="IN27" s="91">
        <v>0.05</v>
      </c>
      <c r="IO27" s="63"/>
      <c r="IP27" s="64" t="s">
        <v>619</v>
      </c>
      <c r="IQ27" s="65" t="s">
        <v>140</v>
      </c>
      <c r="IR27" s="59"/>
      <c r="IS27" s="91">
        <v>0.05</v>
      </c>
      <c r="IT27" s="63"/>
      <c r="IU27" s="64" t="s">
        <v>423</v>
      </c>
      <c r="IV27" s="65" t="s">
        <v>140</v>
      </c>
      <c r="IW27" s="59"/>
      <c r="IX27" s="91">
        <v>0.05</v>
      </c>
      <c r="IY27" s="63"/>
      <c r="IZ27" s="64" t="s">
        <v>419</v>
      </c>
      <c r="JA27" s="67" t="s">
        <v>144</v>
      </c>
      <c r="JB27" s="59"/>
      <c r="JC27" s="91">
        <v>0.05</v>
      </c>
      <c r="JD27" s="63"/>
      <c r="JE27" s="64" t="s">
        <v>420</v>
      </c>
      <c r="JF27" s="67" t="s">
        <v>144</v>
      </c>
      <c r="JG27" s="59"/>
      <c r="JH27" s="91">
        <v>0.05</v>
      </c>
      <c r="JI27" s="63"/>
      <c r="JJ27" s="64" t="s">
        <v>442</v>
      </c>
      <c r="JK27" s="65" t="s">
        <v>146</v>
      </c>
      <c r="JL27" s="59"/>
      <c r="JM27" s="91">
        <v>0.05</v>
      </c>
      <c r="JN27" s="63"/>
      <c r="JO27" s="64" t="s">
        <v>255</v>
      </c>
      <c r="JP27" s="65" t="s">
        <v>146</v>
      </c>
      <c r="JQ27" s="59"/>
      <c r="JR27" s="91">
        <v>0.05</v>
      </c>
      <c r="JS27" s="63"/>
      <c r="JT27" s="64" t="s">
        <v>443</v>
      </c>
      <c r="JU27" s="65" t="s">
        <v>146</v>
      </c>
      <c r="JV27" s="59"/>
      <c r="JW27" s="51"/>
      <c r="JX27" s="59"/>
      <c r="JY27" s="91">
        <v>0.05</v>
      </c>
      <c r="JZ27" s="63"/>
      <c r="KA27" s="64" t="s">
        <v>620</v>
      </c>
      <c r="KB27" s="65" t="s">
        <v>150</v>
      </c>
      <c r="KC27" s="59"/>
      <c r="KD27" s="91">
        <v>0.05</v>
      </c>
      <c r="KE27" s="63"/>
      <c r="KF27" s="64" t="s">
        <v>425</v>
      </c>
      <c r="KG27" s="65" t="s">
        <v>150</v>
      </c>
      <c r="KH27" s="59"/>
      <c r="KI27" s="91">
        <v>0.05</v>
      </c>
      <c r="KJ27" s="63"/>
      <c r="KK27" s="64" t="s">
        <v>262</v>
      </c>
      <c r="KL27" s="65" t="s">
        <v>150</v>
      </c>
      <c r="KM27" s="59"/>
      <c r="KN27" s="91">
        <v>0.05</v>
      </c>
      <c r="KO27" s="63"/>
      <c r="KP27" s="64" t="s">
        <v>424</v>
      </c>
      <c r="KQ27" s="65" t="s">
        <v>150</v>
      </c>
      <c r="KR27" s="59"/>
      <c r="KS27" s="91">
        <v>0.05</v>
      </c>
      <c r="KT27" s="63"/>
      <c r="KU27" s="64" t="s">
        <v>425</v>
      </c>
      <c r="KV27" s="65" t="s">
        <v>150</v>
      </c>
      <c r="KW27" s="59"/>
      <c r="KX27" s="91">
        <v>0.05</v>
      </c>
      <c r="KY27" s="63"/>
      <c r="KZ27" s="64" t="s">
        <v>426</v>
      </c>
      <c r="LA27" s="65" t="s">
        <v>150</v>
      </c>
      <c r="LB27" s="59"/>
      <c r="LC27" s="91">
        <v>0.05</v>
      </c>
      <c r="LD27" s="63"/>
      <c r="LE27" s="64" t="s">
        <v>427</v>
      </c>
      <c r="LF27" s="65" t="s">
        <v>150</v>
      </c>
      <c r="LG27" s="59"/>
      <c r="LH27" s="91">
        <v>0.05</v>
      </c>
      <c r="LI27" s="63"/>
      <c r="LJ27" s="64" t="s">
        <v>595</v>
      </c>
      <c r="LK27" s="65" t="s">
        <v>150</v>
      </c>
      <c r="LL27" s="59"/>
      <c r="LM27" s="91">
        <v>0.05</v>
      </c>
      <c r="LN27" s="63"/>
      <c r="LO27" s="64" t="s">
        <v>269</v>
      </c>
      <c r="LP27" s="65" t="s">
        <v>150</v>
      </c>
      <c r="LQ27" s="59"/>
      <c r="LR27" s="91">
        <v>0.05</v>
      </c>
      <c r="LS27" s="63"/>
      <c r="LT27" s="64" t="s">
        <v>260</v>
      </c>
      <c r="LU27" s="65" t="s">
        <v>150</v>
      </c>
      <c r="LV27" s="59"/>
      <c r="LW27" s="91">
        <v>0.05</v>
      </c>
      <c r="LX27" s="63"/>
      <c r="LY27" s="64" t="s">
        <v>428</v>
      </c>
      <c r="LZ27" s="65" t="s">
        <v>150</v>
      </c>
      <c r="MA27" s="61"/>
      <c r="MB27" s="29"/>
    </row>
    <row r="28" ht="23.25" customHeight="1">
      <c r="A28" s="23"/>
      <c r="B28" s="54"/>
      <c r="C28" s="92">
        <v>0.04</v>
      </c>
      <c r="D28" s="69"/>
      <c r="E28" s="70" t="s">
        <v>627</v>
      </c>
      <c r="F28" s="71">
        <v>44231.0</v>
      </c>
      <c r="G28" s="59"/>
      <c r="H28" s="92">
        <v>0.04</v>
      </c>
      <c r="I28" s="69"/>
      <c r="J28" s="70" t="s">
        <v>628</v>
      </c>
      <c r="K28" s="71">
        <v>44625.0</v>
      </c>
      <c r="L28" s="59"/>
      <c r="M28" s="92">
        <v>0.04</v>
      </c>
      <c r="N28" s="69"/>
      <c r="O28" s="70" t="s">
        <v>92</v>
      </c>
      <c r="P28" s="71">
        <v>44625.0</v>
      </c>
      <c r="Q28" s="59"/>
      <c r="R28" s="92">
        <v>0.04</v>
      </c>
      <c r="S28" s="69"/>
      <c r="T28" s="70" t="s">
        <v>629</v>
      </c>
      <c r="U28" s="71">
        <v>45022.0</v>
      </c>
      <c r="V28" s="59"/>
      <c r="W28" s="92">
        <v>0.04</v>
      </c>
      <c r="X28" s="69"/>
      <c r="Y28" s="70" t="s">
        <v>550</v>
      </c>
      <c r="Z28" s="71">
        <v>44625.0</v>
      </c>
      <c r="AA28" s="59"/>
      <c r="AB28" s="92">
        <v>0.04</v>
      </c>
      <c r="AC28" s="69"/>
      <c r="AD28" s="70" t="s">
        <v>630</v>
      </c>
      <c r="AE28" s="71">
        <v>44657.0</v>
      </c>
      <c r="AF28" s="59"/>
      <c r="AG28" s="92">
        <v>0.04</v>
      </c>
      <c r="AH28" s="69"/>
      <c r="AI28" s="70" t="s">
        <v>447</v>
      </c>
      <c r="AJ28" s="71">
        <v>44657.0</v>
      </c>
      <c r="AK28" s="59"/>
      <c r="AL28" s="92">
        <v>0.04</v>
      </c>
      <c r="AM28" s="69"/>
      <c r="AN28" s="70" t="s">
        <v>323</v>
      </c>
      <c r="AO28" s="71">
        <v>44751.0</v>
      </c>
      <c r="AP28" s="59"/>
      <c r="AQ28" s="92">
        <v>0.04</v>
      </c>
      <c r="AR28" s="69"/>
      <c r="AS28" s="70" t="s">
        <v>170</v>
      </c>
      <c r="AT28" s="71">
        <v>44751.0</v>
      </c>
      <c r="AU28" s="59"/>
      <c r="AV28" s="92">
        <v>0.04</v>
      </c>
      <c r="AW28" s="69"/>
      <c r="AX28" s="70" t="s">
        <v>431</v>
      </c>
      <c r="AY28" s="71">
        <v>44846.0</v>
      </c>
      <c r="AZ28" s="59"/>
      <c r="BA28" s="92">
        <v>0.04</v>
      </c>
      <c r="BB28" s="69"/>
      <c r="BC28" s="70" t="s">
        <v>448</v>
      </c>
      <c r="BD28" s="71">
        <v>44909.0</v>
      </c>
      <c r="BE28" s="59"/>
      <c r="BF28" s="92">
        <v>0.04</v>
      </c>
      <c r="BG28" s="69"/>
      <c r="BH28" s="70" t="s">
        <v>631</v>
      </c>
      <c r="BI28" s="71">
        <v>44909.0</v>
      </c>
      <c r="BJ28" s="59"/>
      <c r="BK28" s="92">
        <v>0.04</v>
      </c>
      <c r="BL28" s="69"/>
      <c r="BM28" s="70" t="s">
        <v>624</v>
      </c>
      <c r="BN28" s="71">
        <v>44909.0</v>
      </c>
      <c r="BO28" s="59"/>
      <c r="BP28" s="92">
        <v>0.04</v>
      </c>
      <c r="BQ28" s="69"/>
      <c r="BR28" s="70" t="s">
        <v>632</v>
      </c>
      <c r="BS28" s="71" t="s">
        <v>95</v>
      </c>
      <c r="BT28" s="59"/>
      <c r="BU28" s="92">
        <v>0.04</v>
      </c>
      <c r="BV28" s="69"/>
      <c r="BW28" s="70" t="s">
        <v>451</v>
      </c>
      <c r="BX28" s="71" t="s">
        <v>97</v>
      </c>
      <c r="BY28" s="59"/>
      <c r="BZ28" s="92">
        <v>0.04</v>
      </c>
      <c r="CA28" s="69"/>
      <c r="CB28" s="70" t="s">
        <v>633</v>
      </c>
      <c r="CC28" s="71" t="s">
        <v>99</v>
      </c>
      <c r="CD28" s="59"/>
      <c r="CE28" s="92">
        <v>0.04</v>
      </c>
      <c r="CF28" s="69"/>
      <c r="CG28" s="70" t="s">
        <v>534</v>
      </c>
      <c r="CH28" s="71" t="s">
        <v>101</v>
      </c>
      <c r="CI28" s="59"/>
      <c r="CJ28" s="92">
        <v>0.04</v>
      </c>
      <c r="CK28" s="69"/>
      <c r="CL28" s="70" t="s">
        <v>305</v>
      </c>
      <c r="CM28" s="71" t="s">
        <v>99</v>
      </c>
      <c r="CN28" s="59"/>
      <c r="CO28" s="92">
        <v>0.04</v>
      </c>
      <c r="CP28" s="69"/>
      <c r="CQ28" s="70" t="s">
        <v>634</v>
      </c>
      <c r="CR28" s="71" t="s">
        <v>104</v>
      </c>
      <c r="CS28" s="59"/>
      <c r="CT28" s="92">
        <v>0.04</v>
      </c>
      <c r="CU28" s="69"/>
      <c r="CV28" s="70" t="s">
        <v>430</v>
      </c>
      <c r="CW28" s="71" t="s">
        <v>104</v>
      </c>
      <c r="CX28" s="59"/>
      <c r="CY28" s="92">
        <v>0.04</v>
      </c>
      <c r="CZ28" s="69"/>
      <c r="DA28" s="70" t="s">
        <v>455</v>
      </c>
      <c r="DB28" s="71" t="s">
        <v>106</v>
      </c>
      <c r="DC28" s="59"/>
      <c r="DD28" s="92">
        <v>0.04</v>
      </c>
      <c r="DE28" s="69"/>
      <c r="DF28" s="70" t="s">
        <v>456</v>
      </c>
      <c r="DG28" s="71" t="s">
        <v>108</v>
      </c>
      <c r="DH28" s="59"/>
      <c r="DI28" s="92">
        <v>0.04</v>
      </c>
      <c r="DJ28" s="69"/>
      <c r="DK28" s="70" t="s">
        <v>457</v>
      </c>
      <c r="DL28" s="71" t="s">
        <v>110</v>
      </c>
      <c r="DM28" s="59"/>
      <c r="DN28" s="92">
        <v>0.04</v>
      </c>
      <c r="DO28" s="69"/>
      <c r="DP28" s="70" t="s">
        <v>124</v>
      </c>
      <c r="DQ28" s="71" t="s">
        <v>112</v>
      </c>
      <c r="DR28" s="59"/>
      <c r="DS28" s="92">
        <v>0.04</v>
      </c>
      <c r="DT28" s="69"/>
      <c r="DU28" s="70" t="s">
        <v>271</v>
      </c>
      <c r="DV28" s="71" t="s">
        <v>114</v>
      </c>
      <c r="DW28" s="59"/>
      <c r="DX28" s="92">
        <v>0.04</v>
      </c>
      <c r="DY28" s="69"/>
      <c r="DZ28" s="70" t="s">
        <v>635</v>
      </c>
      <c r="EA28" s="71" t="s">
        <v>116</v>
      </c>
      <c r="EB28" s="59"/>
      <c r="EC28" s="92">
        <v>0.04</v>
      </c>
      <c r="ED28" s="69"/>
      <c r="EE28" s="70" t="s">
        <v>459</v>
      </c>
      <c r="EF28" s="71" t="s">
        <v>118</v>
      </c>
      <c r="EG28" s="59"/>
      <c r="EH28" s="92">
        <v>0.04</v>
      </c>
      <c r="EI28" s="69"/>
      <c r="EJ28" s="70" t="s">
        <v>460</v>
      </c>
      <c r="EK28" s="71" t="s">
        <v>118</v>
      </c>
      <c r="EL28" s="59"/>
      <c r="EM28" s="92">
        <v>0.04</v>
      </c>
      <c r="EN28" s="69"/>
      <c r="EO28" s="70" t="s">
        <v>459</v>
      </c>
      <c r="EP28" s="71" t="s">
        <v>118</v>
      </c>
      <c r="EQ28" s="59"/>
      <c r="ER28" s="92">
        <v>0.04</v>
      </c>
      <c r="ES28" s="69"/>
      <c r="ET28" s="70" t="s">
        <v>459</v>
      </c>
      <c r="EU28" s="71" t="s">
        <v>118</v>
      </c>
      <c r="EV28" s="59"/>
      <c r="EW28" s="92">
        <v>0.04</v>
      </c>
      <c r="EX28" s="69"/>
      <c r="EY28" s="70" t="s">
        <v>461</v>
      </c>
      <c r="EZ28" s="71" t="s">
        <v>114</v>
      </c>
      <c r="FA28" s="59"/>
      <c r="FB28" s="92">
        <v>0.04</v>
      </c>
      <c r="FC28" s="69"/>
      <c r="FD28" s="70" t="s">
        <v>636</v>
      </c>
      <c r="FE28" s="71" t="s">
        <v>121</v>
      </c>
      <c r="FF28" s="59"/>
      <c r="FG28" s="92">
        <v>0.04</v>
      </c>
      <c r="FH28" s="69"/>
      <c r="FI28" s="70" t="s">
        <v>637</v>
      </c>
      <c r="FJ28" s="71" t="s">
        <v>123</v>
      </c>
      <c r="FK28" s="59"/>
      <c r="FL28" s="92">
        <v>0.04</v>
      </c>
      <c r="FM28" s="69"/>
      <c r="FN28" s="70" t="s">
        <v>464</v>
      </c>
      <c r="FO28" s="71" t="s">
        <v>125</v>
      </c>
      <c r="FP28" s="59"/>
      <c r="FQ28" s="92">
        <v>0.04</v>
      </c>
      <c r="FR28" s="69"/>
      <c r="FS28" s="70" t="s">
        <v>636</v>
      </c>
      <c r="FT28" s="71" t="s">
        <v>127</v>
      </c>
      <c r="FU28" s="59"/>
      <c r="FV28" s="92">
        <v>0.04</v>
      </c>
      <c r="FW28" s="69"/>
      <c r="FX28" s="70" t="s">
        <v>372</v>
      </c>
      <c r="FY28" s="71" t="s">
        <v>127</v>
      </c>
      <c r="FZ28" s="59"/>
      <c r="GA28" s="92">
        <v>0.04</v>
      </c>
      <c r="GB28" s="69"/>
      <c r="GC28" s="70" t="s">
        <v>466</v>
      </c>
      <c r="GD28" s="71" t="s">
        <v>123</v>
      </c>
      <c r="GE28" s="59"/>
      <c r="GF28" s="92">
        <v>0.04</v>
      </c>
      <c r="GG28" s="69"/>
      <c r="GH28" s="70" t="s">
        <v>200</v>
      </c>
      <c r="GI28" s="71" t="s">
        <v>116</v>
      </c>
      <c r="GJ28" s="59"/>
      <c r="GK28" s="92">
        <v>0.04</v>
      </c>
      <c r="GL28" s="69"/>
      <c r="GM28" s="70" t="s">
        <v>410</v>
      </c>
      <c r="GN28" s="71" t="s">
        <v>132</v>
      </c>
      <c r="GO28" s="59"/>
      <c r="GP28" s="92">
        <v>0.04</v>
      </c>
      <c r="GQ28" s="69"/>
      <c r="GR28" s="70" t="s">
        <v>467</v>
      </c>
      <c r="GS28" s="71" t="s">
        <v>132</v>
      </c>
      <c r="GT28" s="59"/>
      <c r="GU28" s="92">
        <v>0.04</v>
      </c>
      <c r="GV28" s="69"/>
      <c r="GW28" s="70" t="s">
        <v>124</v>
      </c>
      <c r="GX28" s="71" t="s">
        <v>132</v>
      </c>
      <c r="GY28" s="59"/>
      <c r="GZ28" s="92">
        <v>0.04</v>
      </c>
      <c r="HA28" s="69"/>
      <c r="HB28" s="70" t="s">
        <v>468</v>
      </c>
      <c r="HC28" s="71" t="s">
        <v>132</v>
      </c>
      <c r="HD28" s="59"/>
      <c r="HE28" s="92">
        <v>0.04</v>
      </c>
      <c r="HF28" s="69"/>
      <c r="HG28" s="70" t="s">
        <v>200</v>
      </c>
      <c r="HH28" s="71" t="s">
        <v>132</v>
      </c>
      <c r="HI28" s="59"/>
      <c r="HJ28" s="92">
        <v>0.04</v>
      </c>
      <c r="HK28" s="69"/>
      <c r="HL28" s="70" t="s">
        <v>441</v>
      </c>
      <c r="HM28" s="71" t="s">
        <v>135</v>
      </c>
      <c r="HN28" s="59"/>
      <c r="HO28" s="92">
        <v>0.04</v>
      </c>
      <c r="HP28" s="69"/>
      <c r="HQ28" s="70" t="s">
        <v>469</v>
      </c>
      <c r="HR28" s="71" t="s">
        <v>135</v>
      </c>
      <c r="HS28" s="59"/>
      <c r="HT28" s="92">
        <v>0.04</v>
      </c>
      <c r="HU28" s="69"/>
      <c r="HV28" s="70" t="s">
        <v>470</v>
      </c>
      <c r="HW28" s="71" t="s">
        <v>135</v>
      </c>
      <c r="HX28" s="59"/>
      <c r="HY28" s="92">
        <v>0.04</v>
      </c>
      <c r="HZ28" s="69"/>
      <c r="IA28" s="70" t="s">
        <v>469</v>
      </c>
      <c r="IB28" s="71" t="s">
        <v>135</v>
      </c>
      <c r="IC28" s="59"/>
      <c r="ID28" s="92">
        <v>0.04</v>
      </c>
      <c r="IE28" s="69"/>
      <c r="IF28" s="70" t="s">
        <v>471</v>
      </c>
      <c r="IG28" s="71" t="s">
        <v>135</v>
      </c>
      <c r="IH28" s="59"/>
      <c r="II28" s="92">
        <v>0.04</v>
      </c>
      <c r="IJ28" s="69"/>
      <c r="IK28" s="70" t="s">
        <v>472</v>
      </c>
      <c r="IL28" s="71" t="s">
        <v>140</v>
      </c>
      <c r="IM28" s="59"/>
      <c r="IN28" s="92">
        <v>0.04</v>
      </c>
      <c r="IO28" s="69"/>
      <c r="IP28" s="70" t="s">
        <v>472</v>
      </c>
      <c r="IQ28" s="71" t="s">
        <v>140</v>
      </c>
      <c r="IR28" s="59"/>
      <c r="IS28" s="92">
        <v>0.04</v>
      </c>
      <c r="IT28" s="69"/>
      <c r="IU28" s="70" t="s">
        <v>473</v>
      </c>
      <c r="IV28" s="71" t="s">
        <v>140</v>
      </c>
      <c r="IW28" s="59"/>
      <c r="IX28" s="92">
        <v>0.04</v>
      </c>
      <c r="IY28" s="69"/>
      <c r="IZ28" s="70" t="s">
        <v>587</v>
      </c>
      <c r="JA28" s="72" t="s">
        <v>144</v>
      </c>
      <c r="JB28" s="59"/>
      <c r="JC28" s="92">
        <v>0.04</v>
      </c>
      <c r="JD28" s="69"/>
      <c r="JE28" s="70" t="s">
        <v>426</v>
      </c>
      <c r="JF28" s="72" t="s">
        <v>144</v>
      </c>
      <c r="JG28" s="59"/>
      <c r="JH28" s="92">
        <v>0.04</v>
      </c>
      <c r="JI28" s="69"/>
      <c r="JJ28" s="70" t="s">
        <v>638</v>
      </c>
      <c r="JK28" s="71" t="s">
        <v>146</v>
      </c>
      <c r="JL28" s="59"/>
      <c r="JM28" s="92">
        <v>0.04</v>
      </c>
      <c r="JN28" s="69"/>
      <c r="JO28" s="70" t="s">
        <v>475</v>
      </c>
      <c r="JP28" s="71" t="s">
        <v>146</v>
      </c>
      <c r="JQ28" s="59"/>
      <c r="JR28" s="92">
        <v>0.04</v>
      </c>
      <c r="JS28" s="69"/>
      <c r="JT28" s="70" t="s">
        <v>443</v>
      </c>
      <c r="JU28" s="71" t="s">
        <v>146</v>
      </c>
      <c r="JV28" s="59"/>
      <c r="JW28" s="51"/>
      <c r="JX28" s="59"/>
      <c r="JY28" s="92">
        <v>0.04</v>
      </c>
      <c r="JZ28" s="69"/>
      <c r="KA28" s="70" t="s">
        <v>300</v>
      </c>
      <c r="KB28" s="71" t="s">
        <v>150</v>
      </c>
      <c r="KC28" s="59"/>
      <c r="KD28" s="92">
        <v>0.04</v>
      </c>
      <c r="KE28" s="69"/>
      <c r="KF28" s="70" t="s">
        <v>421</v>
      </c>
      <c r="KG28" s="71" t="s">
        <v>150</v>
      </c>
      <c r="KH28" s="59"/>
      <c r="KI28" s="92">
        <v>0.04</v>
      </c>
      <c r="KJ28" s="69"/>
      <c r="KK28" s="70" t="s">
        <v>425</v>
      </c>
      <c r="KL28" s="71" t="s">
        <v>150</v>
      </c>
      <c r="KM28" s="59"/>
      <c r="KN28" s="92">
        <v>0.04</v>
      </c>
      <c r="KO28" s="69"/>
      <c r="KP28" s="70" t="s">
        <v>333</v>
      </c>
      <c r="KQ28" s="71" t="s">
        <v>150</v>
      </c>
      <c r="KR28" s="59"/>
      <c r="KS28" s="92">
        <v>0.04</v>
      </c>
      <c r="KT28" s="69"/>
      <c r="KU28" s="70" t="s">
        <v>142</v>
      </c>
      <c r="KV28" s="71" t="s">
        <v>150</v>
      </c>
      <c r="KW28" s="59"/>
      <c r="KX28" s="92">
        <v>0.04</v>
      </c>
      <c r="KY28" s="69"/>
      <c r="KZ28" s="70" t="s">
        <v>477</v>
      </c>
      <c r="LA28" s="71" t="s">
        <v>150</v>
      </c>
      <c r="LB28" s="59"/>
      <c r="LC28" s="92">
        <v>0.04</v>
      </c>
      <c r="LD28" s="69"/>
      <c r="LE28" s="70" t="s">
        <v>478</v>
      </c>
      <c r="LF28" s="71" t="s">
        <v>150</v>
      </c>
      <c r="LG28" s="59"/>
      <c r="LH28" s="92">
        <v>0.04</v>
      </c>
      <c r="LI28" s="69"/>
      <c r="LJ28" s="70" t="s">
        <v>247</v>
      </c>
      <c r="LK28" s="71" t="s">
        <v>150</v>
      </c>
      <c r="LL28" s="59"/>
      <c r="LM28" s="92">
        <v>0.04</v>
      </c>
      <c r="LN28" s="69"/>
      <c r="LO28" s="70" t="s">
        <v>459</v>
      </c>
      <c r="LP28" s="71" t="s">
        <v>150</v>
      </c>
      <c r="LQ28" s="59"/>
      <c r="LR28" s="92">
        <v>0.04</v>
      </c>
      <c r="LS28" s="69"/>
      <c r="LT28" s="70" t="s">
        <v>480</v>
      </c>
      <c r="LU28" s="71" t="s">
        <v>150</v>
      </c>
      <c r="LV28" s="59"/>
      <c r="LW28" s="92">
        <v>0.04</v>
      </c>
      <c r="LX28" s="69"/>
      <c r="LY28" s="70" t="s">
        <v>206</v>
      </c>
      <c r="LZ28" s="71" t="s">
        <v>150</v>
      </c>
      <c r="MA28" s="61"/>
      <c r="MB28" s="29"/>
    </row>
    <row r="29" ht="23.25" customHeight="1">
      <c r="A29" s="23"/>
      <c r="B29" s="54"/>
      <c r="C29" s="93">
        <v>0.04</v>
      </c>
      <c r="D29" s="85"/>
      <c r="E29" s="86" t="s">
        <v>627</v>
      </c>
      <c r="F29" s="87">
        <v>44231.0</v>
      </c>
      <c r="G29" s="59"/>
      <c r="H29" s="93">
        <v>0.04</v>
      </c>
      <c r="I29" s="85"/>
      <c r="J29" s="86" t="s">
        <v>628</v>
      </c>
      <c r="K29" s="87">
        <v>44625.0</v>
      </c>
      <c r="L29" s="59"/>
      <c r="M29" s="93">
        <v>0.04</v>
      </c>
      <c r="N29" s="85"/>
      <c r="O29" s="86" t="s">
        <v>226</v>
      </c>
      <c r="P29" s="87">
        <v>44625.0</v>
      </c>
      <c r="Q29" s="59"/>
      <c r="R29" s="93">
        <v>0.04</v>
      </c>
      <c r="S29" s="85"/>
      <c r="T29" s="86" t="s">
        <v>629</v>
      </c>
      <c r="U29" s="87">
        <v>45022.0</v>
      </c>
      <c r="V29" s="59"/>
      <c r="W29" s="93">
        <v>0.04</v>
      </c>
      <c r="X29" s="85"/>
      <c r="Y29" s="86" t="s">
        <v>481</v>
      </c>
      <c r="Z29" s="87">
        <v>44625.0</v>
      </c>
      <c r="AA29" s="59"/>
      <c r="AB29" s="93">
        <v>0.04</v>
      </c>
      <c r="AC29" s="85"/>
      <c r="AD29" s="86" t="s">
        <v>630</v>
      </c>
      <c r="AE29" s="87">
        <v>44657.0</v>
      </c>
      <c r="AF29" s="59"/>
      <c r="AG29" s="93">
        <v>0.04</v>
      </c>
      <c r="AH29" s="85"/>
      <c r="AI29" s="86" t="s">
        <v>610</v>
      </c>
      <c r="AJ29" s="87">
        <v>44657.0</v>
      </c>
      <c r="AK29" s="59"/>
      <c r="AL29" s="93">
        <v>0.04</v>
      </c>
      <c r="AM29" s="85"/>
      <c r="AN29" s="86" t="s">
        <v>538</v>
      </c>
      <c r="AO29" s="87">
        <v>44751.0</v>
      </c>
      <c r="AP29" s="59"/>
      <c r="AQ29" s="93">
        <v>0.04</v>
      </c>
      <c r="AR29" s="85"/>
      <c r="AS29" s="86" t="s">
        <v>273</v>
      </c>
      <c r="AT29" s="87">
        <v>44751.0</v>
      </c>
      <c r="AU29" s="59"/>
      <c r="AV29" s="93">
        <v>0.04</v>
      </c>
      <c r="AW29" s="85"/>
      <c r="AX29" s="86" t="s">
        <v>313</v>
      </c>
      <c r="AY29" s="87">
        <v>44846.0</v>
      </c>
      <c r="AZ29" s="59"/>
      <c r="BA29" s="93">
        <v>0.04</v>
      </c>
      <c r="BB29" s="85"/>
      <c r="BC29" s="86" t="s">
        <v>485</v>
      </c>
      <c r="BD29" s="87">
        <v>44909.0</v>
      </c>
      <c r="BE29" s="59"/>
      <c r="BF29" s="93">
        <v>0.04</v>
      </c>
      <c r="BG29" s="85"/>
      <c r="BH29" s="86" t="s">
        <v>631</v>
      </c>
      <c r="BI29" s="87">
        <v>44909.0</v>
      </c>
      <c r="BJ29" s="59"/>
      <c r="BK29" s="93">
        <v>0.04</v>
      </c>
      <c r="BL29" s="85"/>
      <c r="BM29" s="86" t="s">
        <v>585</v>
      </c>
      <c r="BN29" s="87">
        <v>44909.0</v>
      </c>
      <c r="BO29" s="59"/>
      <c r="BP29" s="93">
        <v>0.04</v>
      </c>
      <c r="BQ29" s="85"/>
      <c r="BR29" s="86" t="s">
        <v>632</v>
      </c>
      <c r="BS29" s="87" t="s">
        <v>95</v>
      </c>
      <c r="BT29" s="59"/>
      <c r="BU29" s="93">
        <v>0.04</v>
      </c>
      <c r="BV29" s="85"/>
      <c r="BW29" s="86" t="s">
        <v>481</v>
      </c>
      <c r="BX29" s="87" t="s">
        <v>97</v>
      </c>
      <c r="BY29" s="59"/>
      <c r="BZ29" s="93">
        <v>0.04</v>
      </c>
      <c r="CA29" s="85"/>
      <c r="CB29" s="86" t="s">
        <v>196</v>
      </c>
      <c r="CC29" s="87" t="s">
        <v>99</v>
      </c>
      <c r="CD29" s="59"/>
      <c r="CE29" s="93">
        <v>0.04</v>
      </c>
      <c r="CF29" s="85"/>
      <c r="CG29" s="86" t="s">
        <v>534</v>
      </c>
      <c r="CH29" s="87" t="s">
        <v>101</v>
      </c>
      <c r="CI29" s="59"/>
      <c r="CJ29" s="93">
        <v>0.04</v>
      </c>
      <c r="CK29" s="85"/>
      <c r="CL29" s="86" t="s">
        <v>305</v>
      </c>
      <c r="CM29" s="87" t="s">
        <v>99</v>
      </c>
      <c r="CN29" s="59"/>
      <c r="CO29" s="93">
        <v>0.04</v>
      </c>
      <c r="CP29" s="85"/>
      <c r="CQ29" s="86" t="s">
        <v>634</v>
      </c>
      <c r="CR29" s="87" t="s">
        <v>104</v>
      </c>
      <c r="CS29" s="59"/>
      <c r="CT29" s="93">
        <v>0.04</v>
      </c>
      <c r="CU29" s="85"/>
      <c r="CV29" s="86" t="s">
        <v>639</v>
      </c>
      <c r="CW29" s="87" t="s">
        <v>104</v>
      </c>
      <c r="CX29" s="59"/>
      <c r="CY29" s="93">
        <v>0.04</v>
      </c>
      <c r="CZ29" s="85"/>
      <c r="DA29" s="86" t="s">
        <v>455</v>
      </c>
      <c r="DB29" s="87" t="s">
        <v>106</v>
      </c>
      <c r="DC29" s="59"/>
      <c r="DD29" s="93">
        <v>0.04</v>
      </c>
      <c r="DE29" s="85"/>
      <c r="DF29" s="86" t="s">
        <v>456</v>
      </c>
      <c r="DG29" s="87" t="s">
        <v>108</v>
      </c>
      <c r="DH29" s="59"/>
      <c r="DI29" s="93">
        <v>0.04</v>
      </c>
      <c r="DJ29" s="85"/>
      <c r="DK29" s="86" t="s">
        <v>334</v>
      </c>
      <c r="DL29" s="87" t="s">
        <v>110</v>
      </c>
      <c r="DM29" s="59"/>
      <c r="DN29" s="93">
        <v>0.04</v>
      </c>
      <c r="DO29" s="85"/>
      <c r="DP29" s="86" t="s">
        <v>124</v>
      </c>
      <c r="DQ29" s="87" t="s">
        <v>112</v>
      </c>
      <c r="DR29" s="59"/>
      <c r="DS29" s="93">
        <v>0.04</v>
      </c>
      <c r="DT29" s="85"/>
      <c r="DU29" s="86" t="s">
        <v>271</v>
      </c>
      <c r="DV29" s="87" t="s">
        <v>114</v>
      </c>
      <c r="DW29" s="59"/>
      <c r="DX29" s="93">
        <v>0.04</v>
      </c>
      <c r="DY29" s="85"/>
      <c r="DZ29" s="86" t="s">
        <v>635</v>
      </c>
      <c r="EA29" s="87" t="s">
        <v>116</v>
      </c>
      <c r="EB29" s="59"/>
      <c r="EC29" s="93">
        <v>0.04</v>
      </c>
      <c r="ED29" s="85"/>
      <c r="EE29" s="86" t="s">
        <v>459</v>
      </c>
      <c r="EF29" s="87" t="s">
        <v>118</v>
      </c>
      <c r="EG29" s="59"/>
      <c r="EH29" s="93">
        <v>0.04</v>
      </c>
      <c r="EI29" s="85"/>
      <c r="EJ29" s="86" t="s">
        <v>460</v>
      </c>
      <c r="EK29" s="87" t="s">
        <v>118</v>
      </c>
      <c r="EL29" s="59"/>
      <c r="EM29" s="93">
        <v>0.04</v>
      </c>
      <c r="EN29" s="85"/>
      <c r="EO29" s="86" t="s">
        <v>459</v>
      </c>
      <c r="EP29" s="87" t="s">
        <v>118</v>
      </c>
      <c r="EQ29" s="59"/>
      <c r="ER29" s="93">
        <v>0.04</v>
      </c>
      <c r="ES29" s="85"/>
      <c r="ET29" s="86" t="s">
        <v>459</v>
      </c>
      <c r="EU29" s="87" t="s">
        <v>118</v>
      </c>
      <c r="EV29" s="59"/>
      <c r="EW29" s="93">
        <v>0.04</v>
      </c>
      <c r="EX29" s="85"/>
      <c r="EY29" s="86" t="s">
        <v>461</v>
      </c>
      <c r="EZ29" s="87" t="s">
        <v>114</v>
      </c>
      <c r="FA29" s="59"/>
      <c r="FB29" s="93">
        <v>0.04</v>
      </c>
      <c r="FC29" s="85"/>
      <c r="FD29" s="86" t="s">
        <v>636</v>
      </c>
      <c r="FE29" s="87" t="s">
        <v>121</v>
      </c>
      <c r="FF29" s="59"/>
      <c r="FG29" s="93">
        <v>0.04</v>
      </c>
      <c r="FH29" s="85"/>
      <c r="FI29" s="86" t="s">
        <v>637</v>
      </c>
      <c r="FJ29" s="87" t="s">
        <v>123</v>
      </c>
      <c r="FK29" s="59"/>
      <c r="FL29" s="93">
        <v>0.04</v>
      </c>
      <c r="FM29" s="85"/>
      <c r="FN29" s="86" t="s">
        <v>464</v>
      </c>
      <c r="FO29" s="87" t="s">
        <v>125</v>
      </c>
      <c r="FP29" s="59"/>
      <c r="FQ29" s="93">
        <v>0.04</v>
      </c>
      <c r="FR29" s="85"/>
      <c r="FS29" s="86" t="s">
        <v>472</v>
      </c>
      <c r="FT29" s="87" t="s">
        <v>127</v>
      </c>
      <c r="FU29" s="59"/>
      <c r="FV29" s="93">
        <v>0.04</v>
      </c>
      <c r="FW29" s="85"/>
      <c r="FX29" s="86" t="s">
        <v>372</v>
      </c>
      <c r="FY29" s="87" t="s">
        <v>127</v>
      </c>
      <c r="FZ29" s="59"/>
      <c r="GA29" s="93">
        <v>0.04</v>
      </c>
      <c r="GB29" s="85"/>
      <c r="GC29" s="86" t="s">
        <v>466</v>
      </c>
      <c r="GD29" s="87" t="s">
        <v>123</v>
      </c>
      <c r="GE29" s="59"/>
      <c r="GF29" s="93">
        <v>0.04</v>
      </c>
      <c r="GG29" s="85"/>
      <c r="GH29" s="86" t="s">
        <v>200</v>
      </c>
      <c r="GI29" s="87" t="s">
        <v>116</v>
      </c>
      <c r="GJ29" s="59"/>
      <c r="GK29" s="93">
        <v>0.04</v>
      </c>
      <c r="GL29" s="85"/>
      <c r="GM29" s="86" t="s">
        <v>410</v>
      </c>
      <c r="GN29" s="87" t="s">
        <v>132</v>
      </c>
      <c r="GO29" s="59"/>
      <c r="GP29" s="93">
        <v>0.04</v>
      </c>
      <c r="GQ29" s="85"/>
      <c r="GR29" s="86" t="s">
        <v>467</v>
      </c>
      <c r="GS29" s="87" t="s">
        <v>132</v>
      </c>
      <c r="GT29" s="59"/>
      <c r="GU29" s="93">
        <v>0.04</v>
      </c>
      <c r="GV29" s="85"/>
      <c r="GW29" s="86" t="s">
        <v>124</v>
      </c>
      <c r="GX29" s="87" t="s">
        <v>132</v>
      </c>
      <c r="GY29" s="59"/>
      <c r="GZ29" s="93">
        <v>0.04</v>
      </c>
      <c r="HA29" s="85"/>
      <c r="HB29" s="86" t="s">
        <v>468</v>
      </c>
      <c r="HC29" s="87" t="s">
        <v>132</v>
      </c>
      <c r="HD29" s="59"/>
      <c r="HE29" s="93">
        <v>0.04</v>
      </c>
      <c r="HF29" s="85"/>
      <c r="HG29" s="86" t="s">
        <v>200</v>
      </c>
      <c r="HH29" s="87" t="s">
        <v>132</v>
      </c>
      <c r="HI29" s="59"/>
      <c r="HJ29" s="93">
        <v>0.04</v>
      </c>
      <c r="HK29" s="85"/>
      <c r="HL29" s="86" t="s">
        <v>441</v>
      </c>
      <c r="HM29" s="87" t="s">
        <v>135</v>
      </c>
      <c r="HN29" s="59"/>
      <c r="HO29" s="93">
        <v>0.04</v>
      </c>
      <c r="HP29" s="85"/>
      <c r="HQ29" s="86" t="s">
        <v>469</v>
      </c>
      <c r="HR29" s="87" t="s">
        <v>135</v>
      </c>
      <c r="HS29" s="59"/>
      <c r="HT29" s="93">
        <v>0.04</v>
      </c>
      <c r="HU29" s="85"/>
      <c r="HV29" s="86" t="s">
        <v>470</v>
      </c>
      <c r="HW29" s="87" t="s">
        <v>135</v>
      </c>
      <c r="HX29" s="59"/>
      <c r="HY29" s="93">
        <v>0.04</v>
      </c>
      <c r="HZ29" s="85"/>
      <c r="IA29" s="86" t="s">
        <v>469</v>
      </c>
      <c r="IB29" s="87" t="s">
        <v>135</v>
      </c>
      <c r="IC29" s="59"/>
      <c r="ID29" s="93">
        <v>0.04</v>
      </c>
      <c r="IE29" s="85"/>
      <c r="IF29" s="86" t="s">
        <v>471</v>
      </c>
      <c r="IG29" s="87" t="s">
        <v>135</v>
      </c>
      <c r="IH29" s="59"/>
      <c r="II29" s="93">
        <v>0.04</v>
      </c>
      <c r="IJ29" s="85"/>
      <c r="IK29" s="86" t="s">
        <v>472</v>
      </c>
      <c r="IL29" s="87" t="s">
        <v>140</v>
      </c>
      <c r="IM29" s="59"/>
      <c r="IN29" s="93">
        <v>0.04</v>
      </c>
      <c r="IO29" s="85"/>
      <c r="IP29" s="86" t="s">
        <v>472</v>
      </c>
      <c r="IQ29" s="87" t="s">
        <v>140</v>
      </c>
      <c r="IR29" s="59"/>
      <c r="IS29" s="93">
        <v>0.04</v>
      </c>
      <c r="IT29" s="85"/>
      <c r="IU29" s="86" t="s">
        <v>473</v>
      </c>
      <c r="IV29" s="87" t="s">
        <v>140</v>
      </c>
      <c r="IW29" s="59"/>
      <c r="IX29" s="93">
        <v>0.04</v>
      </c>
      <c r="IY29" s="85"/>
      <c r="IZ29" s="86" t="s">
        <v>587</v>
      </c>
      <c r="JA29" s="88" t="s">
        <v>144</v>
      </c>
      <c r="JB29" s="59"/>
      <c r="JC29" s="93">
        <v>0.04</v>
      </c>
      <c r="JD29" s="85"/>
      <c r="JE29" s="86" t="s">
        <v>426</v>
      </c>
      <c r="JF29" s="88" t="s">
        <v>144</v>
      </c>
      <c r="JG29" s="59"/>
      <c r="JH29" s="93">
        <v>0.04</v>
      </c>
      <c r="JI29" s="85"/>
      <c r="JJ29" s="86" t="s">
        <v>380</v>
      </c>
      <c r="JK29" s="87" t="s">
        <v>146</v>
      </c>
      <c r="JL29" s="59"/>
      <c r="JM29" s="93">
        <v>0.04</v>
      </c>
      <c r="JN29" s="85"/>
      <c r="JO29" s="86" t="s">
        <v>475</v>
      </c>
      <c r="JP29" s="87" t="s">
        <v>146</v>
      </c>
      <c r="JQ29" s="59"/>
      <c r="JR29" s="93">
        <v>0.04</v>
      </c>
      <c r="JS29" s="85"/>
      <c r="JT29" s="86" t="s">
        <v>260</v>
      </c>
      <c r="JU29" s="87" t="s">
        <v>146</v>
      </c>
      <c r="JV29" s="59"/>
      <c r="JW29" s="51"/>
      <c r="JX29" s="59"/>
      <c r="JY29" s="93">
        <v>0.04</v>
      </c>
      <c r="JZ29" s="85"/>
      <c r="KA29" s="86" t="s">
        <v>300</v>
      </c>
      <c r="KB29" s="87" t="s">
        <v>150</v>
      </c>
      <c r="KC29" s="59"/>
      <c r="KD29" s="93">
        <v>0.04</v>
      </c>
      <c r="KE29" s="85"/>
      <c r="KF29" s="86" t="s">
        <v>421</v>
      </c>
      <c r="KG29" s="87" t="s">
        <v>150</v>
      </c>
      <c r="KH29" s="59"/>
      <c r="KI29" s="93">
        <v>0.04</v>
      </c>
      <c r="KJ29" s="85"/>
      <c r="KK29" s="86" t="s">
        <v>425</v>
      </c>
      <c r="KL29" s="87" t="s">
        <v>150</v>
      </c>
      <c r="KM29" s="59"/>
      <c r="KN29" s="93">
        <v>0.04</v>
      </c>
      <c r="KO29" s="85"/>
      <c r="KP29" s="86" t="s">
        <v>333</v>
      </c>
      <c r="KQ29" s="87" t="s">
        <v>150</v>
      </c>
      <c r="KR29" s="59"/>
      <c r="KS29" s="93">
        <v>0.04</v>
      </c>
      <c r="KT29" s="85"/>
      <c r="KU29" s="86" t="s">
        <v>142</v>
      </c>
      <c r="KV29" s="87" t="s">
        <v>150</v>
      </c>
      <c r="KW29" s="59"/>
      <c r="KX29" s="93">
        <v>0.04</v>
      </c>
      <c r="KY29" s="85"/>
      <c r="KZ29" s="86" t="s">
        <v>477</v>
      </c>
      <c r="LA29" s="87" t="s">
        <v>150</v>
      </c>
      <c r="LB29" s="59"/>
      <c r="LC29" s="93">
        <v>0.04</v>
      </c>
      <c r="LD29" s="85"/>
      <c r="LE29" s="86" t="s">
        <v>478</v>
      </c>
      <c r="LF29" s="87" t="s">
        <v>150</v>
      </c>
      <c r="LG29" s="59"/>
      <c r="LH29" s="93">
        <v>0.04</v>
      </c>
      <c r="LI29" s="85"/>
      <c r="LJ29" s="86" t="s">
        <v>247</v>
      </c>
      <c r="LK29" s="87" t="s">
        <v>150</v>
      </c>
      <c r="LL29" s="59"/>
      <c r="LM29" s="93">
        <v>0.04</v>
      </c>
      <c r="LN29" s="85"/>
      <c r="LO29" s="86" t="s">
        <v>459</v>
      </c>
      <c r="LP29" s="87" t="s">
        <v>150</v>
      </c>
      <c r="LQ29" s="59"/>
      <c r="LR29" s="93">
        <v>0.04</v>
      </c>
      <c r="LS29" s="85"/>
      <c r="LT29" s="86" t="s">
        <v>480</v>
      </c>
      <c r="LU29" s="87" t="s">
        <v>150</v>
      </c>
      <c r="LV29" s="59"/>
      <c r="LW29" s="93">
        <v>0.04</v>
      </c>
      <c r="LX29" s="85"/>
      <c r="LY29" s="86" t="s">
        <v>206</v>
      </c>
      <c r="LZ29" s="87" t="s">
        <v>150</v>
      </c>
      <c r="MA29" s="61"/>
      <c r="MB29" s="29"/>
    </row>
    <row r="30" ht="23.25" customHeight="1">
      <c r="A30" s="23"/>
      <c r="B30" s="54"/>
      <c r="C30" s="94">
        <v>0.01</v>
      </c>
      <c r="D30" s="56"/>
      <c r="E30" s="57" t="s">
        <v>488</v>
      </c>
      <c r="F30" s="58">
        <v>44231.0</v>
      </c>
      <c r="G30" s="59"/>
      <c r="H30" s="94">
        <v>0.01</v>
      </c>
      <c r="I30" s="56"/>
      <c r="J30" s="57" t="s">
        <v>238</v>
      </c>
      <c r="K30" s="58">
        <v>44625.0</v>
      </c>
      <c r="L30" s="59"/>
      <c r="M30" s="94">
        <v>0.01</v>
      </c>
      <c r="N30" s="56"/>
      <c r="O30" s="57" t="s">
        <v>489</v>
      </c>
      <c r="P30" s="58">
        <v>44625.0</v>
      </c>
      <c r="Q30" s="59"/>
      <c r="R30" s="94">
        <v>0.01</v>
      </c>
      <c r="S30" s="56"/>
      <c r="T30" s="57" t="s">
        <v>640</v>
      </c>
      <c r="U30" s="58">
        <v>45022.0</v>
      </c>
      <c r="V30" s="59"/>
      <c r="W30" s="94">
        <v>0.01</v>
      </c>
      <c r="X30" s="56"/>
      <c r="Y30" s="57" t="s">
        <v>491</v>
      </c>
      <c r="Z30" s="58">
        <v>44625.0</v>
      </c>
      <c r="AA30" s="59"/>
      <c r="AB30" s="94">
        <v>0.01</v>
      </c>
      <c r="AC30" s="56"/>
      <c r="AD30" s="57" t="s">
        <v>641</v>
      </c>
      <c r="AE30" s="58">
        <v>44657.0</v>
      </c>
      <c r="AF30" s="59"/>
      <c r="AG30" s="94">
        <v>0.01</v>
      </c>
      <c r="AH30" s="56"/>
      <c r="AI30" s="57" t="s">
        <v>493</v>
      </c>
      <c r="AJ30" s="58">
        <v>44657.0</v>
      </c>
      <c r="AK30" s="59"/>
      <c r="AL30" s="94">
        <v>0.01</v>
      </c>
      <c r="AM30" s="56"/>
      <c r="AN30" s="57" t="s">
        <v>494</v>
      </c>
      <c r="AO30" s="58">
        <v>44751.0</v>
      </c>
      <c r="AP30" s="59"/>
      <c r="AQ30" s="94">
        <v>0.01</v>
      </c>
      <c r="AR30" s="56"/>
      <c r="AS30" s="57" t="s">
        <v>495</v>
      </c>
      <c r="AT30" s="58">
        <v>44751.0</v>
      </c>
      <c r="AU30" s="59"/>
      <c r="AV30" s="94">
        <v>0.01</v>
      </c>
      <c r="AW30" s="56"/>
      <c r="AX30" s="57" t="s">
        <v>496</v>
      </c>
      <c r="AY30" s="58">
        <v>44846.0</v>
      </c>
      <c r="AZ30" s="59"/>
      <c r="BA30" s="94">
        <v>0.01</v>
      </c>
      <c r="BB30" s="56"/>
      <c r="BC30" s="57" t="s">
        <v>497</v>
      </c>
      <c r="BD30" s="58">
        <v>44909.0</v>
      </c>
      <c r="BE30" s="59"/>
      <c r="BF30" s="94">
        <v>0.01</v>
      </c>
      <c r="BG30" s="56"/>
      <c r="BH30" s="57" t="s">
        <v>394</v>
      </c>
      <c r="BI30" s="58">
        <v>44909.0</v>
      </c>
      <c r="BJ30" s="59"/>
      <c r="BK30" s="94">
        <v>0.01</v>
      </c>
      <c r="BL30" s="56"/>
      <c r="BM30" s="57" t="s">
        <v>498</v>
      </c>
      <c r="BN30" s="58">
        <v>44909.0</v>
      </c>
      <c r="BO30" s="59"/>
      <c r="BP30" s="94">
        <v>0.01</v>
      </c>
      <c r="BQ30" s="56"/>
      <c r="BR30" s="57" t="s">
        <v>185</v>
      </c>
      <c r="BS30" s="58" t="s">
        <v>95</v>
      </c>
      <c r="BT30" s="59"/>
      <c r="BU30" s="94">
        <v>0.01</v>
      </c>
      <c r="BV30" s="56"/>
      <c r="BW30" s="57" t="s">
        <v>499</v>
      </c>
      <c r="BX30" s="58" t="s">
        <v>97</v>
      </c>
      <c r="BY30" s="59"/>
      <c r="BZ30" s="94">
        <v>0.01</v>
      </c>
      <c r="CA30" s="56"/>
      <c r="CB30" s="57" t="s">
        <v>198</v>
      </c>
      <c r="CC30" s="58" t="s">
        <v>99</v>
      </c>
      <c r="CD30" s="59"/>
      <c r="CE30" s="94">
        <v>0.01</v>
      </c>
      <c r="CF30" s="56"/>
      <c r="CG30" s="57" t="s">
        <v>501</v>
      </c>
      <c r="CH30" s="58" t="s">
        <v>101</v>
      </c>
      <c r="CI30" s="59"/>
      <c r="CJ30" s="94">
        <v>0.01</v>
      </c>
      <c r="CK30" s="56"/>
      <c r="CL30" s="57" t="s">
        <v>502</v>
      </c>
      <c r="CM30" s="58" t="s">
        <v>99</v>
      </c>
      <c r="CN30" s="59"/>
      <c r="CO30" s="94">
        <v>0.01</v>
      </c>
      <c r="CP30" s="56"/>
      <c r="CQ30" s="57" t="s">
        <v>413</v>
      </c>
      <c r="CR30" s="58" t="s">
        <v>104</v>
      </c>
      <c r="CS30" s="59"/>
      <c r="CT30" s="94">
        <v>0.01</v>
      </c>
      <c r="CU30" s="56"/>
      <c r="CV30" s="57" t="s">
        <v>503</v>
      </c>
      <c r="CW30" s="58" t="s">
        <v>104</v>
      </c>
      <c r="CX30" s="59"/>
      <c r="CY30" s="94">
        <v>0.01</v>
      </c>
      <c r="CZ30" s="56"/>
      <c r="DA30" s="57" t="s">
        <v>294</v>
      </c>
      <c r="DB30" s="58" t="s">
        <v>106</v>
      </c>
      <c r="DC30" s="59"/>
      <c r="DD30" s="94">
        <v>0.01</v>
      </c>
      <c r="DE30" s="56"/>
      <c r="DF30" s="57" t="s">
        <v>642</v>
      </c>
      <c r="DG30" s="58" t="s">
        <v>108</v>
      </c>
      <c r="DH30" s="59"/>
      <c r="DI30" s="94">
        <v>0.01</v>
      </c>
      <c r="DJ30" s="56"/>
      <c r="DK30" s="57" t="s">
        <v>372</v>
      </c>
      <c r="DL30" s="58" t="s">
        <v>110</v>
      </c>
      <c r="DM30" s="59"/>
      <c r="DN30" s="94">
        <v>0.01</v>
      </c>
      <c r="DO30" s="56"/>
      <c r="DP30" s="57" t="s">
        <v>504</v>
      </c>
      <c r="DQ30" s="58" t="s">
        <v>112</v>
      </c>
      <c r="DR30" s="59"/>
      <c r="DS30" s="94">
        <v>0.01</v>
      </c>
      <c r="DT30" s="56"/>
      <c r="DU30" s="57" t="s">
        <v>505</v>
      </c>
      <c r="DV30" s="58" t="s">
        <v>114</v>
      </c>
      <c r="DW30" s="59"/>
      <c r="DX30" s="94">
        <v>0.01</v>
      </c>
      <c r="DY30" s="56"/>
      <c r="DZ30" s="57" t="s">
        <v>462</v>
      </c>
      <c r="EA30" s="58" t="s">
        <v>116</v>
      </c>
      <c r="EB30" s="59"/>
      <c r="EC30" s="94">
        <v>0.01</v>
      </c>
      <c r="ED30" s="56"/>
      <c r="EE30" s="57" t="s">
        <v>507</v>
      </c>
      <c r="EF30" s="58" t="s">
        <v>118</v>
      </c>
      <c r="EG30" s="59"/>
      <c r="EH30" s="94">
        <v>0.01</v>
      </c>
      <c r="EI30" s="56"/>
      <c r="EJ30" s="57" t="s">
        <v>507</v>
      </c>
      <c r="EK30" s="58" t="s">
        <v>118</v>
      </c>
      <c r="EL30" s="59"/>
      <c r="EM30" s="94">
        <v>0.01</v>
      </c>
      <c r="EN30" s="56"/>
      <c r="EO30" s="57" t="s">
        <v>507</v>
      </c>
      <c r="EP30" s="58" t="s">
        <v>118</v>
      </c>
      <c r="EQ30" s="59"/>
      <c r="ER30" s="94">
        <v>0.01</v>
      </c>
      <c r="ES30" s="56"/>
      <c r="ET30" s="57" t="s">
        <v>508</v>
      </c>
      <c r="EU30" s="58" t="s">
        <v>118</v>
      </c>
      <c r="EV30" s="59"/>
      <c r="EW30" s="94">
        <v>0.01</v>
      </c>
      <c r="EX30" s="56"/>
      <c r="EY30" s="57" t="s">
        <v>509</v>
      </c>
      <c r="EZ30" s="58" t="s">
        <v>114</v>
      </c>
      <c r="FA30" s="59"/>
      <c r="FB30" s="94">
        <v>0.01</v>
      </c>
      <c r="FC30" s="56"/>
      <c r="FD30" s="57" t="s">
        <v>510</v>
      </c>
      <c r="FE30" s="58" t="s">
        <v>121</v>
      </c>
      <c r="FF30" s="59"/>
      <c r="FG30" s="94">
        <v>0.01</v>
      </c>
      <c r="FH30" s="56"/>
      <c r="FI30" s="57" t="s">
        <v>511</v>
      </c>
      <c r="FJ30" s="58" t="s">
        <v>123</v>
      </c>
      <c r="FK30" s="59"/>
      <c r="FL30" s="94">
        <v>0.01</v>
      </c>
      <c r="FM30" s="56"/>
      <c r="FN30" s="57" t="s">
        <v>511</v>
      </c>
      <c r="FO30" s="58" t="s">
        <v>125</v>
      </c>
      <c r="FP30" s="59"/>
      <c r="FQ30" s="94">
        <v>0.01</v>
      </c>
      <c r="FR30" s="56"/>
      <c r="FS30" s="57" t="s">
        <v>341</v>
      </c>
      <c r="FT30" s="58" t="s">
        <v>127</v>
      </c>
      <c r="FU30" s="59"/>
      <c r="FV30" s="94">
        <v>0.01</v>
      </c>
      <c r="FW30" s="56"/>
      <c r="FX30" s="57" t="s">
        <v>513</v>
      </c>
      <c r="FY30" s="58" t="s">
        <v>127</v>
      </c>
      <c r="FZ30" s="59"/>
      <c r="GA30" s="94">
        <v>0.01</v>
      </c>
      <c r="GB30" s="56"/>
      <c r="GC30" s="57" t="s">
        <v>514</v>
      </c>
      <c r="GD30" s="58" t="s">
        <v>123</v>
      </c>
      <c r="GE30" s="59"/>
      <c r="GF30" s="94">
        <v>0.01</v>
      </c>
      <c r="GG30" s="56"/>
      <c r="GH30" s="57" t="s">
        <v>515</v>
      </c>
      <c r="GI30" s="58" t="s">
        <v>116</v>
      </c>
      <c r="GJ30" s="59"/>
      <c r="GK30" s="94">
        <v>0.01</v>
      </c>
      <c r="GL30" s="56"/>
      <c r="GM30" s="57" t="s">
        <v>516</v>
      </c>
      <c r="GN30" s="58" t="s">
        <v>132</v>
      </c>
      <c r="GO30" s="59"/>
      <c r="GP30" s="94">
        <v>0.01</v>
      </c>
      <c r="GQ30" s="56"/>
      <c r="GR30" s="57" t="s">
        <v>517</v>
      </c>
      <c r="GS30" s="58" t="s">
        <v>132</v>
      </c>
      <c r="GT30" s="59"/>
      <c r="GU30" s="94">
        <v>0.01</v>
      </c>
      <c r="GV30" s="56"/>
      <c r="GW30" s="57" t="s">
        <v>517</v>
      </c>
      <c r="GX30" s="58" t="s">
        <v>132</v>
      </c>
      <c r="GY30" s="59"/>
      <c r="GZ30" s="94">
        <v>0.01</v>
      </c>
      <c r="HA30" s="56"/>
      <c r="HB30" s="57" t="s">
        <v>516</v>
      </c>
      <c r="HC30" s="58" t="s">
        <v>132</v>
      </c>
      <c r="HD30" s="59"/>
      <c r="HE30" s="94">
        <v>0.01</v>
      </c>
      <c r="HF30" s="56"/>
      <c r="HG30" s="57" t="s">
        <v>516</v>
      </c>
      <c r="HH30" s="58" t="s">
        <v>132</v>
      </c>
      <c r="HI30" s="59"/>
      <c r="HJ30" s="94">
        <v>0.01</v>
      </c>
      <c r="HK30" s="56"/>
      <c r="HL30" s="57" t="s">
        <v>518</v>
      </c>
      <c r="HM30" s="58" t="s">
        <v>135</v>
      </c>
      <c r="HN30" s="59"/>
      <c r="HO30" s="94">
        <v>0.01</v>
      </c>
      <c r="HP30" s="56"/>
      <c r="HQ30" s="57" t="s">
        <v>518</v>
      </c>
      <c r="HR30" s="58" t="s">
        <v>135</v>
      </c>
      <c r="HS30" s="59"/>
      <c r="HT30" s="94">
        <v>0.01</v>
      </c>
      <c r="HU30" s="56"/>
      <c r="HV30" s="57" t="s">
        <v>518</v>
      </c>
      <c r="HW30" s="58" t="s">
        <v>135</v>
      </c>
      <c r="HX30" s="59"/>
      <c r="HY30" s="94">
        <v>0.01</v>
      </c>
      <c r="HZ30" s="56"/>
      <c r="IA30" s="57" t="s">
        <v>518</v>
      </c>
      <c r="IB30" s="58" t="s">
        <v>135</v>
      </c>
      <c r="IC30" s="59"/>
      <c r="ID30" s="94">
        <v>0.01</v>
      </c>
      <c r="IE30" s="56"/>
      <c r="IF30" s="57" t="s">
        <v>471</v>
      </c>
      <c r="IG30" s="58" t="s">
        <v>135</v>
      </c>
      <c r="IH30" s="59"/>
      <c r="II30" s="94">
        <v>0.01</v>
      </c>
      <c r="IJ30" s="56"/>
      <c r="IK30" s="57" t="s">
        <v>519</v>
      </c>
      <c r="IL30" s="58" t="s">
        <v>140</v>
      </c>
      <c r="IM30" s="59"/>
      <c r="IN30" s="94">
        <v>0.01</v>
      </c>
      <c r="IO30" s="56"/>
      <c r="IP30" s="57" t="s">
        <v>519</v>
      </c>
      <c r="IQ30" s="58" t="s">
        <v>140</v>
      </c>
      <c r="IR30" s="59"/>
      <c r="IS30" s="94">
        <v>0.01</v>
      </c>
      <c r="IT30" s="56"/>
      <c r="IU30" s="57" t="s">
        <v>519</v>
      </c>
      <c r="IV30" s="58" t="s">
        <v>140</v>
      </c>
      <c r="IW30" s="59"/>
      <c r="IX30" s="94">
        <v>0.01</v>
      </c>
      <c r="IY30" s="56"/>
      <c r="IZ30" s="57" t="s">
        <v>143</v>
      </c>
      <c r="JA30" s="60" t="s">
        <v>144</v>
      </c>
      <c r="JB30" s="59"/>
      <c r="JC30" s="94">
        <v>0.01</v>
      </c>
      <c r="JD30" s="56"/>
      <c r="JE30" s="57" t="s">
        <v>143</v>
      </c>
      <c r="JF30" s="60" t="s">
        <v>144</v>
      </c>
      <c r="JG30" s="59"/>
      <c r="JH30" s="94">
        <v>0.01</v>
      </c>
      <c r="JI30" s="56"/>
      <c r="JJ30" s="57" t="s">
        <v>203</v>
      </c>
      <c r="JK30" s="58" t="s">
        <v>146</v>
      </c>
      <c r="JL30" s="59"/>
      <c r="JM30" s="94">
        <v>0.01</v>
      </c>
      <c r="JN30" s="56"/>
      <c r="JO30" s="57" t="s">
        <v>147</v>
      </c>
      <c r="JP30" s="58" t="s">
        <v>146</v>
      </c>
      <c r="JQ30" s="59"/>
      <c r="JR30" s="94">
        <v>0.01</v>
      </c>
      <c r="JS30" s="56"/>
      <c r="JT30" s="57" t="s">
        <v>559</v>
      </c>
      <c r="JU30" s="58" t="s">
        <v>146</v>
      </c>
      <c r="JV30" s="59"/>
      <c r="JW30" s="51"/>
      <c r="JX30" s="59"/>
      <c r="JY30" s="94">
        <v>0.01</v>
      </c>
      <c r="JZ30" s="56"/>
      <c r="KA30" s="57" t="s">
        <v>300</v>
      </c>
      <c r="KB30" s="58" t="s">
        <v>150</v>
      </c>
      <c r="KC30" s="59"/>
      <c r="KD30" s="94">
        <v>0.01</v>
      </c>
      <c r="KE30" s="56"/>
      <c r="KF30" s="57" t="s">
        <v>421</v>
      </c>
      <c r="KG30" s="58" t="s">
        <v>150</v>
      </c>
      <c r="KH30" s="59"/>
      <c r="KI30" s="94">
        <v>0.01</v>
      </c>
      <c r="KJ30" s="56"/>
      <c r="KK30" s="57" t="s">
        <v>425</v>
      </c>
      <c r="KL30" s="58" t="s">
        <v>150</v>
      </c>
      <c r="KM30" s="59"/>
      <c r="KN30" s="94">
        <v>0.01</v>
      </c>
      <c r="KO30" s="56"/>
      <c r="KP30" s="57" t="s">
        <v>520</v>
      </c>
      <c r="KQ30" s="58" t="s">
        <v>150</v>
      </c>
      <c r="KR30" s="59"/>
      <c r="KS30" s="94">
        <v>0.01</v>
      </c>
      <c r="KT30" s="56"/>
      <c r="KU30" s="57" t="s">
        <v>520</v>
      </c>
      <c r="KV30" s="58" t="s">
        <v>150</v>
      </c>
      <c r="KW30" s="59"/>
      <c r="KX30" s="94">
        <v>0.01</v>
      </c>
      <c r="KY30" s="56"/>
      <c r="KZ30" s="57" t="s">
        <v>521</v>
      </c>
      <c r="LA30" s="58" t="s">
        <v>150</v>
      </c>
      <c r="LB30" s="59"/>
      <c r="LC30" s="94">
        <v>0.01</v>
      </c>
      <c r="LD30" s="56"/>
      <c r="LE30" s="57" t="s">
        <v>522</v>
      </c>
      <c r="LF30" s="58" t="s">
        <v>150</v>
      </c>
      <c r="LG30" s="59"/>
      <c r="LH30" s="94">
        <v>0.01</v>
      </c>
      <c r="LI30" s="56"/>
      <c r="LJ30" s="57" t="s">
        <v>372</v>
      </c>
      <c r="LK30" s="58" t="s">
        <v>150</v>
      </c>
      <c r="LL30" s="59"/>
      <c r="LM30" s="94">
        <v>0.01</v>
      </c>
      <c r="LN30" s="56"/>
      <c r="LO30" s="57" t="s">
        <v>348</v>
      </c>
      <c r="LP30" s="58" t="s">
        <v>150</v>
      </c>
      <c r="LQ30" s="59"/>
      <c r="LR30" s="94">
        <v>0.01</v>
      </c>
      <c r="LS30" s="56"/>
      <c r="LT30" s="57" t="s">
        <v>349</v>
      </c>
      <c r="LU30" s="58" t="s">
        <v>150</v>
      </c>
      <c r="LV30" s="59"/>
      <c r="LW30" s="94">
        <v>0.01</v>
      </c>
      <c r="LX30" s="56"/>
      <c r="LY30" s="57" t="s">
        <v>523</v>
      </c>
      <c r="LZ30" s="58" t="s">
        <v>150</v>
      </c>
      <c r="MA30" s="61"/>
      <c r="MB30" s="29"/>
    </row>
    <row r="31" ht="24.0" customHeight="1">
      <c r="A31" s="23"/>
      <c r="B31" s="54"/>
      <c r="C31" s="95">
        <v>0.01</v>
      </c>
      <c r="D31" s="96"/>
      <c r="E31" s="97" t="s">
        <v>488</v>
      </c>
      <c r="F31" s="98">
        <v>44231.0</v>
      </c>
      <c r="G31" s="59"/>
      <c r="H31" s="95">
        <v>0.01</v>
      </c>
      <c r="I31" s="96"/>
      <c r="J31" s="97" t="s">
        <v>238</v>
      </c>
      <c r="K31" s="98">
        <v>44625.0</v>
      </c>
      <c r="L31" s="59"/>
      <c r="M31" s="95">
        <v>0.01</v>
      </c>
      <c r="N31" s="96"/>
      <c r="O31" s="97" t="s">
        <v>489</v>
      </c>
      <c r="P31" s="98">
        <v>44625.0</v>
      </c>
      <c r="Q31" s="59"/>
      <c r="R31" s="95">
        <v>0.01</v>
      </c>
      <c r="S31" s="96"/>
      <c r="T31" s="97" t="s">
        <v>640</v>
      </c>
      <c r="U31" s="98">
        <v>45022.0</v>
      </c>
      <c r="V31" s="59"/>
      <c r="W31" s="95">
        <v>0.01</v>
      </c>
      <c r="X31" s="96"/>
      <c r="Y31" s="97" t="s">
        <v>491</v>
      </c>
      <c r="Z31" s="98">
        <v>44625.0</v>
      </c>
      <c r="AA31" s="59"/>
      <c r="AB31" s="95">
        <v>0.01</v>
      </c>
      <c r="AC31" s="96"/>
      <c r="AD31" s="97" t="s">
        <v>641</v>
      </c>
      <c r="AE31" s="98">
        <v>44657.0</v>
      </c>
      <c r="AF31" s="59"/>
      <c r="AG31" s="95">
        <v>0.01</v>
      </c>
      <c r="AH31" s="96"/>
      <c r="AI31" s="97" t="s">
        <v>493</v>
      </c>
      <c r="AJ31" s="98">
        <v>44657.0</v>
      </c>
      <c r="AK31" s="59"/>
      <c r="AL31" s="95">
        <v>0.01</v>
      </c>
      <c r="AM31" s="96"/>
      <c r="AN31" s="97" t="s">
        <v>494</v>
      </c>
      <c r="AO31" s="98">
        <v>44751.0</v>
      </c>
      <c r="AP31" s="59"/>
      <c r="AQ31" s="95">
        <v>0.01</v>
      </c>
      <c r="AR31" s="96"/>
      <c r="AS31" s="97" t="s">
        <v>368</v>
      </c>
      <c r="AT31" s="98">
        <v>44751.0</v>
      </c>
      <c r="AU31" s="59"/>
      <c r="AV31" s="95">
        <v>0.01</v>
      </c>
      <c r="AW31" s="96"/>
      <c r="AX31" s="97" t="s">
        <v>524</v>
      </c>
      <c r="AY31" s="98">
        <v>44846.0</v>
      </c>
      <c r="AZ31" s="59"/>
      <c r="BA31" s="95">
        <v>0.01</v>
      </c>
      <c r="BB31" s="96"/>
      <c r="BC31" s="97" t="s">
        <v>598</v>
      </c>
      <c r="BD31" s="98">
        <v>44909.0</v>
      </c>
      <c r="BE31" s="59"/>
      <c r="BF31" s="95">
        <v>0.01</v>
      </c>
      <c r="BG31" s="96"/>
      <c r="BH31" s="97" t="s">
        <v>525</v>
      </c>
      <c r="BI31" s="98">
        <v>44909.0</v>
      </c>
      <c r="BJ31" s="59"/>
      <c r="BK31" s="95">
        <v>0.01</v>
      </c>
      <c r="BL31" s="96"/>
      <c r="BM31" s="97" t="s">
        <v>498</v>
      </c>
      <c r="BN31" s="98">
        <v>44909.0</v>
      </c>
      <c r="BO31" s="59"/>
      <c r="BP31" s="95">
        <v>0.01</v>
      </c>
      <c r="BQ31" s="96"/>
      <c r="BR31" s="97" t="s">
        <v>526</v>
      </c>
      <c r="BS31" s="98" t="s">
        <v>95</v>
      </c>
      <c r="BT31" s="59"/>
      <c r="BU31" s="95">
        <v>0.01</v>
      </c>
      <c r="BV31" s="96"/>
      <c r="BW31" s="97" t="s">
        <v>499</v>
      </c>
      <c r="BX31" s="98" t="s">
        <v>97</v>
      </c>
      <c r="BY31" s="59"/>
      <c r="BZ31" s="95">
        <v>0.01</v>
      </c>
      <c r="CA31" s="96"/>
      <c r="CB31" s="97" t="s">
        <v>198</v>
      </c>
      <c r="CC31" s="98" t="s">
        <v>99</v>
      </c>
      <c r="CD31" s="59"/>
      <c r="CE31" s="95">
        <v>0.01</v>
      </c>
      <c r="CF31" s="96"/>
      <c r="CG31" s="97" t="s">
        <v>501</v>
      </c>
      <c r="CH31" s="98" t="s">
        <v>101</v>
      </c>
      <c r="CI31" s="59"/>
      <c r="CJ31" s="95">
        <v>0.01</v>
      </c>
      <c r="CK31" s="96"/>
      <c r="CL31" s="97" t="s">
        <v>502</v>
      </c>
      <c r="CM31" s="98" t="s">
        <v>99</v>
      </c>
      <c r="CN31" s="59"/>
      <c r="CO31" s="95">
        <v>0.01</v>
      </c>
      <c r="CP31" s="96"/>
      <c r="CQ31" s="97" t="s">
        <v>413</v>
      </c>
      <c r="CR31" s="98" t="s">
        <v>104</v>
      </c>
      <c r="CS31" s="59"/>
      <c r="CT31" s="95">
        <v>0.01</v>
      </c>
      <c r="CU31" s="96"/>
      <c r="CV31" s="97" t="s">
        <v>503</v>
      </c>
      <c r="CW31" s="98" t="s">
        <v>104</v>
      </c>
      <c r="CX31" s="59"/>
      <c r="CY31" s="95">
        <v>0.01</v>
      </c>
      <c r="CZ31" s="96"/>
      <c r="DA31" s="97" t="s">
        <v>294</v>
      </c>
      <c r="DB31" s="98" t="s">
        <v>106</v>
      </c>
      <c r="DC31" s="59"/>
      <c r="DD31" s="95">
        <v>0.01</v>
      </c>
      <c r="DE31" s="96"/>
      <c r="DF31" s="97" t="s">
        <v>642</v>
      </c>
      <c r="DG31" s="98" t="s">
        <v>108</v>
      </c>
      <c r="DH31" s="59"/>
      <c r="DI31" s="95">
        <v>0.01</v>
      </c>
      <c r="DJ31" s="96"/>
      <c r="DK31" s="97" t="s">
        <v>372</v>
      </c>
      <c r="DL31" s="98" t="s">
        <v>110</v>
      </c>
      <c r="DM31" s="59"/>
      <c r="DN31" s="95">
        <v>0.01</v>
      </c>
      <c r="DO31" s="96"/>
      <c r="DP31" s="97" t="s">
        <v>504</v>
      </c>
      <c r="DQ31" s="98" t="s">
        <v>112</v>
      </c>
      <c r="DR31" s="59"/>
      <c r="DS31" s="95">
        <v>0.01</v>
      </c>
      <c r="DT31" s="96"/>
      <c r="DU31" s="97" t="s">
        <v>505</v>
      </c>
      <c r="DV31" s="98" t="s">
        <v>114</v>
      </c>
      <c r="DW31" s="59"/>
      <c r="DX31" s="95">
        <v>0.01</v>
      </c>
      <c r="DY31" s="96"/>
      <c r="DZ31" s="97" t="s">
        <v>462</v>
      </c>
      <c r="EA31" s="98" t="s">
        <v>116</v>
      </c>
      <c r="EB31" s="59"/>
      <c r="EC31" s="95">
        <v>0.01</v>
      </c>
      <c r="ED31" s="96"/>
      <c r="EE31" s="97" t="s">
        <v>507</v>
      </c>
      <c r="EF31" s="98" t="s">
        <v>118</v>
      </c>
      <c r="EG31" s="59"/>
      <c r="EH31" s="95">
        <v>0.01</v>
      </c>
      <c r="EI31" s="96"/>
      <c r="EJ31" s="97" t="s">
        <v>507</v>
      </c>
      <c r="EK31" s="98" t="s">
        <v>118</v>
      </c>
      <c r="EL31" s="59"/>
      <c r="EM31" s="95">
        <v>0.01</v>
      </c>
      <c r="EN31" s="96"/>
      <c r="EO31" s="97" t="s">
        <v>507</v>
      </c>
      <c r="EP31" s="98" t="s">
        <v>118</v>
      </c>
      <c r="EQ31" s="59"/>
      <c r="ER31" s="95">
        <v>0.01</v>
      </c>
      <c r="ES31" s="96"/>
      <c r="ET31" s="97" t="s">
        <v>508</v>
      </c>
      <c r="EU31" s="98" t="s">
        <v>118</v>
      </c>
      <c r="EV31" s="59"/>
      <c r="EW31" s="95">
        <v>0.01</v>
      </c>
      <c r="EX31" s="96"/>
      <c r="EY31" s="97" t="s">
        <v>325</v>
      </c>
      <c r="EZ31" s="98" t="s">
        <v>114</v>
      </c>
      <c r="FA31" s="59"/>
      <c r="FB31" s="95">
        <v>0.01</v>
      </c>
      <c r="FC31" s="96"/>
      <c r="FD31" s="97" t="s">
        <v>510</v>
      </c>
      <c r="FE31" s="98" t="s">
        <v>121</v>
      </c>
      <c r="FF31" s="59"/>
      <c r="FG31" s="95">
        <v>0.01</v>
      </c>
      <c r="FH31" s="96"/>
      <c r="FI31" s="97" t="s">
        <v>527</v>
      </c>
      <c r="FJ31" s="98" t="s">
        <v>123</v>
      </c>
      <c r="FK31" s="59"/>
      <c r="FL31" s="95">
        <v>0.01</v>
      </c>
      <c r="FM31" s="96"/>
      <c r="FN31" s="97" t="s">
        <v>528</v>
      </c>
      <c r="FO31" s="98" t="s">
        <v>125</v>
      </c>
      <c r="FP31" s="59"/>
      <c r="FQ31" s="95">
        <v>0.01</v>
      </c>
      <c r="FR31" s="96"/>
      <c r="FS31" s="97" t="s">
        <v>341</v>
      </c>
      <c r="FT31" s="98" t="s">
        <v>127</v>
      </c>
      <c r="FU31" s="59"/>
      <c r="FV31" s="95">
        <v>0.01</v>
      </c>
      <c r="FW31" s="96"/>
      <c r="FX31" s="97" t="s">
        <v>513</v>
      </c>
      <c r="FY31" s="98" t="s">
        <v>127</v>
      </c>
      <c r="FZ31" s="59"/>
      <c r="GA31" s="95">
        <v>0.01</v>
      </c>
      <c r="GB31" s="96"/>
      <c r="GC31" s="97" t="s">
        <v>514</v>
      </c>
      <c r="GD31" s="98" t="s">
        <v>123</v>
      </c>
      <c r="GE31" s="59"/>
      <c r="GF31" s="95">
        <v>0.01</v>
      </c>
      <c r="GG31" s="96"/>
      <c r="GH31" s="97" t="s">
        <v>515</v>
      </c>
      <c r="GI31" s="98" t="s">
        <v>116</v>
      </c>
      <c r="GJ31" s="59"/>
      <c r="GK31" s="95">
        <v>0.01</v>
      </c>
      <c r="GL31" s="96"/>
      <c r="GM31" s="97" t="s">
        <v>516</v>
      </c>
      <c r="GN31" s="98" t="s">
        <v>132</v>
      </c>
      <c r="GO31" s="59"/>
      <c r="GP31" s="95">
        <v>0.01</v>
      </c>
      <c r="GQ31" s="96"/>
      <c r="GR31" s="97" t="s">
        <v>517</v>
      </c>
      <c r="GS31" s="98" t="s">
        <v>132</v>
      </c>
      <c r="GT31" s="59"/>
      <c r="GU31" s="95">
        <v>0.01</v>
      </c>
      <c r="GV31" s="96"/>
      <c r="GW31" s="97" t="s">
        <v>517</v>
      </c>
      <c r="GX31" s="98" t="s">
        <v>132</v>
      </c>
      <c r="GY31" s="59"/>
      <c r="GZ31" s="95">
        <v>0.01</v>
      </c>
      <c r="HA31" s="96"/>
      <c r="HB31" s="97" t="s">
        <v>516</v>
      </c>
      <c r="HC31" s="98" t="s">
        <v>132</v>
      </c>
      <c r="HD31" s="59"/>
      <c r="HE31" s="95">
        <v>0.01</v>
      </c>
      <c r="HF31" s="96"/>
      <c r="HG31" s="97" t="s">
        <v>516</v>
      </c>
      <c r="HH31" s="98" t="s">
        <v>132</v>
      </c>
      <c r="HI31" s="59"/>
      <c r="HJ31" s="95">
        <v>0.01</v>
      </c>
      <c r="HK31" s="96"/>
      <c r="HL31" s="97" t="s">
        <v>518</v>
      </c>
      <c r="HM31" s="98" t="s">
        <v>135</v>
      </c>
      <c r="HN31" s="59"/>
      <c r="HO31" s="95">
        <v>0.01</v>
      </c>
      <c r="HP31" s="96"/>
      <c r="HQ31" s="97" t="s">
        <v>518</v>
      </c>
      <c r="HR31" s="98" t="s">
        <v>135</v>
      </c>
      <c r="HS31" s="59"/>
      <c r="HT31" s="95">
        <v>0.01</v>
      </c>
      <c r="HU31" s="96"/>
      <c r="HV31" s="97" t="s">
        <v>518</v>
      </c>
      <c r="HW31" s="98" t="s">
        <v>135</v>
      </c>
      <c r="HX31" s="59"/>
      <c r="HY31" s="95">
        <v>0.01</v>
      </c>
      <c r="HZ31" s="96"/>
      <c r="IA31" s="97" t="s">
        <v>518</v>
      </c>
      <c r="IB31" s="98" t="s">
        <v>135</v>
      </c>
      <c r="IC31" s="59"/>
      <c r="ID31" s="95">
        <v>0.01</v>
      </c>
      <c r="IE31" s="96"/>
      <c r="IF31" s="97" t="s">
        <v>471</v>
      </c>
      <c r="IG31" s="98" t="s">
        <v>135</v>
      </c>
      <c r="IH31" s="59"/>
      <c r="II31" s="95">
        <v>0.01</v>
      </c>
      <c r="IJ31" s="96"/>
      <c r="IK31" s="97" t="s">
        <v>519</v>
      </c>
      <c r="IL31" s="98" t="s">
        <v>140</v>
      </c>
      <c r="IM31" s="59"/>
      <c r="IN31" s="95">
        <v>0.01</v>
      </c>
      <c r="IO31" s="96"/>
      <c r="IP31" s="97" t="s">
        <v>519</v>
      </c>
      <c r="IQ31" s="98" t="s">
        <v>140</v>
      </c>
      <c r="IR31" s="59"/>
      <c r="IS31" s="95">
        <v>0.01</v>
      </c>
      <c r="IT31" s="96"/>
      <c r="IU31" s="97" t="s">
        <v>519</v>
      </c>
      <c r="IV31" s="98" t="s">
        <v>140</v>
      </c>
      <c r="IW31" s="59"/>
      <c r="IX31" s="95">
        <v>0.01</v>
      </c>
      <c r="IY31" s="96"/>
      <c r="IZ31" s="97" t="s">
        <v>143</v>
      </c>
      <c r="JA31" s="99" t="s">
        <v>144</v>
      </c>
      <c r="JB31" s="59"/>
      <c r="JC31" s="95">
        <v>0.01</v>
      </c>
      <c r="JD31" s="96"/>
      <c r="JE31" s="97" t="s">
        <v>143</v>
      </c>
      <c r="JF31" s="99" t="s">
        <v>144</v>
      </c>
      <c r="JG31" s="59"/>
      <c r="JH31" s="95">
        <v>0.01</v>
      </c>
      <c r="JI31" s="96"/>
      <c r="JJ31" s="97" t="s">
        <v>380</v>
      </c>
      <c r="JK31" s="98" t="s">
        <v>146</v>
      </c>
      <c r="JL31" s="59"/>
      <c r="JM31" s="95">
        <v>0.01</v>
      </c>
      <c r="JN31" s="96"/>
      <c r="JO31" s="97" t="s">
        <v>259</v>
      </c>
      <c r="JP31" s="98" t="s">
        <v>146</v>
      </c>
      <c r="JQ31" s="59"/>
      <c r="JR31" s="95">
        <v>0.01</v>
      </c>
      <c r="JS31" s="96"/>
      <c r="JT31" s="97" t="s">
        <v>148</v>
      </c>
      <c r="JU31" s="98" t="s">
        <v>146</v>
      </c>
      <c r="JV31" s="59"/>
      <c r="JW31" s="107"/>
      <c r="JX31" s="59"/>
      <c r="JY31" s="95">
        <v>0.01</v>
      </c>
      <c r="JZ31" s="96"/>
      <c r="KA31" s="97" t="s">
        <v>300</v>
      </c>
      <c r="KB31" s="98" t="s">
        <v>150</v>
      </c>
      <c r="KC31" s="59"/>
      <c r="KD31" s="95">
        <v>0.01</v>
      </c>
      <c r="KE31" s="96"/>
      <c r="KF31" s="97" t="s">
        <v>421</v>
      </c>
      <c r="KG31" s="98" t="s">
        <v>150</v>
      </c>
      <c r="KH31" s="59"/>
      <c r="KI31" s="95">
        <v>0.01</v>
      </c>
      <c r="KJ31" s="96"/>
      <c r="KK31" s="97" t="s">
        <v>425</v>
      </c>
      <c r="KL31" s="98" t="s">
        <v>150</v>
      </c>
      <c r="KM31" s="59"/>
      <c r="KN31" s="95">
        <v>0.01</v>
      </c>
      <c r="KO31" s="96"/>
      <c r="KP31" s="97" t="s">
        <v>520</v>
      </c>
      <c r="KQ31" s="98" t="s">
        <v>150</v>
      </c>
      <c r="KR31" s="59"/>
      <c r="KS31" s="95">
        <v>0.01</v>
      </c>
      <c r="KT31" s="96"/>
      <c r="KU31" s="97" t="s">
        <v>520</v>
      </c>
      <c r="KV31" s="98" t="s">
        <v>150</v>
      </c>
      <c r="KW31" s="59"/>
      <c r="KX31" s="95">
        <v>0.01</v>
      </c>
      <c r="KY31" s="96"/>
      <c r="KZ31" s="97" t="s">
        <v>521</v>
      </c>
      <c r="LA31" s="98" t="s">
        <v>150</v>
      </c>
      <c r="LB31" s="59"/>
      <c r="LC31" s="95">
        <v>0.01</v>
      </c>
      <c r="LD31" s="96"/>
      <c r="LE31" s="97" t="s">
        <v>522</v>
      </c>
      <c r="LF31" s="98" t="s">
        <v>150</v>
      </c>
      <c r="LG31" s="59"/>
      <c r="LH31" s="95">
        <v>0.01</v>
      </c>
      <c r="LI31" s="96"/>
      <c r="LJ31" s="97" t="s">
        <v>372</v>
      </c>
      <c r="LK31" s="98" t="s">
        <v>150</v>
      </c>
      <c r="LL31" s="59"/>
      <c r="LM31" s="95">
        <v>0.01</v>
      </c>
      <c r="LN31" s="96"/>
      <c r="LO31" s="97" t="s">
        <v>348</v>
      </c>
      <c r="LP31" s="98" t="s">
        <v>150</v>
      </c>
      <c r="LQ31" s="59"/>
      <c r="LR31" s="95">
        <v>0.01</v>
      </c>
      <c r="LS31" s="96"/>
      <c r="LT31" s="97" t="s">
        <v>349</v>
      </c>
      <c r="LU31" s="98" t="s">
        <v>150</v>
      </c>
      <c r="LV31" s="59"/>
      <c r="LW31" s="95">
        <v>0.01</v>
      </c>
      <c r="LX31" s="96"/>
      <c r="LY31" s="97" t="s">
        <v>523</v>
      </c>
      <c r="LZ31" s="98" t="s">
        <v>150</v>
      </c>
      <c r="MA31" s="61"/>
      <c r="MB31" s="29"/>
    </row>
    <row r="32" ht="7.5" customHeight="1">
      <c r="A32" s="23"/>
      <c r="B32" s="108"/>
      <c r="C32" s="109"/>
      <c r="D32" s="109"/>
      <c r="E32" s="110"/>
      <c r="F32" s="109"/>
      <c r="G32" s="111"/>
      <c r="H32" s="109"/>
      <c r="I32" s="109"/>
      <c r="J32" s="110"/>
      <c r="K32" s="109"/>
      <c r="L32" s="111"/>
      <c r="M32" s="109"/>
      <c r="N32" s="109"/>
      <c r="O32" s="110"/>
      <c r="P32" s="109"/>
      <c r="Q32" s="111"/>
      <c r="R32" s="109"/>
      <c r="S32" s="109"/>
      <c r="T32" s="110"/>
      <c r="U32" s="109"/>
      <c r="V32" s="111"/>
      <c r="W32" s="109"/>
      <c r="X32" s="109"/>
      <c r="Y32" s="110"/>
      <c r="Z32" s="109"/>
      <c r="AA32" s="111"/>
      <c r="AB32" s="109"/>
      <c r="AC32" s="109"/>
      <c r="AD32" s="110"/>
      <c r="AE32" s="109"/>
      <c r="AF32" s="111"/>
      <c r="AG32" s="109"/>
      <c r="AH32" s="109"/>
      <c r="AI32" s="110"/>
      <c r="AJ32" s="109"/>
      <c r="AK32" s="111"/>
      <c r="AL32" s="109"/>
      <c r="AM32" s="109"/>
      <c r="AN32" s="110"/>
      <c r="AO32" s="109"/>
      <c r="AP32" s="111"/>
      <c r="AQ32" s="109"/>
      <c r="AR32" s="109"/>
      <c r="AS32" s="110"/>
      <c r="AT32" s="109"/>
      <c r="AU32" s="111"/>
      <c r="AV32" s="109"/>
      <c r="AW32" s="109"/>
      <c r="AX32" s="110"/>
      <c r="AY32" s="109"/>
      <c r="AZ32" s="111"/>
      <c r="BA32" s="109"/>
      <c r="BB32" s="109"/>
      <c r="BC32" s="110"/>
      <c r="BD32" s="109"/>
      <c r="BE32" s="111"/>
      <c r="BF32" s="109"/>
      <c r="BG32" s="109"/>
      <c r="BH32" s="110"/>
      <c r="BI32" s="109"/>
      <c r="BJ32" s="111"/>
      <c r="BK32" s="109"/>
      <c r="BL32" s="109"/>
      <c r="BM32" s="110"/>
      <c r="BN32" s="109"/>
      <c r="BO32" s="111"/>
      <c r="BP32" s="109"/>
      <c r="BQ32" s="109"/>
      <c r="BR32" s="110"/>
      <c r="BS32" s="109"/>
      <c r="BT32" s="111"/>
      <c r="BU32" s="109"/>
      <c r="BV32" s="109"/>
      <c r="BW32" s="110"/>
      <c r="BX32" s="109"/>
      <c r="BY32" s="111"/>
      <c r="BZ32" s="109"/>
      <c r="CA32" s="109"/>
      <c r="CB32" s="110"/>
      <c r="CC32" s="109"/>
      <c r="CD32" s="111"/>
      <c r="CE32" s="109"/>
      <c r="CF32" s="109"/>
      <c r="CG32" s="110"/>
      <c r="CH32" s="109"/>
      <c r="CI32" s="111"/>
      <c r="CJ32" s="109"/>
      <c r="CK32" s="109"/>
      <c r="CL32" s="110"/>
      <c r="CM32" s="109"/>
      <c r="CN32" s="111"/>
      <c r="CO32" s="109"/>
      <c r="CP32" s="109"/>
      <c r="CQ32" s="110"/>
      <c r="CR32" s="109"/>
      <c r="CS32" s="111"/>
      <c r="CT32" s="109"/>
      <c r="CU32" s="109"/>
      <c r="CV32" s="110"/>
      <c r="CW32" s="109"/>
      <c r="CX32" s="111"/>
      <c r="CY32" s="109"/>
      <c r="CZ32" s="109"/>
      <c r="DA32" s="110"/>
      <c r="DB32" s="109"/>
      <c r="DC32" s="111"/>
      <c r="DD32" s="109"/>
      <c r="DE32" s="109"/>
      <c r="DF32" s="110"/>
      <c r="DG32" s="109"/>
      <c r="DH32" s="111"/>
      <c r="DI32" s="109"/>
      <c r="DJ32" s="109"/>
      <c r="DK32" s="110"/>
      <c r="DL32" s="109"/>
      <c r="DM32" s="111"/>
      <c r="DN32" s="109"/>
      <c r="DO32" s="109"/>
      <c r="DP32" s="110"/>
      <c r="DQ32" s="109"/>
      <c r="DR32" s="111"/>
      <c r="DS32" s="109"/>
      <c r="DT32" s="109"/>
      <c r="DU32" s="110"/>
      <c r="DV32" s="109"/>
      <c r="DW32" s="111"/>
      <c r="DX32" s="109"/>
      <c r="DY32" s="109"/>
      <c r="DZ32" s="110"/>
      <c r="EA32" s="109"/>
      <c r="EB32" s="111"/>
      <c r="EC32" s="109"/>
      <c r="ED32" s="109"/>
      <c r="EE32" s="110"/>
      <c r="EF32" s="109"/>
      <c r="EG32" s="111"/>
      <c r="EH32" s="109"/>
      <c r="EI32" s="109"/>
      <c r="EJ32" s="110"/>
      <c r="EK32" s="109"/>
      <c r="EL32" s="111"/>
      <c r="EM32" s="109"/>
      <c r="EN32" s="109"/>
      <c r="EO32" s="110"/>
      <c r="EP32" s="109"/>
      <c r="EQ32" s="111"/>
      <c r="ER32" s="109"/>
      <c r="ES32" s="109"/>
      <c r="ET32" s="110"/>
      <c r="EU32" s="109"/>
      <c r="EV32" s="111"/>
      <c r="EW32" s="109"/>
      <c r="EX32" s="109"/>
      <c r="EY32" s="110"/>
      <c r="EZ32" s="109"/>
      <c r="FA32" s="111"/>
      <c r="FB32" s="109"/>
      <c r="FC32" s="109"/>
      <c r="FD32" s="110"/>
      <c r="FE32" s="109"/>
      <c r="FF32" s="111"/>
      <c r="FG32" s="109"/>
      <c r="FH32" s="109"/>
      <c r="FI32" s="110"/>
      <c r="FJ32" s="109"/>
      <c r="FK32" s="111"/>
      <c r="FL32" s="109"/>
      <c r="FM32" s="109"/>
      <c r="FN32" s="110"/>
      <c r="FO32" s="109"/>
      <c r="FP32" s="111"/>
      <c r="FQ32" s="109"/>
      <c r="FR32" s="109"/>
      <c r="FS32" s="110"/>
      <c r="FT32" s="109"/>
      <c r="FU32" s="111"/>
      <c r="FV32" s="109"/>
      <c r="FW32" s="109"/>
      <c r="FX32" s="110"/>
      <c r="FY32" s="109"/>
      <c r="FZ32" s="111"/>
      <c r="GA32" s="109"/>
      <c r="GB32" s="109"/>
      <c r="GC32" s="110"/>
      <c r="GD32" s="109"/>
      <c r="GE32" s="111"/>
      <c r="GF32" s="109"/>
      <c r="GG32" s="109"/>
      <c r="GH32" s="110"/>
      <c r="GI32" s="109"/>
      <c r="GJ32" s="111"/>
      <c r="GK32" s="109"/>
      <c r="GL32" s="109"/>
      <c r="GM32" s="110"/>
      <c r="GN32" s="109"/>
      <c r="GO32" s="111"/>
      <c r="GP32" s="109"/>
      <c r="GQ32" s="109"/>
      <c r="GR32" s="110"/>
      <c r="GS32" s="109"/>
      <c r="GT32" s="111"/>
      <c r="GU32" s="109"/>
      <c r="GV32" s="109"/>
      <c r="GW32" s="110"/>
      <c r="GX32" s="109"/>
      <c r="GY32" s="111"/>
      <c r="GZ32" s="109"/>
      <c r="HA32" s="109"/>
      <c r="HB32" s="110"/>
      <c r="HC32" s="109"/>
      <c r="HD32" s="111"/>
      <c r="HE32" s="109"/>
      <c r="HF32" s="109"/>
      <c r="HG32" s="110"/>
      <c r="HH32" s="109"/>
      <c r="HI32" s="111"/>
      <c r="HJ32" s="109"/>
      <c r="HK32" s="109"/>
      <c r="HL32" s="110"/>
      <c r="HM32" s="109"/>
      <c r="HN32" s="111"/>
      <c r="HO32" s="109"/>
      <c r="HP32" s="109"/>
      <c r="HQ32" s="110"/>
      <c r="HR32" s="109"/>
      <c r="HS32" s="111"/>
      <c r="HT32" s="109"/>
      <c r="HU32" s="109"/>
      <c r="HV32" s="110"/>
      <c r="HW32" s="109"/>
      <c r="HX32" s="111"/>
      <c r="HY32" s="109"/>
      <c r="HZ32" s="109"/>
      <c r="IA32" s="110"/>
      <c r="IB32" s="109"/>
      <c r="IC32" s="111"/>
      <c r="ID32" s="109"/>
      <c r="IE32" s="109"/>
      <c r="IF32" s="110"/>
      <c r="IG32" s="109"/>
      <c r="IH32" s="111"/>
      <c r="II32" s="109"/>
      <c r="IJ32" s="109"/>
      <c r="IK32" s="110"/>
      <c r="IL32" s="109"/>
      <c r="IM32" s="111"/>
      <c r="IN32" s="109"/>
      <c r="IO32" s="109"/>
      <c r="IP32" s="110"/>
      <c r="IQ32" s="109"/>
      <c r="IR32" s="111"/>
      <c r="IS32" s="109"/>
      <c r="IT32" s="109"/>
      <c r="IU32" s="110"/>
      <c r="IV32" s="109"/>
      <c r="IW32" s="111"/>
      <c r="IX32" s="109"/>
      <c r="IY32" s="109"/>
      <c r="IZ32" s="110"/>
      <c r="JA32" s="109"/>
      <c r="JB32" s="111"/>
      <c r="JC32" s="109"/>
      <c r="JD32" s="109"/>
      <c r="JE32" s="110"/>
      <c r="JF32" s="109"/>
      <c r="JG32" s="111"/>
      <c r="JH32" s="109"/>
      <c r="JI32" s="109"/>
      <c r="JJ32" s="110"/>
      <c r="JK32" s="109"/>
      <c r="JL32" s="111"/>
      <c r="JM32" s="109"/>
      <c r="JN32" s="109"/>
      <c r="JO32" s="110"/>
      <c r="JP32" s="109"/>
      <c r="JQ32" s="111"/>
      <c r="JR32" s="109"/>
      <c r="JS32" s="109"/>
      <c r="JT32" s="110"/>
      <c r="JU32" s="109"/>
      <c r="JV32" s="111"/>
      <c r="JW32" s="112"/>
      <c r="JX32" s="111"/>
      <c r="JY32" s="109"/>
      <c r="JZ32" s="109"/>
      <c r="KA32" s="110"/>
      <c r="KB32" s="109"/>
      <c r="KC32" s="111"/>
      <c r="KD32" s="109"/>
      <c r="KE32" s="109"/>
      <c r="KF32" s="110"/>
      <c r="KG32" s="109"/>
      <c r="KH32" s="111"/>
      <c r="KI32" s="109"/>
      <c r="KJ32" s="109"/>
      <c r="KK32" s="110"/>
      <c r="KL32" s="109"/>
      <c r="KM32" s="111"/>
      <c r="KN32" s="109"/>
      <c r="KO32" s="109"/>
      <c r="KP32" s="110"/>
      <c r="KQ32" s="109"/>
      <c r="KR32" s="111"/>
      <c r="KS32" s="109"/>
      <c r="KT32" s="109"/>
      <c r="KU32" s="110"/>
      <c r="KV32" s="109"/>
      <c r="KW32" s="111"/>
      <c r="KX32" s="109"/>
      <c r="KY32" s="109"/>
      <c r="KZ32" s="110"/>
      <c r="LA32" s="109"/>
      <c r="LB32" s="111"/>
      <c r="LC32" s="109"/>
      <c r="LD32" s="109"/>
      <c r="LE32" s="110"/>
      <c r="LF32" s="109"/>
      <c r="LG32" s="111"/>
      <c r="LH32" s="109"/>
      <c r="LI32" s="109"/>
      <c r="LJ32" s="110"/>
      <c r="LK32" s="109"/>
      <c r="LL32" s="111"/>
      <c r="LM32" s="109"/>
      <c r="LN32" s="109"/>
      <c r="LO32" s="110"/>
      <c r="LP32" s="109"/>
      <c r="LQ32" s="111"/>
      <c r="LR32" s="109"/>
      <c r="LS32" s="109"/>
      <c r="LT32" s="110"/>
      <c r="LU32" s="109"/>
      <c r="LV32" s="111"/>
      <c r="LW32" s="109"/>
      <c r="LX32" s="109"/>
      <c r="LY32" s="110"/>
      <c r="LZ32" s="109"/>
      <c r="MA32" s="113"/>
      <c r="MB32" s="29"/>
    </row>
    <row r="33" ht="7.5" customHeight="1">
      <c r="A33" s="19"/>
      <c r="B33" s="114"/>
      <c r="C33" s="114"/>
      <c r="D33" s="114"/>
      <c r="E33" s="114"/>
      <c r="F33" s="114"/>
      <c r="G33" s="114"/>
      <c r="H33" s="114"/>
      <c r="I33" s="114"/>
      <c r="J33" s="114"/>
      <c r="K33" s="114"/>
      <c r="L33" s="114"/>
      <c r="M33" s="114"/>
      <c r="N33" s="114"/>
      <c r="O33" s="114"/>
      <c r="P33" s="114"/>
      <c r="Q33" s="114"/>
      <c r="R33" s="115"/>
      <c r="S33" s="116"/>
      <c r="T33" s="116"/>
      <c r="U33" s="115"/>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14"/>
      <c r="BD33" s="114"/>
      <c r="BE33" s="114"/>
      <c r="BF33" s="114"/>
      <c r="BG33" s="114"/>
      <c r="BH33" s="114"/>
      <c r="BI33" s="114"/>
      <c r="BJ33" s="114"/>
      <c r="BK33" s="114"/>
      <c r="BL33" s="114"/>
      <c r="BM33" s="114"/>
      <c r="BN33" s="114"/>
      <c r="BO33" s="114"/>
      <c r="BP33" s="114"/>
      <c r="BQ33" s="114"/>
      <c r="BR33" s="114"/>
      <c r="BS33" s="114"/>
      <c r="BT33" s="114"/>
      <c r="BU33" s="114"/>
      <c r="BV33" s="114"/>
      <c r="BW33" s="114"/>
      <c r="BX33" s="114"/>
      <c r="BY33" s="114"/>
      <c r="BZ33" s="114"/>
      <c r="CA33" s="114"/>
      <c r="CB33" s="114"/>
      <c r="CC33" s="114"/>
      <c r="CD33" s="114"/>
      <c r="CE33" s="114"/>
      <c r="CF33" s="114"/>
      <c r="CG33" s="114"/>
      <c r="CH33" s="114"/>
      <c r="CI33" s="114"/>
      <c r="CJ33" s="114"/>
      <c r="CK33" s="114"/>
      <c r="CL33" s="114"/>
      <c r="CM33" s="114"/>
      <c r="CN33" s="114"/>
      <c r="CO33" s="115"/>
      <c r="CP33" s="116"/>
      <c r="CQ33" s="116"/>
      <c r="CR33" s="115"/>
      <c r="CS33" s="114"/>
      <c r="CT33" s="115"/>
      <c r="CU33" s="116"/>
      <c r="CV33" s="116"/>
      <c r="CW33" s="115"/>
      <c r="CX33" s="114"/>
      <c r="CY33" s="115"/>
      <c r="CZ33" s="116"/>
      <c r="DA33" s="116"/>
      <c r="DB33" s="115"/>
      <c r="DC33" s="114"/>
      <c r="DD33" s="115"/>
      <c r="DE33" s="116"/>
      <c r="DF33" s="116"/>
      <c r="DG33" s="115"/>
      <c r="DH33" s="114"/>
      <c r="DI33" s="115"/>
      <c r="DJ33" s="116"/>
      <c r="DK33" s="116"/>
      <c r="DL33" s="115"/>
      <c r="DM33" s="114"/>
      <c r="DN33" s="115"/>
      <c r="DO33" s="116"/>
      <c r="DP33" s="116"/>
      <c r="DQ33" s="115"/>
      <c r="DR33" s="114"/>
      <c r="DS33" s="115"/>
      <c r="DT33" s="116"/>
      <c r="DU33" s="116"/>
      <c r="DV33" s="115"/>
      <c r="DW33" s="114"/>
      <c r="DX33" s="115"/>
      <c r="DY33" s="116"/>
      <c r="DZ33" s="116"/>
      <c r="EA33" s="115"/>
      <c r="EB33" s="114"/>
      <c r="EC33" s="115"/>
      <c r="ED33" s="116"/>
      <c r="EE33" s="116"/>
      <c r="EF33" s="115"/>
      <c r="EG33" s="114"/>
      <c r="EH33" s="115"/>
      <c r="EI33" s="116"/>
      <c r="EJ33" s="116"/>
      <c r="EK33" s="115"/>
      <c r="EL33" s="114"/>
      <c r="EM33" s="115"/>
      <c r="EN33" s="116"/>
      <c r="EO33" s="116"/>
      <c r="EP33" s="115"/>
      <c r="EQ33" s="114"/>
      <c r="ER33" s="115"/>
      <c r="ES33" s="116"/>
      <c r="ET33" s="116"/>
      <c r="EU33" s="115"/>
      <c r="EV33" s="114"/>
      <c r="EW33" s="115"/>
      <c r="EX33" s="116"/>
      <c r="EY33" s="116"/>
      <c r="EZ33" s="115"/>
      <c r="FA33" s="114"/>
      <c r="FB33" s="115"/>
      <c r="FC33" s="116"/>
      <c r="FD33" s="116"/>
      <c r="FE33" s="115"/>
      <c r="FF33" s="114"/>
      <c r="FG33" s="115"/>
      <c r="FH33" s="116"/>
      <c r="FI33" s="116"/>
      <c r="FJ33" s="115"/>
      <c r="FK33" s="114"/>
      <c r="FL33" s="115"/>
      <c r="FM33" s="116"/>
      <c r="FN33" s="116"/>
      <c r="FO33" s="115"/>
      <c r="FP33" s="114"/>
      <c r="FQ33" s="115"/>
      <c r="FR33" s="116"/>
      <c r="FS33" s="116"/>
      <c r="FT33" s="115"/>
      <c r="FU33" s="114"/>
      <c r="FV33" s="115"/>
      <c r="FW33" s="116"/>
      <c r="FX33" s="116"/>
      <c r="FY33" s="115"/>
      <c r="FZ33" s="114"/>
      <c r="GA33" s="115"/>
      <c r="GB33" s="116"/>
      <c r="GC33" s="116"/>
      <c r="GD33" s="115"/>
      <c r="GE33" s="114"/>
      <c r="GF33" s="115"/>
      <c r="GG33" s="116"/>
      <c r="GH33" s="116"/>
      <c r="GI33" s="115"/>
      <c r="GJ33" s="114"/>
      <c r="GK33" s="115"/>
      <c r="GL33" s="116"/>
      <c r="GM33" s="116"/>
      <c r="GN33" s="116"/>
      <c r="GO33" s="114"/>
      <c r="GP33" s="115"/>
      <c r="GQ33" s="116"/>
      <c r="GR33" s="116"/>
      <c r="GS33" s="116"/>
      <c r="GT33" s="114"/>
      <c r="GU33" s="115"/>
      <c r="GV33" s="116"/>
      <c r="GW33" s="116"/>
      <c r="GX33" s="116"/>
      <c r="GY33" s="114"/>
      <c r="GZ33" s="115"/>
      <c r="HA33" s="116"/>
      <c r="HB33" s="116"/>
      <c r="HC33" s="116"/>
      <c r="HD33" s="114"/>
      <c r="HE33" s="115"/>
      <c r="HF33" s="116"/>
      <c r="HG33" s="116"/>
      <c r="HH33" s="116"/>
      <c r="HI33" s="114"/>
      <c r="HJ33" s="115"/>
      <c r="HK33" s="116"/>
      <c r="HL33" s="116"/>
      <c r="HM33" s="115"/>
      <c r="HN33" s="114"/>
      <c r="HO33" s="115"/>
      <c r="HP33" s="116"/>
      <c r="HQ33" s="116"/>
      <c r="HR33" s="115"/>
      <c r="HS33" s="114"/>
      <c r="HT33" s="115"/>
      <c r="HU33" s="116"/>
      <c r="HV33" s="116"/>
      <c r="HW33" s="115"/>
      <c r="HX33" s="114"/>
      <c r="HY33" s="115"/>
      <c r="HZ33" s="116"/>
      <c r="IA33" s="116"/>
      <c r="IB33" s="115"/>
      <c r="IC33" s="114"/>
      <c r="ID33" s="115"/>
      <c r="IE33" s="116"/>
      <c r="IF33" s="116"/>
      <c r="IG33" s="115"/>
      <c r="IH33" s="114"/>
      <c r="II33" s="115"/>
      <c r="IJ33" s="116"/>
      <c r="IK33" s="116"/>
      <c r="IL33" s="115"/>
      <c r="IM33" s="114"/>
      <c r="IN33" s="115"/>
      <c r="IO33" s="116"/>
      <c r="IP33" s="116"/>
      <c r="IQ33" s="115"/>
      <c r="IR33" s="114"/>
      <c r="IS33" s="115"/>
      <c r="IT33" s="116"/>
      <c r="IU33" s="116"/>
      <c r="IV33" s="115"/>
      <c r="IW33" s="114"/>
      <c r="IX33" s="115"/>
      <c r="IY33" s="116"/>
      <c r="IZ33" s="116"/>
      <c r="JA33" s="115"/>
      <c r="JB33" s="114"/>
      <c r="JC33" s="115"/>
      <c r="JD33" s="116"/>
      <c r="JE33" s="116"/>
      <c r="JF33" s="115"/>
      <c r="JG33" s="114"/>
      <c r="JH33" s="115"/>
      <c r="JI33" s="116"/>
      <c r="JJ33" s="116"/>
      <c r="JK33" s="115"/>
      <c r="JL33" s="114"/>
      <c r="JM33" s="115"/>
      <c r="JN33" s="116"/>
      <c r="JO33" s="116"/>
      <c r="JP33" s="115"/>
      <c r="JQ33" s="114"/>
      <c r="JR33" s="115"/>
      <c r="JS33" s="116"/>
      <c r="JT33" s="116"/>
      <c r="JU33" s="115"/>
      <c r="JV33" s="114"/>
      <c r="JW33" s="116"/>
      <c r="JX33" s="114"/>
      <c r="JY33" s="115"/>
      <c r="JZ33" s="116"/>
      <c r="KA33" s="116"/>
      <c r="KB33" s="115"/>
      <c r="KC33" s="114"/>
      <c r="KD33" s="115"/>
      <c r="KE33" s="116"/>
      <c r="KF33" s="116"/>
      <c r="KG33" s="115"/>
      <c r="KH33" s="114"/>
      <c r="KI33" s="115"/>
      <c r="KJ33" s="116"/>
      <c r="KK33" s="116"/>
      <c r="KL33" s="115"/>
      <c r="KM33" s="114"/>
      <c r="KN33" s="115"/>
      <c r="KO33" s="116"/>
      <c r="KP33" s="116"/>
      <c r="KQ33" s="115"/>
      <c r="KR33" s="114"/>
      <c r="KS33" s="115"/>
      <c r="KT33" s="116"/>
      <c r="KU33" s="116"/>
      <c r="KV33" s="115"/>
      <c r="KW33" s="114"/>
      <c r="KX33" s="115"/>
      <c r="KY33" s="116"/>
      <c r="KZ33" s="116"/>
      <c r="LA33" s="115"/>
      <c r="LB33" s="114"/>
      <c r="LC33" s="115"/>
      <c r="LD33" s="116"/>
      <c r="LE33" s="116"/>
      <c r="LF33" s="115"/>
      <c r="LG33" s="114"/>
      <c r="LH33" s="115"/>
      <c r="LI33" s="116"/>
      <c r="LJ33" s="116"/>
      <c r="LK33" s="115"/>
      <c r="LL33" s="114"/>
      <c r="LM33" s="115"/>
      <c r="LN33" s="116"/>
      <c r="LO33" s="116"/>
      <c r="LP33" s="115"/>
      <c r="LQ33" s="114"/>
      <c r="LR33" s="115"/>
      <c r="LS33" s="116"/>
      <c r="LT33" s="116"/>
      <c r="LU33" s="115"/>
      <c r="LV33" s="114"/>
      <c r="LW33" s="115"/>
      <c r="LX33" s="116"/>
      <c r="LY33" s="116"/>
      <c r="LZ33" s="115"/>
      <c r="MA33" s="114"/>
      <c r="MB33" s="19"/>
    </row>
  </sheetData>
  <mergeCells count="269">
    <mergeCell ref="FW3:FY3"/>
    <mergeCell ref="GB3:GD3"/>
    <mergeCell ref="GG3:GI3"/>
    <mergeCell ref="GL3:GN3"/>
    <mergeCell ref="GQ3:GS3"/>
    <mergeCell ref="GV3:GX3"/>
    <mergeCell ref="HA3:HC3"/>
    <mergeCell ref="HF3:HH3"/>
    <mergeCell ref="HK3:HM3"/>
    <mergeCell ref="HP3:HR3"/>
    <mergeCell ref="HU3:HW3"/>
    <mergeCell ref="HZ3:IB3"/>
    <mergeCell ref="IE3:IG3"/>
    <mergeCell ref="IJ3:IL3"/>
    <mergeCell ref="LS3:LU3"/>
    <mergeCell ref="LX3:LZ3"/>
    <mergeCell ref="KJ3:KL3"/>
    <mergeCell ref="KO3:KQ3"/>
    <mergeCell ref="KT3:KV3"/>
    <mergeCell ref="KY3:LA3"/>
    <mergeCell ref="LD3:LF3"/>
    <mergeCell ref="LI3:LK3"/>
    <mergeCell ref="LN3:LP3"/>
    <mergeCell ref="I3:K3"/>
    <mergeCell ref="I4:J4"/>
    <mergeCell ref="AR3:AT3"/>
    <mergeCell ref="AR4:AS4"/>
    <mergeCell ref="CA3:CC3"/>
    <mergeCell ref="CA4:CB4"/>
    <mergeCell ref="DJ3:DL3"/>
    <mergeCell ref="DJ4:DK4"/>
    <mergeCell ref="ES3:EU3"/>
    <mergeCell ref="ES4:ET4"/>
    <mergeCell ref="FW4:FX4"/>
    <mergeCell ref="GB4:GC4"/>
    <mergeCell ref="GG4:GH4"/>
    <mergeCell ref="GL4:GM4"/>
    <mergeCell ref="GQ4:GR4"/>
    <mergeCell ref="IO3:IQ3"/>
    <mergeCell ref="IO4:IP4"/>
    <mergeCell ref="JD4:JE4"/>
    <mergeCell ref="JI4:JJ4"/>
    <mergeCell ref="JN4:JO4"/>
    <mergeCell ref="JS4:JT4"/>
    <mergeCell ref="KY4:KZ4"/>
    <mergeCell ref="LD4:LE4"/>
    <mergeCell ref="LI4:LJ4"/>
    <mergeCell ref="LN4:LO4"/>
    <mergeCell ref="LS4:LT4"/>
    <mergeCell ref="LX4:LY4"/>
    <mergeCell ref="JZ3:KB3"/>
    <mergeCell ref="KE3:KG3"/>
    <mergeCell ref="JZ4:KA4"/>
    <mergeCell ref="KE4:KF4"/>
    <mergeCell ref="KJ4:KK4"/>
    <mergeCell ref="KO4:KP4"/>
    <mergeCell ref="KT4:KU4"/>
    <mergeCell ref="S18:U18"/>
    <mergeCell ref="S19:T19"/>
    <mergeCell ref="S3:U3"/>
    <mergeCell ref="S4:T4"/>
    <mergeCell ref="D18:F18"/>
    <mergeCell ref="N18:P18"/>
    <mergeCell ref="X18:Z18"/>
    <mergeCell ref="D19:E19"/>
    <mergeCell ref="N19:O19"/>
    <mergeCell ref="X19:Y19"/>
    <mergeCell ref="AR18:AT18"/>
    <mergeCell ref="AR19:AS19"/>
    <mergeCell ref="AC3:AE3"/>
    <mergeCell ref="AC4:AD4"/>
    <mergeCell ref="AC18:AE18"/>
    <mergeCell ref="AM18:AO18"/>
    <mergeCell ref="AW18:AY18"/>
    <mergeCell ref="AC19:AD19"/>
    <mergeCell ref="AM19:AN19"/>
    <mergeCell ref="AW19:AX19"/>
    <mergeCell ref="BQ18:BS18"/>
    <mergeCell ref="BQ19:BR19"/>
    <mergeCell ref="CA18:CC18"/>
    <mergeCell ref="CA19:CB19"/>
    <mergeCell ref="BB18:BD18"/>
    <mergeCell ref="BL18:BN18"/>
    <mergeCell ref="BV18:BX18"/>
    <mergeCell ref="CF18:CH18"/>
    <mergeCell ref="BB19:BC19"/>
    <mergeCell ref="BL19:BM19"/>
    <mergeCell ref="BV19:BW19"/>
    <mergeCell ref="CF19:CG19"/>
    <mergeCell ref="CZ18:DB18"/>
    <mergeCell ref="CZ19:DA19"/>
    <mergeCell ref="DJ18:DL18"/>
    <mergeCell ref="DJ19:DK19"/>
    <mergeCell ref="CK18:CM18"/>
    <mergeCell ref="CU18:CW18"/>
    <mergeCell ref="DE18:DG18"/>
    <mergeCell ref="DO18:DQ18"/>
    <mergeCell ref="CK19:CL19"/>
    <mergeCell ref="CU19:CV19"/>
    <mergeCell ref="DE19:DF19"/>
    <mergeCell ref="DO19:DP19"/>
    <mergeCell ref="EI18:EK18"/>
    <mergeCell ref="EI19:EJ19"/>
    <mergeCell ref="ES18:EU18"/>
    <mergeCell ref="ES19:ET19"/>
    <mergeCell ref="DT18:DV18"/>
    <mergeCell ref="ED18:EF18"/>
    <mergeCell ref="EN18:EP18"/>
    <mergeCell ref="EX18:EZ18"/>
    <mergeCell ref="DT19:DU19"/>
    <mergeCell ref="ED19:EE19"/>
    <mergeCell ref="EN19:EO19"/>
    <mergeCell ref="EX19:EY19"/>
    <mergeCell ref="FR18:FT18"/>
    <mergeCell ref="FR19:FS19"/>
    <mergeCell ref="GB18:GD18"/>
    <mergeCell ref="GB19:GC19"/>
    <mergeCell ref="FC18:FE18"/>
    <mergeCell ref="FM18:FO18"/>
    <mergeCell ref="FW18:FY18"/>
    <mergeCell ref="GG18:GI18"/>
    <mergeCell ref="FC19:FD19"/>
    <mergeCell ref="FM19:FN19"/>
    <mergeCell ref="FW19:FX19"/>
    <mergeCell ref="GG19:GH19"/>
    <mergeCell ref="D3:F3"/>
    <mergeCell ref="N3:P3"/>
    <mergeCell ref="X3:Z3"/>
    <mergeCell ref="AH3:AJ3"/>
    <mergeCell ref="D4:E4"/>
    <mergeCell ref="N4:O4"/>
    <mergeCell ref="X4:Y4"/>
    <mergeCell ref="AH4:AI4"/>
    <mergeCell ref="I18:K18"/>
    <mergeCell ref="I19:J19"/>
    <mergeCell ref="AH18:AJ18"/>
    <mergeCell ref="AH19:AI19"/>
    <mergeCell ref="BG18:BI18"/>
    <mergeCell ref="BG19:BH19"/>
    <mergeCell ref="CP18:CR18"/>
    <mergeCell ref="CP19:CQ19"/>
    <mergeCell ref="DY18:EA18"/>
    <mergeCell ref="DY19:DZ19"/>
    <mergeCell ref="FH18:FJ18"/>
    <mergeCell ref="FH19:FI19"/>
    <mergeCell ref="KE19:KF19"/>
    <mergeCell ref="KJ19:KK19"/>
    <mergeCell ref="HP19:HQ19"/>
    <mergeCell ref="HU19:HV19"/>
    <mergeCell ref="HZ19:IA19"/>
    <mergeCell ref="IE19:IF19"/>
    <mergeCell ref="IJ19:IK19"/>
    <mergeCell ref="IO19:IP19"/>
    <mergeCell ref="JZ19:KA19"/>
    <mergeCell ref="HU18:HW18"/>
    <mergeCell ref="HZ18:IB18"/>
    <mergeCell ref="IE18:IG18"/>
    <mergeCell ref="IJ18:IL18"/>
    <mergeCell ref="IO18:IQ18"/>
    <mergeCell ref="JZ18:KB18"/>
    <mergeCell ref="KE18:KG18"/>
    <mergeCell ref="LS18:LU18"/>
    <mergeCell ref="LX18:LZ18"/>
    <mergeCell ref="LS19:LT19"/>
    <mergeCell ref="LX19:LY19"/>
    <mergeCell ref="GQ18:GS18"/>
    <mergeCell ref="GQ19:GR19"/>
    <mergeCell ref="HA18:HC18"/>
    <mergeCell ref="HA19:HB19"/>
    <mergeCell ref="HK18:HM18"/>
    <mergeCell ref="HK19:HL19"/>
    <mergeCell ref="GL18:GN18"/>
    <mergeCell ref="GV18:GX18"/>
    <mergeCell ref="HF18:HH18"/>
    <mergeCell ref="HP18:HR18"/>
    <mergeCell ref="GL19:GM19"/>
    <mergeCell ref="GV19:GW19"/>
    <mergeCell ref="HF19:HG19"/>
    <mergeCell ref="KT18:KV18"/>
    <mergeCell ref="KT19:KU19"/>
    <mergeCell ref="LI19:LJ19"/>
    <mergeCell ref="LN19:LO19"/>
    <mergeCell ref="BB3:BD3"/>
    <mergeCell ref="BB4:BC4"/>
    <mergeCell ref="BL3:BN3"/>
    <mergeCell ref="BL4:BM4"/>
    <mergeCell ref="AM3:AO3"/>
    <mergeCell ref="AW3:AY3"/>
    <mergeCell ref="BG3:BI3"/>
    <mergeCell ref="BQ3:BS3"/>
    <mergeCell ref="AM4:AN4"/>
    <mergeCell ref="AW4:AX4"/>
    <mergeCell ref="BG4:BH4"/>
    <mergeCell ref="BQ4:BR4"/>
    <mergeCell ref="CK3:CM3"/>
    <mergeCell ref="CK4:CL4"/>
    <mergeCell ref="CU3:CW3"/>
    <mergeCell ref="CU4:CV4"/>
    <mergeCell ref="BV3:BX3"/>
    <mergeCell ref="CF3:CH3"/>
    <mergeCell ref="CP3:CR3"/>
    <mergeCell ref="CZ3:DB3"/>
    <mergeCell ref="BV4:BW4"/>
    <mergeCell ref="CF4:CG4"/>
    <mergeCell ref="CP4:CQ4"/>
    <mergeCell ref="CZ4:DA4"/>
    <mergeCell ref="DT3:DV3"/>
    <mergeCell ref="DT4:DU4"/>
    <mergeCell ref="ED3:EF3"/>
    <mergeCell ref="ED4:EE4"/>
    <mergeCell ref="DE3:DG3"/>
    <mergeCell ref="DO3:DQ3"/>
    <mergeCell ref="DY3:EA3"/>
    <mergeCell ref="EI3:EK3"/>
    <mergeCell ref="DE4:DF4"/>
    <mergeCell ref="DO4:DP4"/>
    <mergeCell ref="DY4:DZ4"/>
    <mergeCell ref="EI4:EJ4"/>
    <mergeCell ref="FC3:FE3"/>
    <mergeCell ref="FC4:FD4"/>
    <mergeCell ref="FM3:FO3"/>
    <mergeCell ref="FM4:FN4"/>
    <mergeCell ref="EN3:EP3"/>
    <mergeCell ref="EX3:EZ3"/>
    <mergeCell ref="FH3:FJ3"/>
    <mergeCell ref="FR3:FT3"/>
    <mergeCell ref="EN4:EO4"/>
    <mergeCell ref="EX4:EY4"/>
    <mergeCell ref="FH4:FI4"/>
    <mergeCell ref="FR4:FS4"/>
    <mergeCell ref="IE4:IF4"/>
    <mergeCell ref="IJ4:IK4"/>
    <mergeCell ref="GV4:GW4"/>
    <mergeCell ref="HA4:HB4"/>
    <mergeCell ref="HF4:HG4"/>
    <mergeCell ref="HK4:HL4"/>
    <mergeCell ref="HP4:HQ4"/>
    <mergeCell ref="HU4:HV4"/>
    <mergeCell ref="HZ4:IA4"/>
    <mergeCell ref="IY3:JA3"/>
    <mergeCell ref="IY4:IZ4"/>
    <mergeCell ref="IT18:IV18"/>
    <mergeCell ref="IY18:JA18"/>
    <mergeCell ref="JD18:JF18"/>
    <mergeCell ref="JI18:JK18"/>
    <mergeCell ref="JN18:JP18"/>
    <mergeCell ref="JS18:JU18"/>
    <mergeCell ref="IT19:IU19"/>
    <mergeCell ref="IY19:IZ19"/>
    <mergeCell ref="JD19:JE19"/>
    <mergeCell ref="JI19:JJ19"/>
    <mergeCell ref="JN19:JO19"/>
    <mergeCell ref="JS19:JT19"/>
    <mergeCell ref="IT3:IV3"/>
    <mergeCell ref="JD3:JF3"/>
    <mergeCell ref="JI3:JK3"/>
    <mergeCell ref="JN3:JP3"/>
    <mergeCell ref="JS3:JU3"/>
    <mergeCell ref="JW3:JW31"/>
    <mergeCell ref="IT4:IU4"/>
    <mergeCell ref="LD18:LF18"/>
    <mergeCell ref="LD19:LE19"/>
    <mergeCell ref="KJ18:KL18"/>
    <mergeCell ref="KO18:KQ18"/>
    <mergeCell ref="KY18:LA18"/>
    <mergeCell ref="LI18:LK18"/>
    <mergeCell ref="LN18:LP18"/>
    <mergeCell ref="KO19:KP19"/>
    <mergeCell ref="KY19:KZ19"/>
  </mergeCells>
  <printOptions gridLines="1" horizontalCentered="1"/>
  <pageMargins bottom="0.75" footer="0.0" header="0.0" left="0.7" right="0.7" top="0.75"/>
  <pageSetup paperSize="9"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2" width="1.38"/>
    <col customWidth="1" min="3" max="3" width="6.38"/>
    <col customWidth="1" min="4" max="4" width="22.63"/>
    <col customWidth="1" min="5" max="5" width="1.38"/>
    <col customWidth="1" min="6" max="6" width="6.38"/>
    <col customWidth="1" min="7" max="7" width="5.13"/>
    <col customWidth="1" min="8" max="8" width="15.13"/>
    <col customWidth="1" min="9" max="9" width="6.38"/>
    <col customWidth="1" min="10" max="10" width="1.38"/>
    <col customWidth="1" min="11" max="11" width="6.38"/>
    <col customWidth="1" min="12" max="12" width="5.13"/>
    <col customWidth="1" min="13" max="13" width="15.13"/>
    <col customWidth="1" min="14" max="14" width="6.38"/>
    <col customWidth="1" min="15" max="15" width="1.38"/>
    <col customWidth="1" min="16" max="16" width="6.38"/>
    <col customWidth="1" min="17" max="17" width="5.13"/>
    <col customWidth="1" min="18" max="18" width="15.13"/>
    <col customWidth="1" min="19" max="19" width="6.38"/>
    <col customWidth="1" min="20" max="20" width="1.38"/>
    <col customWidth="1" min="21" max="21" width="6.38"/>
    <col customWidth="1" min="22" max="22" width="5.13"/>
    <col customWidth="1" min="23" max="23" width="15.13"/>
    <col customWidth="1" min="24" max="24" width="6.38"/>
    <col customWidth="1" min="25" max="25" width="1.38"/>
    <col customWidth="1" min="26" max="26" width="6.38"/>
    <col customWidth="1" min="27" max="27" width="5.13"/>
    <col customWidth="1" min="28" max="28" width="15.13"/>
    <col customWidth="1" min="29" max="29" width="6.38"/>
    <col customWidth="1" min="30" max="30" width="1.38"/>
    <col customWidth="1" min="31" max="31" width="6.38"/>
    <col customWidth="1" min="32" max="32" width="5.13"/>
    <col customWidth="1" min="33" max="33" width="15.13"/>
    <col customWidth="1" min="34" max="34" width="6.38"/>
    <col customWidth="1" min="35" max="35" width="1.38"/>
    <col customWidth="1" min="36" max="36" width="6.38"/>
    <col customWidth="1" min="37" max="37" width="5.13"/>
    <col customWidth="1" min="38" max="38" width="15.13"/>
    <col customWidth="1" min="39" max="39" width="6.38"/>
    <col customWidth="1" min="40" max="40" width="1.38"/>
    <col customWidth="1" min="41" max="41" width="6.38"/>
    <col customWidth="1" min="42" max="42" width="5.13"/>
    <col customWidth="1" min="43" max="43" width="15.13"/>
    <col customWidth="1" min="44" max="44" width="6.38"/>
    <col customWidth="1" min="45" max="45" width="1.38"/>
    <col customWidth="1" min="46" max="46" width="6.38"/>
    <col customWidth="1" min="47" max="47" width="5.13"/>
    <col customWidth="1" min="48" max="48" width="15.13"/>
    <col customWidth="1" min="49" max="49" width="6.38"/>
    <col customWidth="1" min="50" max="50" width="1.38"/>
    <col customWidth="1" min="51" max="51" width="6.38"/>
    <col customWidth="1" min="52" max="52" width="5.13"/>
    <col customWidth="1" min="53" max="53" width="15.13"/>
    <col customWidth="1" min="54" max="54" width="6.38"/>
    <col customWidth="1" min="55" max="55" width="1.38"/>
    <col customWidth="1" min="56" max="56" width="6.38"/>
    <col customWidth="1" min="57" max="57" width="5.13"/>
    <col customWidth="1" min="58" max="58" width="15.13"/>
    <col customWidth="1" min="59" max="59" width="6.38"/>
    <col customWidth="1" min="60" max="60" width="1.38"/>
    <col customWidth="1" min="61" max="61" width="6.38"/>
    <col customWidth="1" min="62" max="62" width="5.13"/>
    <col customWidth="1" min="63" max="63" width="15.13"/>
    <col customWidth="1" min="64" max="64" width="6.38"/>
    <col customWidth="1" min="65" max="65" width="1.38"/>
    <col customWidth="1" min="66" max="66" width="6.38"/>
    <col customWidth="1" min="67" max="67" width="5.13"/>
    <col customWidth="1" min="68" max="68" width="15.13"/>
    <col customWidth="1" min="69" max="69" width="6.38"/>
    <col customWidth="1" min="70" max="70" width="1.38"/>
    <col customWidth="1" min="71" max="71" width="6.38"/>
    <col customWidth="1" min="72" max="72" width="5.13"/>
    <col customWidth="1" min="73" max="73" width="15.13"/>
    <col customWidth="1" min="74" max="74" width="6.38"/>
    <col customWidth="1" min="75" max="75" width="1.38"/>
    <col customWidth="1" min="76" max="76" width="6.38"/>
    <col customWidth="1" min="77" max="77" width="5.13"/>
    <col customWidth="1" min="78" max="78" width="15.13"/>
    <col customWidth="1" min="79" max="79" width="6.38"/>
    <col customWidth="1" min="80" max="80" width="1.38"/>
    <col customWidth="1" min="81" max="81" width="6.38"/>
    <col customWidth="1" min="82" max="82" width="5.13"/>
    <col customWidth="1" min="83" max="83" width="15.13"/>
    <col customWidth="1" min="84" max="84" width="6.38"/>
    <col customWidth="1" min="85" max="85" width="1.38"/>
    <col customWidth="1" min="86" max="86" width="6.38"/>
    <col customWidth="1" min="87" max="87" width="5.13"/>
    <col customWidth="1" min="88" max="88" width="15.13"/>
    <col customWidth="1" min="89" max="89" width="6.38"/>
    <col customWidth="1" min="90" max="90" width="1.38"/>
    <col customWidth="1" min="91" max="91" width="6.38"/>
    <col customWidth="1" min="92" max="92" width="5.13"/>
    <col customWidth="1" min="93" max="93" width="15.13"/>
    <col customWidth="1" min="94" max="94" width="6.38"/>
    <col customWidth="1" min="95" max="95" width="1.38"/>
    <col customWidth="1" min="96" max="96" width="6.38"/>
    <col customWidth="1" min="97" max="97" width="5.13"/>
    <col customWidth="1" min="98" max="98" width="15.13"/>
    <col customWidth="1" min="99" max="99" width="6.38"/>
    <col customWidth="1" min="100" max="100" width="1.38"/>
    <col customWidth="1" min="101" max="101" width="6.38"/>
    <col customWidth="1" min="102" max="102" width="5.13"/>
    <col customWidth="1" min="103" max="103" width="15.13"/>
    <col customWidth="1" min="104" max="104" width="6.38"/>
    <col customWidth="1" min="105" max="105" width="1.38"/>
    <col customWidth="1" min="106" max="106" width="6.38"/>
    <col customWidth="1" min="107" max="107" width="5.13"/>
    <col customWidth="1" min="108" max="108" width="15.13"/>
    <col customWidth="1" min="109" max="109" width="6.38"/>
    <col customWidth="1" min="110" max="110" width="1.38"/>
    <col customWidth="1" min="111" max="111" width="6.38"/>
    <col customWidth="1" min="112" max="112" width="5.13"/>
    <col customWidth="1" min="113" max="113" width="15.13"/>
    <col customWidth="1" min="114" max="114" width="6.38"/>
    <col customWidth="1" min="115" max="115" width="1.38"/>
    <col customWidth="1" min="116" max="116" width="6.38"/>
    <col customWidth="1" min="117" max="117" width="5.13"/>
    <col customWidth="1" min="118" max="118" width="15.13"/>
    <col customWidth="1" min="119" max="119" width="6.38"/>
    <col customWidth="1" min="120" max="120" width="3.25"/>
    <col customWidth="1" min="121" max="121" width="6.38"/>
    <col customWidth="1" min="122" max="122" width="5.13"/>
    <col customWidth="1" min="123" max="123" width="15.13"/>
    <col customWidth="1" min="124" max="124" width="6.38"/>
    <col customWidth="1" min="125" max="125" width="1.38"/>
    <col customWidth="1" min="126" max="126" width="6.38"/>
    <col customWidth="1" min="127" max="127" width="5.13"/>
    <col customWidth="1" min="128" max="128" width="15.13"/>
    <col customWidth="1" min="129" max="129" width="6.38"/>
    <col customWidth="1" min="130" max="130" width="1.38"/>
    <col customWidth="1" min="131" max="131" width="7.63"/>
    <col customWidth="1" min="132" max="132" width="1.38"/>
    <col customWidth="1" min="133" max="133" width="6.38"/>
    <col customWidth="1" min="134" max="134" width="5.13"/>
    <col customWidth="1" min="135" max="135" width="15.13"/>
    <col customWidth="1" min="136" max="136" width="6.38"/>
    <col customWidth="1" min="137" max="137" width="1.38"/>
    <col customWidth="1" min="138" max="138" width="6.38"/>
    <col customWidth="1" min="139" max="139" width="5.13"/>
    <col customWidth="1" min="140" max="140" width="15.13"/>
    <col customWidth="1" min="141" max="141" width="6.38"/>
    <col customWidth="1" min="142" max="142" width="1.38"/>
    <col customWidth="1" min="143" max="143" width="6.38"/>
    <col customWidth="1" min="144" max="144" width="5.13"/>
    <col customWidth="1" min="145" max="145" width="15.13"/>
    <col customWidth="1" min="146" max="146" width="6.38"/>
    <col customWidth="1" min="147" max="147" width="1.38"/>
    <col customWidth="1" min="148" max="148" width="6.38"/>
    <col customWidth="1" min="149" max="149" width="5.13"/>
    <col customWidth="1" min="150" max="150" width="15.13"/>
    <col customWidth="1" min="151" max="151" width="6.38"/>
    <col customWidth="1" min="152" max="152" width="1.38"/>
    <col customWidth="1" min="153" max="153" width="6.38"/>
    <col customWidth="1" min="154" max="154" width="5.13"/>
    <col customWidth="1" min="155" max="155" width="15.13"/>
    <col customWidth="1" min="156" max="156" width="6.38"/>
    <col customWidth="1" min="157" max="158" width="1.38"/>
  </cols>
  <sheetData>
    <row r="1" ht="7.5" customHeight="1">
      <c r="A1" s="19"/>
      <c r="B1" s="20"/>
      <c r="C1" s="20"/>
      <c r="D1" s="20"/>
      <c r="E1" s="20"/>
      <c r="F1" s="117"/>
      <c r="G1" s="20"/>
      <c r="H1" s="20"/>
      <c r="I1" s="20"/>
      <c r="J1" s="20"/>
      <c r="K1" s="117"/>
      <c r="L1" s="20"/>
      <c r="M1" s="20"/>
      <c r="N1" s="20"/>
      <c r="O1" s="20"/>
      <c r="P1" s="117"/>
      <c r="Q1" s="20"/>
      <c r="R1" s="20"/>
      <c r="S1" s="20"/>
      <c r="T1" s="20"/>
      <c r="U1" s="117"/>
      <c r="V1" s="20"/>
      <c r="W1" s="20"/>
      <c r="X1" s="20"/>
      <c r="Y1" s="20"/>
      <c r="Z1" s="117"/>
      <c r="AA1" s="20"/>
      <c r="AB1" s="20"/>
      <c r="AC1" s="20"/>
      <c r="AD1" s="20"/>
      <c r="AE1" s="117"/>
      <c r="AF1" s="20"/>
      <c r="AG1" s="20"/>
      <c r="AH1" s="20"/>
      <c r="AI1" s="20"/>
      <c r="AJ1" s="117"/>
      <c r="AK1" s="20"/>
      <c r="AL1" s="20"/>
      <c r="AM1" s="20"/>
      <c r="AN1" s="20"/>
      <c r="AO1" s="117"/>
      <c r="AP1" s="20"/>
      <c r="AQ1" s="20"/>
      <c r="AR1" s="20"/>
      <c r="AS1" s="20"/>
      <c r="AT1" s="117"/>
      <c r="AU1" s="20"/>
      <c r="AV1" s="20"/>
      <c r="AW1" s="20"/>
      <c r="AX1" s="20"/>
      <c r="AY1" s="117"/>
      <c r="AZ1" s="20"/>
      <c r="BA1" s="20"/>
      <c r="BB1" s="20"/>
      <c r="BC1" s="20"/>
      <c r="BD1" s="117"/>
      <c r="BE1" s="20"/>
      <c r="BF1" s="20"/>
      <c r="BG1" s="20"/>
      <c r="BH1" s="20"/>
      <c r="BI1" s="117"/>
      <c r="BJ1" s="20"/>
      <c r="BK1" s="20"/>
      <c r="BL1" s="20"/>
      <c r="BM1" s="20"/>
      <c r="BN1" s="117"/>
      <c r="BO1" s="20"/>
      <c r="BP1" s="20"/>
      <c r="BQ1" s="20"/>
      <c r="BR1" s="20"/>
      <c r="BS1" s="117"/>
      <c r="BT1" s="20"/>
      <c r="BU1" s="20"/>
      <c r="BV1" s="20"/>
      <c r="BW1" s="20"/>
      <c r="BX1" s="117"/>
      <c r="BY1" s="20"/>
      <c r="BZ1" s="20"/>
      <c r="CA1" s="20"/>
      <c r="CB1" s="20"/>
      <c r="CC1" s="117"/>
      <c r="CD1" s="20"/>
      <c r="CE1" s="20"/>
      <c r="CF1" s="20"/>
      <c r="CG1" s="20"/>
      <c r="CH1" s="117"/>
      <c r="CI1" s="20"/>
      <c r="CJ1" s="20"/>
      <c r="CK1" s="20"/>
      <c r="CL1" s="20"/>
      <c r="CM1" s="117"/>
      <c r="CN1" s="20"/>
      <c r="CO1" s="20"/>
      <c r="CP1" s="20"/>
      <c r="CQ1" s="20"/>
      <c r="CR1" s="117"/>
      <c r="CS1" s="20"/>
      <c r="CT1" s="20"/>
      <c r="CU1" s="20"/>
      <c r="CV1" s="20"/>
      <c r="CW1" s="117"/>
      <c r="CX1" s="20"/>
      <c r="CY1" s="20"/>
      <c r="CZ1" s="20"/>
      <c r="DA1" s="20"/>
      <c r="DB1" s="117"/>
      <c r="DC1" s="20"/>
      <c r="DD1" s="20"/>
      <c r="DE1" s="20"/>
      <c r="DF1" s="20"/>
      <c r="DG1" s="117"/>
      <c r="DH1" s="20"/>
      <c r="DI1" s="20"/>
      <c r="DJ1" s="20"/>
      <c r="DK1" s="20"/>
      <c r="DL1" s="117"/>
      <c r="DM1" s="20"/>
      <c r="DN1" s="20"/>
      <c r="DO1" s="20"/>
      <c r="DP1" s="20"/>
      <c r="DQ1" s="117"/>
      <c r="DR1" s="20"/>
      <c r="DS1" s="20"/>
      <c r="DT1" s="20"/>
      <c r="DU1" s="20"/>
      <c r="DV1" s="117"/>
      <c r="DW1" s="20"/>
      <c r="DX1" s="20"/>
      <c r="DY1" s="20"/>
      <c r="DZ1" s="20"/>
      <c r="EA1" s="21"/>
      <c r="EB1" s="20"/>
      <c r="EC1" s="117"/>
      <c r="ED1" s="20"/>
      <c r="EE1" s="20"/>
      <c r="EF1" s="20"/>
      <c r="EG1" s="20"/>
      <c r="EH1" s="117"/>
      <c r="EI1" s="20"/>
      <c r="EJ1" s="20"/>
      <c r="EK1" s="20"/>
      <c r="EL1" s="20"/>
      <c r="EM1" s="117"/>
      <c r="EN1" s="20"/>
      <c r="EO1" s="20"/>
      <c r="EP1" s="20"/>
      <c r="EQ1" s="20"/>
      <c r="ER1" s="117"/>
      <c r="ES1" s="20"/>
      <c r="ET1" s="20"/>
      <c r="EU1" s="20"/>
      <c r="EV1" s="20"/>
      <c r="EW1" s="117"/>
      <c r="EX1" s="20"/>
      <c r="EY1" s="20"/>
      <c r="EZ1" s="20"/>
      <c r="FA1" s="20"/>
      <c r="FB1" s="19"/>
    </row>
    <row r="2" ht="7.5" customHeight="1">
      <c r="A2" s="23"/>
      <c r="B2" s="118"/>
      <c r="C2" s="119"/>
      <c r="D2" s="119"/>
      <c r="E2" s="120"/>
      <c r="F2" s="121"/>
      <c r="G2" s="119"/>
      <c r="H2" s="119"/>
      <c r="I2" s="119"/>
      <c r="J2" s="120"/>
      <c r="K2" s="121"/>
      <c r="L2" s="119"/>
      <c r="M2" s="119"/>
      <c r="N2" s="119"/>
      <c r="O2" s="120"/>
      <c r="P2" s="121"/>
      <c r="Q2" s="119"/>
      <c r="R2" s="119"/>
      <c r="S2" s="119"/>
      <c r="T2" s="120"/>
      <c r="U2" s="121"/>
      <c r="V2" s="119"/>
      <c r="W2" s="119"/>
      <c r="X2" s="119"/>
      <c r="Y2" s="120"/>
      <c r="Z2" s="121"/>
      <c r="AA2" s="119"/>
      <c r="AB2" s="119"/>
      <c r="AC2" s="119"/>
      <c r="AD2" s="120"/>
      <c r="AE2" s="121"/>
      <c r="AF2" s="119"/>
      <c r="AG2" s="119"/>
      <c r="AH2" s="119"/>
      <c r="AI2" s="120"/>
      <c r="AJ2" s="121"/>
      <c r="AK2" s="119"/>
      <c r="AL2" s="119"/>
      <c r="AM2" s="119"/>
      <c r="AN2" s="120"/>
      <c r="AO2" s="121"/>
      <c r="AP2" s="119"/>
      <c r="AQ2" s="119"/>
      <c r="AR2" s="119"/>
      <c r="AS2" s="120"/>
      <c r="AT2" s="121"/>
      <c r="AU2" s="119"/>
      <c r="AV2" s="119"/>
      <c r="AW2" s="119"/>
      <c r="AX2" s="120"/>
      <c r="AY2" s="121"/>
      <c r="AZ2" s="119"/>
      <c r="BA2" s="119"/>
      <c r="BB2" s="119"/>
      <c r="BC2" s="120"/>
      <c r="BD2" s="121"/>
      <c r="BE2" s="119"/>
      <c r="BF2" s="119"/>
      <c r="BG2" s="119"/>
      <c r="BH2" s="120"/>
      <c r="BI2" s="121"/>
      <c r="BJ2" s="119"/>
      <c r="BK2" s="119"/>
      <c r="BL2" s="119"/>
      <c r="BM2" s="120"/>
      <c r="BN2" s="121"/>
      <c r="BO2" s="119"/>
      <c r="BP2" s="119"/>
      <c r="BQ2" s="119"/>
      <c r="BR2" s="120"/>
      <c r="BS2" s="121"/>
      <c r="BT2" s="119"/>
      <c r="BU2" s="119"/>
      <c r="BV2" s="119"/>
      <c r="BW2" s="120"/>
      <c r="BX2" s="121"/>
      <c r="BY2" s="119"/>
      <c r="BZ2" s="119"/>
      <c r="CA2" s="119"/>
      <c r="CB2" s="120"/>
      <c r="CC2" s="121"/>
      <c r="CD2" s="119"/>
      <c r="CE2" s="119"/>
      <c r="CF2" s="119"/>
      <c r="CG2" s="120"/>
      <c r="CH2" s="121"/>
      <c r="CI2" s="119"/>
      <c r="CJ2" s="119"/>
      <c r="CK2" s="119"/>
      <c r="CL2" s="120"/>
      <c r="CM2" s="121"/>
      <c r="CN2" s="119"/>
      <c r="CO2" s="119"/>
      <c r="CP2" s="119"/>
      <c r="CQ2" s="120"/>
      <c r="CR2" s="121"/>
      <c r="CS2" s="119"/>
      <c r="CT2" s="119"/>
      <c r="CU2" s="119"/>
      <c r="CV2" s="120"/>
      <c r="CW2" s="121"/>
      <c r="CX2" s="119"/>
      <c r="CY2" s="119"/>
      <c r="CZ2" s="119"/>
      <c r="DA2" s="120"/>
      <c r="DB2" s="121"/>
      <c r="DC2" s="119"/>
      <c r="DD2" s="119"/>
      <c r="DE2" s="119"/>
      <c r="DF2" s="120"/>
      <c r="DG2" s="121"/>
      <c r="DH2" s="119"/>
      <c r="DI2" s="119"/>
      <c r="DJ2" s="119"/>
      <c r="DK2" s="120"/>
      <c r="DL2" s="121"/>
      <c r="DM2" s="119"/>
      <c r="DN2" s="119"/>
      <c r="DO2" s="119"/>
      <c r="DP2" s="122"/>
      <c r="DQ2" s="121"/>
      <c r="DR2" s="119"/>
      <c r="DS2" s="119"/>
      <c r="DT2" s="119"/>
      <c r="DU2" s="120"/>
      <c r="DV2" s="121"/>
      <c r="DW2" s="119"/>
      <c r="DX2" s="119"/>
      <c r="DY2" s="119"/>
      <c r="DZ2" s="120"/>
      <c r="EA2" s="123"/>
      <c r="EB2" s="120"/>
      <c r="EC2" s="121"/>
      <c r="ED2" s="119"/>
      <c r="EE2" s="119"/>
      <c r="EF2" s="119"/>
      <c r="EG2" s="120"/>
      <c r="EH2" s="121"/>
      <c r="EI2" s="119"/>
      <c r="EJ2" s="119"/>
      <c r="EK2" s="119"/>
      <c r="EL2" s="120"/>
      <c r="EM2" s="121"/>
      <c r="EN2" s="119"/>
      <c r="EO2" s="119"/>
      <c r="EP2" s="119"/>
      <c r="EQ2" s="120"/>
      <c r="ER2" s="121"/>
      <c r="ES2" s="119"/>
      <c r="ET2" s="119"/>
      <c r="EU2" s="119"/>
      <c r="EV2" s="120"/>
      <c r="EW2" s="121"/>
      <c r="EX2" s="119"/>
      <c r="EY2" s="119"/>
      <c r="EZ2" s="119"/>
      <c r="FA2" s="124"/>
      <c r="FB2" s="29"/>
    </row>
    <row r="3" ht="26.25" customHeight="1">
      <c r="A3" s="125"/>
      <c r="B3" s="126"/>
      <c r="C3" s="127" t="str">
        <f>Source!$C17</f>
        <v/>
      </c>
      <c r="D3" s="128" t="s">
        <v>643</v>
      </c>
      <c r="E3" s="129"/>
      <c r="F3" s="32" t="str">
        <f>Source!$C17</f>
        <v/>
      </c>
      <c r="G3" s="33" t="s">
        <v>644</v>
      </c>
      <c r="H3" s="34"/>
      <c r="I3" s="35"/>
      <c r="J3" s="130"/>
      <c r="K3" s="32" t="str">
        <f>Source!$C17</f>
        <v/>
      </c>
      <c r="L3" s="33" t="s">
        <v>13</v>
      </c>
      <c r="M3" s="34"/>
      <c r="N3" s="35"/>
      <c r="O3" s="130"/>
      <c r="P3" s="32" t="str">
        <f>Source!$C17</f>
        <v/>
      </c>
      <c r="Q3" s="33" t="s">
        <v>14</v>
      </c>
      <c r="R3" s="34"/>
      <c r="S3" s="35"/>
      <c r="T3" s="130"/>
      <c r="U3" s="32" t="str">
        <f>Source!$C17</f>
        <v/>
      </c>
      <c r="V3" s="33" t="s">
        <v>15</v>
      </c>
      <c r="W3" s="34"/>
      <c r="X3" s="35"/>
      <c r="Y3" s="130"/>
      <c r="Z3" s="32" t="str">
        <f>Source!$C17</f>
        <v/>
      </c>
      <c r="AA3" s="33" t="s">
        <v>645</v>
      </c>
      <c r="AB3" s="34"/>
      <c r="AC3" s="35"/>
      <c r="AD3" s="130"/>
      <c r="AE3" s="32" t="str">
        <f>Source!$C17</f>
        <v/>
      </c>
      <c r="AF3" s="33" t="s">
        <v>26</v>
      </c>
      <c r="AG3" s="34"/>
      <c r="AH3" s="35"/>
      <c r="AI3" s="130"/>
      <c r="AJ3" s="32" t="str">
        <f>Source!$C17</f>
        <v/>
      </c>
      <c r="AK3" s="33" t="s">
        <v>27</v>
      </c>
      <c r="AL3" s="34"/>
      <c r="AM3" s="35"/>
      <c r="AN3" s="130"/>
      <c r="AO3" s="32" t="str">
        <f>Source!$C17</f>
        <v/>
      </c>
      <c r="AP3" s="33" t="s">
        <v>29</v>
      </c>
      <c r="AQ3" s="34"/>
      <c r="AR3" s="35"/>
      <c r="AS3" s="130"/>
      <c r="AT3" s="32" t="str">
        <f>Source!$C17</f>
        <v/>
      </c>
      <c r="AU3" s="33" t="s">
        <v>646</v>
      </c>
      <c r="AV3" s="34"/>
      <c r="AW3" s="35"/>
      <c r="AX3" s="130"/>
      <c r="AY3" s="32" t="str">
        <f>Source!$C17</f>
        <v/>
      </c>
      <c r="AZ3" s="33" t="s">
        <v>30</v>
      </c>
      <c r="BA3" s="34"/>
      <c r="BB3" s="35"/>
      <c r="BC3" s="130"/>
      <c r="BD3" s="32" t="str">
        <f>Source!$C17</f>
        <v/>
      </c>
      <c r="BE3" s="33" t="s">
        <v>647</v>
      </c>
      <c r="BF3" s="34"/>
      <c r="BG3" s="35"/>
      <c r="BH3" s="130"/>
      <c r="BI3" s="32" t="str">
        <f>Source!$C17</f>
        <v/>
      </c>
      <c r="BJ3" s="33" t="s">
        <v>33</v>
      </c>
      <c r="BK3" s="34"/>
      <c r="BL3" s="35"/>
      <c r="BM3" s="130"/>
      <c r="BN3" s="32" t="str">
        <f>Source!$C17</f>
        <v/>
      </c>
      <c r="BO3" s="33" t="s">
        <v>45</v>
      </c>
      <c r="BP3" s="34"/>
      <c r="BQ3" s="35"/>
      <c r="BR3" s="130"/>
      <c r="BS3" s="32" t="str">
        <f>Source!$C17</f>
        <v/>
      </c>
      <c r="BT3" s="33" t="s">
        <v>648</v>
      </c>
      <c r="BU3" s="34"/>
      <c r="BV3" s="35"/>
      <c r="BW3" s="130"/>
      <c r="BX3" s="32" t="str">
        <f>Source!$C17</f>
        <v/>
      </c>
      <c r="BY3" s="33" t="s">
        <v>46</v>
      </c>
      <c r="BZ3" s="34"/>
      <c r="CA3" s="35"/>
      <c r="CB3" s="130"/>
      <c r="CC3" s="32" t="str">
        <f>Source!$C17</f>
        <v/>
      </c>
      <c r="CD3" s="33" t="s">
        <v>649</v>
      </c>
      <c r="CE3" s="34"/>
      <c r="CF3" s="35"/>
      <c r="CG3" s="130"/>
      <c r="CH3" s="32" t="str">
        <f>Source!$C17</f>
        <v/>
      </c>
      <c r="CI3" s="33" t="s">
        <v>650</v>
      </c>
      <c r="CJ3" s="34"/>
      <c r="CK3" s="35"/>
      <c r="CL3" s="130"/>
      <c r="CM3" s="32" t="str">
        <f>Source!$C17</f>
        <v/>
      </c>
      <c r="CN3" s="33" t="s">
        <v>651</v>
      </c>
      <c r="CO3" s="34"/>
      <c r="CP3" s="35"/>
      <c r="CQ3" s="130"/>
      <c r="CR3" s="32" t="str">
        <f>Source!$C17</f>
        <v/>
      </c>
      <c r="CS3" s="33" t="s">
        <v>652</v>
      </c>
      <c r="CT3" s="34"/>
      <c r="CU3" s="35"/>
      <c r="CV3" s="130"/>
      <c r="CW3" s="32" t="str">
        <f>Source!$C17</f>
        <v/>
      </c>
      <c r="CX3" s="33" t="s">
        <v>52</v>
      </c>
      <c r="CY3" s="34"/>
      <c r="CZ3" s="35"/>
      <c r="DA3" s="130"/>
      <c r="DB3" s="32" t="str">
        <f>Source!$C17</f>
        <v/>
      </c>
      <c r="DC3" s="33" t="s">
        <v>653</v>
      </c>
      <c r="DD3" s="34"/>
      <c r="DE3" s="35"/>
      <c r="DF3" s="130"/>
      <c r="DG3" s="32" t="str">
        <f>Source!$C17</f>
        <v/>
      </c>
      <c r="DH3" s="33" t="s">
        <v>654</v>
      </c>
      <c r="DI3" s="34"/>
      <c r="DJ3" s="35"/>
      <c r="DK3" s="130"/>
      <c r="DL3" s="32" t="str">
        <f>Source!$C17</f>
        <v/>
      </c>
      <c r="DM3" s="38" t="s">
        <v>60</v>
      </c>
      <c r="DN3" s="34"/>
      <c r="DO3" s="35"/>
      <c r="DP3" s="131"/>
      <c r="DQ3" s="32" t="str">
        <f>Source!$C17</f>
        <v/>
      </c>
      <c r="DR3" s="37" t="s">
        <v>62</v>
      </c>
      <c r="DS3" s="34"/>
      <c r="DT3" s="35"/>
      <c r="DU3" s="130"/>
      <c r="DV3" s="32" t="str">
        <f>Source!$C17</f>
        <v/>
      </c>
      <c r="DW3" s="33" t="s">
        <v>49</v>
      </c>
      <c r="DX3" s="34"/>
      <c r="DY3" s="35"/>
      <c r="DZ3" s="130"/>
      <c r="EA3" s="39" t="s">
        <v>68</v>
      </c>
      <c r="EB3" s="130"/>
      <c r="EC3" s="32" t="str">
        <f>Source!$C17</f>
        <v/>
      </c>
      <c r="ED3" s="33" t="s">
        <v>69</v>
      </c>
      <c r="EE3" s="34"/>
      <c r="EF3" s="35"/>
      <c r="EG3" s="130"/>
      <c r="EH3" s="32" t="str">
        <f>Source!$C17</f>
        <v/>
      </c>
      <c r="EI3" s="33" t="s">
        <v>72</v>
      </c>
      <c r="EJ3" s="34"/>
      <c r="EK3" s="35"/>
      <c r="EL3" s="130"/>
      <c r="EM3" s="32" t="str">
        <f>Source!$C17</f>
        <v/>
      </c>
      <c r="EN3" s="33" t="s">
        <v>75</v>
      </c>
      <c r="EO3" s="34"/>
      <c r="EP3" s="35"/>
      <c r="EQ3" s="130"/>
      <c r="ER3" s="32" t="str">
        <f>Source!$C17</f>
        <v/>
      </c>
      <c r="ES3" s="33" t="s">
        <v>76</v>
      </c>
      <c r="ET3" s="34"/>
      <c r="EU3" s="35"/>
      <c r="EV3" s="130"/>
      <c r="EW3" s="32" t="str">
        <f>Source!$C17</f>
        <v/>
      </c>
      <c r="EX3" s="33" t="s">
        <v>74</v>
      </c>
      <c r="EY3" s="34"/>
      <c r="EZ3" s="35"/>
      <c r="FA3" s="132"/>
      <c r="FB3" s="133"/>
    </row>
    <row r="4" ht="15.0" customHeight="1">
      <c r="A4" s="134"/>
      <c r="B4" s="135"/>
      <c r="C4" s="136" t="s">
        <v>655</v>
      </c>
      <c r="D4" s="137"/>
      <c r="E4" s="138"/>
      <c r="F4" s="139" t="s">
        <v>80</v>
      </c>
      <c r="G4" s="140" t="s">
        <v>81</v>
      </c>
      <c r="H4" s="48"/>
      <c r="I4" s="141" t="s">
        <v>82</v>
      </c>
      <c r="J4" s="142"/>
      <c r="K4" s="139" t="s">
        <v>80</v>
      </c>
      <c r="L4" s="140" t="s">
        <v>81</v>
      </c>
      <c r="M4" s="48"/>
      <c r="N4" s="141" t="s">
        <v>82</v>
      </c>
      <c r="O4" s="142"/>
      <c r="P4" s="139" t="s">
        <v>80</v>
      </c>
      <c r="Q4" s="140" t="s">
        <v>81</v>
      </c>
      <c r="R4" s="48"/>
      <c r="S4" s="141" t="s">
        <v>82</v>
      </c>
      <c r="T4" s="142"/>
      <c r="U4" s="139" t="s">
        <v>80</v>
      </c>
      <c r="V4" s="140" t="s">
        <v>81</v>
      </c>
      <c r="W4" s="48"/>
      <c r="X4" s="141" t="s">
        <v>82</v>
      </c>
      <c r="Y4" s="142"/>
      <c r="Z4" s="139" t="s">
        <v>80</v>
      </c>
      <c r="AA4" s="140" t="s">
        <v>81</v>
      </c>
      <c r="AB4" s="48"/>
      <c r="AC4" s="141" t="s">
        <v>82</v>
      </c>
      <c r="AD4" s="142"/>
      <c r="AE4" s="139" t="s">
        <v>80</v>
      </c>
      <c r="AF4" s="140" t="s">
        <v>81</v>
      </c>
      <c r="AG4" s="48"/>
      <c r="AH4" s="141" t="s">
        <v>82</v>
      </c>
      <c r="AI4" s="142"/>
      <c r="AJ4" s="139" t="s">
        <v>80</v>
      </c>
      <c r="AK4" s="140" t="s">
        <v>81</v>
      </c>
      <c r="AL4" s="48"/>
      <c r="AM4" s="141" t="s">
        <v>82</v>
      </c>
      <c r="AN4" s="142"/>
      <c r="AO4" s="139" t="s">
        <v>80</v>
      </c>
      <c r="AP4" s="140" t="s">
        <v>81</v>
      </c>
      <c r="AQ4" s="48"/>
      <c r="AR4" s="141" t="s">
        <v>82</v>
      </c>
      <c r="AS4" s="142"/>
      <c r="AT4" s="139" t="s">
        <v>80</v>
      </c>
      <c r="AU4" s="140" t="s">
        <v>81</v>
      </c>
      <c r="AV4" s="48"/>
      <c r="AW4" s="141" t="s">
        <v>82</v>
      </c>
      <c r="AX4" s="142"/>
      <c r="AY4" s="139" t="s">
        <v>80</v>
      </c>
      <c r="AZ4" s="140" t="s">
        <v>81</v>
      </c>
      <c r="BA4" s="48"/>
      <c r="BB4" s="141" t="s">
        <v>82</v>
      </c>
      <c r="BC4" s="142"/>
      <c r="BD4" s="139" t="s">
        <v>80</v>
      </c>
      <c r="BE4" s="140" t="s">
        <v>81</v>
      </c>
      <c r="BF4" s="48"/>
      <c r="BG4" s="141" t="s">
        <v>82</v>
      </c>
      <c r="BH4" s="142"/>
      <c r="BI4" s="139" t="s">
        <v>80</v>
      </c>
      <c r="BJ4" s="140" t="s">
        <v>81</v>
      </c>
      <c r="BK4" s="48"/>
      <c r="BL4" s="141" t="s">
        <v>82</v>
      </c>
      <c r="BM4" s="142"/>
      <c r="BN4" s="139" t="s">
        <v>80</v>
      </c>
      <c r="BO4" s="140" t="s">
        <v>81</v>
      </c>
      <c r="BP4" s="48"/>
      <c r="BQ4" s="141" t="s">
        <v>82</v>
      </c>
      <c r="BR4" s="142"/>
      <c r="BS4" s="139" t="s">
        <v>80</v>
      </c>
      <c r="BT4" s="140" t="s">
        <v>81</v>
      </c>
      <c r="BU4" s="48"/>
      <c r="BV4" s="141" t="s">
        <v>82</v>
      </c>
      <c r="BW4" s="142"/>
      <c r="BX4" s="139" t="s">
        <v>80</v>
      </c>
      <c r="BY4" s="140" t="s">
        <v>81</v>
      </c>
      <c r="BZ4" s="48"/>
      <c r="CA4" s="141" t="s">
        <v>82</v>
      </c>
      <c r="CB4" s="142"/>
      <c r="CC4" s="139" t="s">
        <v>80</v>
      </c>
      <c r="CD4" s="140" t="s">
        <v>81</v>
      </c>
      <c r="CE4" s="48"/>
      <c r="CF4" s="141" t="s">
        <v>82</v>
      </c>
      <c r="CG4" s="142"/>
      <c r="CH4" s="139" t="s">
        <v>80</v>
      </c>
      <c r="CI4" s="140" t="s">
        <v>81</v>
      </c>
      <c r="CJ4" s="48"/>
      <c r="CK4" s="141" t="s">
        <v>82</v>
      </c>
      <c r="CL4" s="142"/>
      <c r="CM4" s="139" t="s">
        <v>80</v>
      </c>
      <c r="CN4" s="140" t="s">
        <v>81</v>
      </c>
      <c r="CO4" s="48"/>
      <c r="CP4" s="141" t="s">
        <v>82</v>
      </c>
      <c r="CQ4" s="142"/>
      <c r="CR4" s="139" t="s">
        <v>80</v>
      </c>
      <c r="CS4" s="140" t="s">
        <v>81</v>
      </c>
      <c r="CT4" s="48"/>
      <c r="CU4" s="141" t="s">
        <v>82</v>
      </c>
      <c r="CV4" s="142"/>
      <c r="CW4" s="139" t="s">
        <v>80</v>
      </c>
      <c r="CX4" s="140" t="s">
        <v>81</v>
      </c>
      <c r="CY4" s="48"/>
      <c r="CZ4" s="141" t="s">
        <v>82</v>
      </c>
      <c r="DA4" s="142"/>
      <c r="DB4" s="139" t="s">
        <v>80</v>
      </c>
      <c r="DC4" s="140" t="s">
        <v>81</v>
      </c>
      <c r="DD4" s="48"/>
      <c r="DE4" s="141" t="s">
        <v>82</v>
      </c>
      <c r="DF4" s="142"/>
      <c r="DG4" s="139" t="s">
        <v>80</v>
      </c>
      <c r="DH4" s="140" t="s">
        <v>81</v>
      </c>
      <c r="DI4" s="48"/>
      <c r="DJ4" s="141" t="s">
        <v>82</v>
      </c>
      <c r="DK4" s="142"/>
      <c r="DL4" s="139" t="s">
        <v>80</v>
      </c>
      <c r="DM4" s="140" t="s">
        <v>81</v>
      </c>
      <c r="DN4" s="48"/>
      <c r="DO4" s="141" t="s">
        <v>82</v>
      </c>
      <c r="DP4" s="143"/>
      <c r="DQ4" s="139" t="s">
        <v>80</v>
      </c>
      <c r="DR4" s="140" t="s">
        <v>81</v>
      </c>
      <c r="DS4" s="48"/>
      <c r="DT4" s="141" t="s">
        <v>82</v>
      </c>
      <c r="DU4" s="142"/>
      <c r="DV4" s="139" t="s">
        <v>80</v>
      </c>
      <c r="DW4" s="140" t="s">
        <v>81</v>
      </c>
      <c r="DX4" s="48"/>
      <c r="DY4" s="141" t="s">
        <v>82</v>
      </c>
      <c r="DZ4" s="142"/>
      <c r="EA4" s="51"/>
      <c r="EB4" s="142"/>
      <c r="EC4" s="139" t="s">
        <v>80</v>
      </c>
      <c r="ED4" s="140" t="s">
        <v>81</v>
      </c>
      <c r="EE4" s="48"/>
      <c r="EF4" s="141" t="s">
        <v>82</v>
      </c>
      <c r="EG4" s="142"/>
      <c r="EH4" s="139" t="s">
        <v>80</v>
      </c>
      <c r="EI4" s="140" t="s">
        <v>81</v>
      </c>
      <c r="EJ4" s="48"/>
      <c r="EK4" s="141" t="s">
        <v>82</v>
      </c>
      <c r="EL4" s="142"/>
      <c r="EM4" s="139" t="s">
        <v>80</v>
      </c>
      <c r="EN4" s="140" t="s">
        <v>81</v>
      </c>
      <c r="EO4" s="48"/>
      <c r="EP4" s="141" t="s">
        <v>82</v>
      </c>
      <c r="EQ4" s="142"/>
      <c r="ER4" s="139" t="s">
        <v>80</v>
      </c>
      <c r="ES4" s="140" t="s">
        <v>81</v>
      </c>
      <c r="ET4" s="48"/>
      <c r="EU4" s="141" t="s">
        <v>82</v>
      </c>
      <c r="EV4" s="142"/>
      <c r="EW4" s="139" t="s">
        <v>80</v>
      </c>
      <c r="EX4" s="140" t="s">
        <v>81</v>
      </c>
      <c r="EY4" s="48"/>
      <c r="EZ4" s="141" t="s">
        <v>82</v>
      </c>
      <c r="FA4" s="144"/>
      <c r="FB4" s="145"/>
    </row>
    <row r="5" ht="23.25" customHeight="1">
      <c r="A5" s="23"/>
      <c r="B5" s="146"/>
      <c r="C5" s="147"/>
      <c r="D5" s="147"/>
      <c r="E5" s="148"/>
      <c r="F5" s="149">
        <v>0.7</v>
      </c>
      <c r="G5" s="150" t="str">
        <f t="array" ref="G5:G6">IFERROR(VLOOKUP(H5:H6,Dex!$B$3:$N30,2,FALSE),"")</f>
        <v/>
      </c>
      <c r="H5" s="151" t="s">
        <v>656</v>
      </c>
      <c r="I5" s="152">
        <v>44231.0</v>
      </c>
      <c r="J5" s="153"/>
      <c r="K5" s="149">
        <v>0.7</v>
      </c>
      <c r="L5" s="150" t="str">
        <f t="array" ref="L5:L6">IFERROR(VLOOKUP(M5:M6,Dex!$B$3:$N30,2,FALSE),"")</f>
        <v/>
      </c>
      <c r="M5" s="151" t="s">
        <v>397</v>
      </c>
      <c r="N5" s="152">
        <v>44624.0</v>
      </c>
      <c r="O5" s="153"/>
      <c r="P5" s="149">
        <v>0.7</v>
      </c>
      <c r="Q5" s="150" t="str">
        <f t="array" ref="Q5:Q6">IFERROR(VLOOKUP(R5:R6,Dex!$B$3:$N30,2,FALSE),"")</f>
        <v/>
      </c>
      <c r="R5" s="151" t="s">
        <v>657</v>
      </c>
      <c r="S5" s="152">
        <v>44596.0</v>
      </c>
      <c r="T5" s="153"/>
      <c r="U5" s="149">
        <v>0.7</v>
      </c>
      <c r="V5" s="150" t="str">
        <f t="array" ref="V5:V6">IFERROR(VLOOKUP(W5:W6,Dex!$B$3:$N30,2,FALSE),"")</f>
        <v/>
      </c>
      <c r="W5" s="151" t="s">
        <v>658</v>
      </c>
      <c r="X5" s="152">
        <v>44596.0</v>
      </c>
      <c r="Y5" s="153"/>
      <c r="Z5" s="149">
        <v>0.7</v>
      </c>
      <c r="AA5" s="150" t="str">
        <f t="array" ref="AA5:AA6">IFERROR(VLOOKUP(AB5:AB6,Dex!$B$3:$N30,2,FALSE),"")</f>
        <v/>
      </c>
      <c r="AB5" s="151" t="s">
        <v>357</v>
      </c>
      <c r="AC5" s="152">
        <v>44596.0</v>
      </c>
      <c r="AD5" s="153"/>
      <c r="AE5" s="149">
        <v>0.7</v>
      </c>
      <c r="AF5" s="150" t="str">
        <f t="array" ref="AF5:AF6">IFERROR(VLOOKUP(AG5:AG6,Dex!$B$3:$N30,2,FALSE),"")</f>
        <v/>
      </c>
      <c r="AG5" s="151" t="s">
        <v>659</v>
      </c>
      <c r="AH5" s="152">
        <v>44596.0</v>
      </c>
      <c r="AI5" s="153"/>
      <c r="AJ5" s="149">
        <v>0.7</v>
      </c>
      <c r="AK5" s="150" t="str">
        <f t="array" ref="AK5:AK6">IFERROR(VLOOKUP(AL5:AL6,Dex!$B$3:$N30,2,FALSE),"")</f>
        <v/>
      </c>
      <c r="AL5" s="151" t="s">
        <v>658</v>
      </c>
      <c r="AM5" s="152">
        <v>44596.0</v>
      </c>
      <c r="AN5" s="153"/>
      <c r="AO5" s="149">
        <v>0.7</v>
      </c>
      <c r="AP5" s="150" t="str">
        <f t="array" ref="AP5:AP6">IFERROR(VLOOKUP(AQ5:AQ6,Dex!$B$3:$N30,2,FALSE),"")</f>
        <v/>
      </c>
      <c r="AQ5" s="151" t="s">
        <v>660</v>
      </c>
      <c r="AR5" s="152">
        <v>44596.0</v>
      </c>
      <c r="AS5" s="153"/>
      <c r="AT5" s="149">
        <v>0.7</v>
      </c>
      <c r="AU5" s="150" t="str">
        <f t="array" ref="AU5:AU6">IFERROR(VLOOKUP(AV5:AV6,Dex!$B$3:$N30,2,FALSE),"")</f>
        <v/>
      </c>
      <c r="AV5" s="151" t="s">
        <v>661</v>
      </c>
      <c r="AW5" s="152">
        <v>44596.0</v>
      </c>
      <c r="AX5" s="153"/>
      <c r="AY5" s="149">
        <v>0.7</v>
      </c>
      <c r="AZ5" s="150" t="str">
        <f t="array" ref="AZ5:AZ6">IFERROR(VLOOKUP(BA5:BA6,Dex!$B$3:$N30,2,FALSE),"")</f>
        <v/>
      </c>
      <c r="BA5" s="151" t="s">
        <v>662</v>
      </c>
      <c r="BB5" s="152">
        <v>44596.0</v>
      </c>
      <c r="BC5" s="153"/>
      <c r="BD5" s="149">
        <v>0.7</v>
      </c>
      <c r="BE5" s="150" t="str">
        <f t="array" ref="BE5:BE6">IFERROR(VLOOKUP(BF5:BF6,Dex!$B$3:$N30,2,FALSE),"")</f>
        <v/>
      </c>
      <c r="BF5" s="151" t="s">
        <v>663</v>
      </c>
      <c r="BG5" s="152">
        <v>44596.0</v>
      </c>
      <c r="BH5" s="153"/>
      <c r="BI5" s="149">
        <v>0.7</v>
      </c>
      <c r="BJ5" s="150" t="str">
        <f t="array" ref="BJ5:BJ6">IFERROR(VLOOKUP(BK5:BK6,Dex!$B$3:$N30,2,FALSE),"")</f>
        <v/>
      </c>
      <c r="BK5" s="151" t="s">
        <v>86</v>
      </c>
      <c r="BL5" s="152">
        <v>44596.0</v>
      </c>
      <c r="BM5" s="153"/>
      <c r="BN5" s="149">
        <v>0.7</v>
      </c>
      <c r="BO5" s="150" t="str">
        <f t="array" ref="BO5:BO6">IFERROR(VLOOKUP(BP5:BP6,Dex!$B$3:$N30,2,FALSE),"")</f>
        <v/>
      </c>
      <c r="BP5" s="151" t="s">
        <v>664</v>
      </c>
      <c r="BQ5" s="152">
        <v>44596.0</v>
      </c>
      <c r="BR5" s="153"/>
      <c r="BS5" s="149">
        <v>0.7</v>
      </c>
      <c r="BT5" s="150" t="str">
        <f t="array" ref="BT5:BT6">IFERROR(VLOOKUP(BU5:BU6,Dex!$B$3:$N30,2,FALSE),"")</f>
        <v/>
      </c>
      <c r="BU5" s="151" t="s">
        <v>658</v>
      </c>
      <c r="BV5" s="152">
        <v>44596.0</v>
      </c>
      <c r="BW5" s="153"/>
      <c r="BX5" s="149">
        <v>0.7</v>
      </c>
      <c r="BY5" s="150" t="str">
        <f t="array" ref="BY5:BY6">IFERROR(VLOOKUP(BZ5:BZ6,Dex!$B$3:$N30,2,FALSE),"")</f>
        <v/>
      </c>
      <c r="BZ5" s="151" t="s">
        <v>665</v>
      </c>
      <c r="CA5" s="152">
        <v>44596.0</v>
      </c>
      <c r="CB5" s="153"/>
      <c r="CC5" s="149">
        <v>0.7</v>
      </c>
      <c r="CD5" s="150" t="str">
        <f t="array" ref="CD5:CD6">IFERROR(VLOOKUP(CE5:CE6,Dex!$B$3:$N30,2,FALSE),"")</f>
        <v/>
      </c>
      <c r="CE5" s="151" t="s">
        <v>658</v>
      </c>
      <c r="CF5" s="152">
        <v>44596.0</v>
      </c>
      <c r="CG5" s="153"/>
      <c r="CH5" s="149">
        <v>0.7</v>
      </c>
      <c r="CI5" s="150" t="str">
        <f t="array" ref="CI5:CI6">IFERROR(VLOOKUP(CJ5:CJ6,Dex!$B$3:$N30,2,FALSE),"")</f>
        <v/>
      </c>
      <c r="CJ5" s="151" t="s">
        <v>666</v>
      </c>
      <c r="CK5" s="152">
        <v>44596.0</v>
      </c>
      <c r="CL5" s="153"/>
      <c r="CM5" s="149">
        <v>0.7</v>
      </c>
      <c r="CN5" s="150" t="str">
        <f t="array" ref="CN5:CN6">IFERROR(VLOOKUP(CO5:CO6,Dex!$B$3:$N30,2,FALSE),"")</f>
        <v/>
      </c>
      <c r="CO5" s="151" t="s">
        <v>658</v>
      </c>
      <c r="CP5" s="152">
        <v>44596.0</v>
      </c>
      <c r="CQ5" s="153"/>
      <c r="CR5" s="149">
        <v>0.7</v>
      </c>
      <c r="CS5" s="150" t="str">
        <f t="array" ref="CS5:CS6">IFERROR(VLOOKUP(CT5:CT6,Dex!$B$3:$N30,2,FALSE),"")</f>
        <v/>
      </c>
      <c r="CT5" s="151" t="s">
        <v>658</v>
      </c>
      <c r="CU5" s="152">
        <v>44596.0</v>
      </c>
      <c r="CV5" s="153"/>
      <c r="CW5" s="149">
        <v>0.7</v>
      </c>
      <c r="CX5" s="150" t="str">
        <f t="array" ref="CX5:CX6">IFERROR(VLOOKUP(CY5:CY6,Dex!$B$3:$N30,2,FALSE),"")</f>
        <v/>
      </c>
      <c r="CY5" s="151" t="s">
        <v>658</v>
      </c>
      <c r="CZ5" s="152">
        <v>44596.0</v>
      </c>
      <c r="DA5" s="153"/>
      <c r="DB5" s="149">
        <v>0.7</v>
      </c>
      <c r="DC5" s="150" t="str">
        <f t="array" ref="DC5:DC6">IFERROR(VLOOKUP(DD5:DD6,Dex!$B$3:$N30,2,FALSE),"")</f>
        <v/>
      </c>
      <c r="DD5" s="151" t="s">
        <v>658</v>
      </c>
      <c r="DE5" s="152">
        <v>44596.0</v>
      </c>
      <c r="DF5" s="153"/>
      <c r="DG5" s="149">
        <v>0.7</v>
      </c>
      <c r="DH5" s="150" t="str">
        <f t="array" ref="DH5:DH6">IFERROR(VLOOKUP(DI5:DI6,Dex!$B$3:$N30,2,FALSE),"")</f>
        <v/>
      </c>
      <c r="DI5" s="151" t="s">
        <v>658</v>
      </c>
      <c r="DJ5" s="152">
        <v>44596.0</v>
      </c>
      <c r="DK5" s="153"/>
      <c r="DL5" s="149">
        <v>0.7</v>
      </c>
      <c r="DM5" s="150" t="str">
        <f t="array" ref="DM5:DM6">IFERROR(VLOOKUP(DN5:DN6,Dex!$B$3:$N30,2,FALSE),"")</f>
        <v/>
      </c>
      <c r="DN5" s="151" t="s">
        <v>658</v>
      </c>
      <c r="DO5" s="152">
        <v>44596.0</v>
      </c>
      <c r="DP5" s="154"/>
      <c r="DQ5" s="149">
        <v>0.7</v>
      </c>
      <c r="DR5" s="150" t="str">
        <f t="array" ref="DR5:DR6">IFERROR(VLOOKUP(DS5:DS6,Dex!$B$3:$N30,2,FALSE),"")</f>
        <v/>
      </c>
      <c r="DS5" s="151" t="s">
        <v>667</v>
      </c>
      <c r="DT5" s="152">
        <v>44596.0</v>
      </c>
      <c r="DU5" s="153"/>
      <c r="DV5" s="149">
        <v>0.7</v>
      </c>
      <c r="DW5" s="150" t="str">
        <f t="array" ref="DW5:DW6">IFERROR(VLOOKUP(DX5:DX6,Dex!$B$3:$N30,2,FALSE),"")</f>
        <v/>
      </c>
      <c r="DX5" s="151" t="s">
        <v>658</v>
      </c>
      <c r="DY5" s="152">
        <v>44596.0</v>
      </c>
      <c r="DZ5" s="153"/>
      <c r="EA5" s="51"/>
      <c r="EB5" s="153"/>
      <c r="EC5" s="149">
        <v>0.7</v>
      </c>
      <c r="ED5" s="150" t="str">
        <f t="array" ref="ED5:ED6">IFERROR(VLOOKUP(EE5:EE6,Dex!$B$3:$N30,2,FALSE),"")</f>
        <v/>
      </c>
      <c r="EE5" s="151" t="s">
        <v>667</v>
      </c>
      <c r="EF5" s="152" t="s">
        <v>150</v>
      </c>
      <c r="EG5" s="153"/>
      <c r="EH5" s="149">
        <v>0.7</v>
      </c>
      <c r="EI5" s="150" t="str">
        <f t="array" ref="EI5:EI6">IFERROR(VLOOKUP(EJ5:EJ6,Dex!$B$3:$N30,2,FALSE),"")</f>
        <v/>
      </c>
      <c r="EJ5" s="151" t="s">
        <v>667</v>
      </c>
      <c r="EK5" s="152" t="s">
        <v>152</v>
      </c>
      <c r="EL5" s="153"/>
      <c r="EM5" s="149">
        <v>0.7</v>
      </c>
      <c r="EN5" s="150" t="str">
        <f t="array" ref="EN5:EN6">IFERROR(VLOOKUP(EO5:EO6,Dex!$B$3:$N30,2,FALSE),"")</f>
        <v/>
      </c>
      <c r="EO5" s="151" t="s">
        <v>667</v>
      </c>
      <c r="EP5" s="152" t="s">
        <v>150</v>
      </c>
      <c r="EQ5" s="153"/>
      <c r="ER5" s="149">
        <v>0.7</v>
      </c>
      <c r="ES5" s="150" t="str">
        <f t="array" ref="ES5:ES6">IFERROR(VLOOKUP(ET5:ET6,Dex!$B$3:$N30,2,FALSE),"")</f>
        <v/>
      </c>
      <c r="ET5" s="151" t="s">
        <v>668</v>
      </c>
      <c r="EU5" s="152" t="s">
        <v>150</v>
      </c>
      <c r="EV5" s="153"/>
      <c r="EW5" s="149">
        <v>0.7</v>
      </c>
      <c r="EX5" s="150" t="str">
        <f t="array" ref="EX5:EX6">IFERROR(VLOOKUP(EY5:EY6,Dex!$B$3:$N30,2,FALSE),"")</f>
        <v/>
      </c>
      <c r="EY5" s="151" t="s">
        <v>667</v>
      </c>
      <c r="EZ5" s="152" t="s">
        <v>150</v>
      </c>
      <c r="FA5" s="155"/>
      <c r="FB5" s="156"/>
    </row>
    <row r="6" ht="24.0" customHeight="1">
      <c r="A6" s="23"/>
      <c r="B6" s="146"/>
      <c r="C6" s="103"/>
      <c r="D6" s="103"/>
      <c r="E6" s="148"/>
      <c r="F6" s="157">
        <v>0.3</v>
      </c>
      <c r="G6" s="158"/>
      <c r="H6" s="159" t="s">
        <v>669</v>
      </c>
      <c r="I6" s="160">
        <v>44231.0</v>
      </c>
      <c r="J6" s="153"/>
      <c r="K6" s="157">
        <v>0.3</v>
      </c>
      <c r="L6" s="158"/>
      <c r="M6" s="159" t="s">
        <v>666</v>
      </c>
      <c r="N6" s="160">
        <v>44624.0</v>
      </c>
      <c r="O6" s="153"/>
      <c r="P6" s="157">
        <v>0.3</v>
      </c>
      <c r="Q6" s="158"/>
      <c r="R6" s="159" t="s">
        <v>670</v>
      </c>
      <c r="S6" s="160">
        <v>44596.0</v>
      </c>
      <c r="T6" s="153"/>
      <c r="U6" s="157">
        <v>0.3</v>
      </c>
      <c r="V6" s="158"/>
      <c r="W6" s="159" t="s">
        <v>671</v>
      </c>
      <c r="X6" s="160">
        <v>44596.0</v>
      </c>
      <c r="Y6" s="153"/>
      <c r="Z6" s="157">
        <v>0.3</v>
      </c>
      <c r="AA6" s="158"/>
      <c r="AB6" s="159" t="s">
        <v>672</v>
      </c>
      <c r="AC6" s="160">
        <v>44596.0</v>
      </c>
      <c r="AD6" s="153"/>
      <c r="AE6" s="157">
        <v>0.3</v>
      </c>
      <c r="AF6" s="158"/>
      <c r="AG6" s="159" t="s">
        <v>640</v>
      </c>
      <c r="AH6" s="160">
        <v>44596.0</v>
      </c>
      <c r="AI6" s="153"/>
      <c r="AJ6" s="157">
        <v>0.3</v>
      </c>
      <c r="AK6" s="158"/>
      <c r="AL6" s="159" t="s">
        <v>660</v>
      </c>
      <c r="AM6" s="160">
        <v>44596.0</v>
      </c>
      <c r="AN6" s="153"/>
      <c r="AO6" s="157">
        <v>0.3</v>
      </c>
      <c r="AP6" s="158"/>
      <c r="AQ6" s="159" t="s">
        <v>671</v>
      </c>
      <c r="AR6" s="160">
        <v>44596.0</v>
      </c>
      <c r="AS6" s="153"/>
      <c r="AT6" s="157">
        <v>0.3</v>
      </c>
      <c r="AU6" s="158"/>
      <c r="AV6" s="159" t="s">
        <v>673</v>
      </c>
      <c r="AW6" s="160">
        <v>44596.0</v>
      </c>
      <c r="AX6" s="153"/>
      <c r="AY6" s="157">
        <v>0.3</v>
      </c>
      <c r="AZ6" s="158"/>
      <c r="BA6" s="159" t="s">
        <v>674</v>
      </c>
      <c r="BB6" s="160">
        <v>44596.0</v>
      </c>
      <c r="BC6" s="153"/>
      <c r="BD6" s="157">
        <v>0.3</v>
      </c>
      <c r="BE6" s="158"/>
      <c r="BF6" s="159" t="s">
        <v>673</v>
      </c>
      <c r="BG6" s="160">
        <v>44596.0</v>
      </c>
      <c r="BH6" s="153"/>
      <c r="BI6" s="157">
        <v>0.3</v>
      </c>
      <c r="BJ6" s="158"/>
      <c r="BK6" s="159" t="s">
        <v>675</v>
      </c>
      <c r="BL6" s="160">
        <v>44596.0</v>
      </c>
      <c r="BM6" s="153"/>
      <c r="BN6" s="157">
        <v>0.3</v>
      </c>
      <c r="BO6" s="158"/>
      <c r="BP6" s="159" t="s">
        <v>676</v>
      </c>
      <c r="BQ6" s="160">
        <v>44596.0</v>
      </c>
      <c r="BR6" s="153"/>
      <c r="BS6" s="157">
        <v>0.3</v>
      </c>
      <c r="BT6" s="158"/>
      <c r="BU6" s="159" t="s">
        <v>661</v>
      </c>
      <c r="BV6" s="160">
        <v>44596.0</v>
      </c>
      <c r="BW6" s="153"/>
      <c r="BX6" s="157">
        <v>0.3</v>
      </c>
      <c r="BY6" s="158"/>
      <c r="BZ6" s="159" t="s">
        <v>677</v>
      </c>
      <c r="CA6" s="160">
        <v>44596.0</v>
      </c>
      <c r="CB6" s="153"/>
      <c r="CC6" s="157">
        <v>0.3</v>
      </c>
      <c r="CD6" s="158"/>
      <c r="CE6" s="159" t="s">
        <v>658</v>
      </c>
      <c r="CF6" s="160">
        <v>44596.0</v>
      </c>
      <c r="CG6" s="153"/>
      <c r="CH6" s="157">
        <v>0.3</v>
      </c>
      <c r="CI6" s="158"/>
      <c r="CJ6" s="159" t="s">
        <v>674</v>
      </c>
      <c r="CK6" s="160">
        <v>44596.0</v>
      </c>
      <c r="CL6" s="153"/>
      <c r="CM6" s="157">
        <v>0.3</v>
      </c>
      <c r="CN6" s="158"/>
      <c r="CO6" s="159" t="s">
        <v>660</v>
      </c>
      <c r="CP6" s="160">
        <v>44596.0</v>
      </c>
      <c r="CQ6" s="153"/>
      <c r="CR6" s="157">
        <v>0.3</v>
      </c>
      <c r="CS6" s="158"/>
      <c r="CT6" s="159" t="s">
        <v>671</v>
      </c>
      <c r="CU6" s="160">
        <v>44596.0</v>
      </c>
      <c r="CV6" s="153"/>
      <c r="CW6" s="157">
        <v>0.3</v>
      </c>
      <c r="CX6" s="158"/>
      <c r="CY6" s="159" t="s">
        <v>678</v>
      </c>
      <c r="CZ6" s="160">
        <v>44596.0</v>
      </c>
      <c r="DA6" s="153"/>
      <c r="DB6" s="157">
        <v>0.3</v>
      </c>
      <c r="DC6" s="158"/>
      <c r="DD6" s="159" t="s">
        <v>679</v>
      </c>
      <c r="DE6" s="160">
        <v>44596.0</v>
      </c>
      <c r="DF6" s="153"/>
      <c r="DG6" s="157">
        <v>0.3</v>
      </c>
      <c r="DH6" s="158"/>
      <c r="DI6" s="159" t="s">
        <v>680</v>
      </c>
      <c r="DJ6" s="160">
        <v>44596.0</v>
      </c>
      <c r="DK6" s="153"/>
      <c r="DL6" s="157">
        <v>0.3</v>
      </c>
      <c r="DM6" s="158"/>
      <c r="DN6" s="159" t="s">
        <v>668</v>
      </c>
      <c r="DO6" s="160">
        <v>44596.0</v>
      </c>
      <c r="DP6" s="154"/>
      <c r="DQ6" s="157">
        <v>0.3</v>
      </c>
      <c r="DR6" s="158"/>
      <c r="DS6" s="159" t="s">
        <v>681</v>
      </c>
      <c r="DT6" s="160">
        <v>44596.0</v>
      </c>
      <c r="DU6" s="153"/>
      <c r="DV6" s="157">
        <v>0.3</v>
      </c>
      <c r="DW6" s="158"/>
      <c r="DX6" s="159" t="s">
        <v>658</v>
      </c>
      <c r="DY6" s="160">
        <v>44596.0</v>
      </c>
      <c r="DZ6" s="153"/>
      <c r="EA6" s="51"/>
      <c r="EB6" s="153"/>
      <c r="EC6" s="157">
        <v>0.3</v>
      </c>
      <c r="ED6" s="158"/>
      <c r="EE6" s="159" t="s">
        <v>679</v>
      </c>
      <c r="EF6" s="160" t="s">
        <v>150</v>
      </c>
      <c r="EG6" s="153"/>
      <c r="EH6" s="157">
        <v>0.3</v>
      </c>
      <c r="EI6" s="158"/>
      <c r="EJ6" s="159" t="s">
        <v>679</v>
      </c>
      <c r="EK6" s="160" t="s">
        <v>152</v>
      </c>
      <c r="EL6" s="153"/>
      <c r="EM6" s="157">
        <v>0.3</v>
      </c>
      <c r="EN6" s="158"/>
      <c r="EO6" s="159" t="s">
        <v>679</v>
      </c>
      <c r="EP6" s="160" t="s">
        <v>150</v>
      </c>
      <c r="EQ6" s="153"/>
      <c r="ER6" s="157">
        <v>0.3</v>
      </c>
      <c r="ES6" s="158"/>
      <c r="ET6" s="159" t="s">
        <v>216</v>
      </c>
      <c r="EU6" s="160" t="s">
        <v>150</v>
      </c>
      <c r="EV6" s="153"/>
      <c r="EW6" s="157">
        <v>0.3</v>
      </c>
      <c r="EX6" s="158"/>
      <c r="EY6" s="159" t="s">
        <v>679</v>
      </c>
      <c r="EZ6" s="160" t="s">
        <v>150</v>
      </c>
      <c r="FA6" s="155"/>
      <c r="FB6" s="156"/>
    </row>
    <row r="7" ht="7.5" customHeight="1">
      <c r="A7" s="23"/>
      <c r="B7" s="146"/>
      <c r="C7" s="161"/>
      <c r="D7" s="161"/>
      <c r="E7" s="103"/>
      <c r="F7" s="162"/>
      <c r="G7" s="102"/>
      <c r="H7" s="102"/>
      <c r="I7" s="102"/>
      <c r="J7" s="103"/>
      <c r="K7" s="162"/>
      <c r="L7" s="102"/>
      <c r="M7" s="102"/>
      <c r="N7" s="102"/>
      <c r="O7" s="103"/>
      <c r="P7" s="162"/>
      <c r="Q7" s="102"/>
      <c r="R7" s="102"/>
      <c r="S7" s="102"/>
      <c r="T7" s="103"/>
      <c r="U7" s="162"/>
      <c r="V7" s="102"/>
      <c r="W7" s="102"/>
      <c r="X7" s="102"/>
      <c r="Y7" s="103"/>
      <c r="Z7" s="162"/>
      <c r="AA7" s="102"/>
      <c r="AB7" s="102"/>
      <c r="AC7" s="102"/>
      <c r="AD7" s="103"/>
      <c r="AE7" s="162"/>
      <c r="AF7" s="102"/>
      <c r="AG7" s="102"/>
      <c r="AH7" s="102"/>
      <c r="AI7" s="103"/>
      <c r="AJ7" s="162"/>
      <c r="AK7" s="102"/>
      <c r="AL7" s="102"/>
      <c r="AM7" s="102"/>
      <c r="AN7" s="103"/>
      <c r="AO7" s="162"/>
      <c r="AP7" s="102"/>
      <c r="AQ7" s="102"/>
      <c r="AR7" s="102"/>
      <c r="AS7" s="103"/>
      <c r="AT7" s="162"/>
      <c r="AU7" s="102"/>
      <c r="AV7" s="102"/>
      <c r="AW7" s="102"/>
      <c r="AX7" s="103"/>
      <c r="AY7" s="162"/>
      <c r="AZ7" s="102"/>
      <c r="BA7" s="102"/>
      <c r="BB7" s="102"/>
      <c r="BC7" s="103"/>
      <c r="BD7" s="162"/>
      <c r="BE7" s="102"/>
      <c r="BF7" s="102"/>
      <c r="BG7" s="102"/>
      <c r="BH7" s="103"/>
      <c r="BI7" s="162"/>
      <c r="BJ7" s="102"/>
      <c r="BK7" s="102"/>
      <c r="BL7" s="102"/>
      <c r="BM7" s="103"/>
      <c r="BN7" s="162"/>
      <c r="BO7" s="102"/>
      <c r="BP7" s="102"/>
      <c r="BQ7" s="102"/>
      <c r="BR7" s="103"/>
      <c r="BS7" s="162"/>
      <c r="BT7" s="102"/>
      <c r="BU7" s="102"/>
      <c r="BV7" s="102"/>
      <c r="BW7" s="103"/>
      <c r="BX7" s="162"/>
      <c r="BY7" s="102"/>
      <c r="BZ7" s="102"/>
      <c r="CA7" s="102"/>
      <c r="CB7" s="103"/>
      <c r="CC7" s="162"/>
      <c r="CD7" s="102"/>
      <c r="CE7" s="102"/>
      <c r="CF7" s="102"/>
      <c r="CG7" s="103"/>
      <c r="CH7" s="162"/>
      <c r="CI7" s="102"/>
      <c r="CJ7" s="102"/>
      <c r="CK7" s="102"/>
      <c r="CL7" s="103"/>
      <c r="CM7" s="162"/>
      <c r="CN7" s="102"/>
      <c r="CO7" s="102"/>
      <c r="CP7" s="102"/>
      <c r="CQ7" s="103"/>
      <c r="CR7" s="162"/>
      <c r="CS7" s="102"/>
      <c r="CT7" s="102"/>
      <c r="CU7" s="102"/>
      <c r="CV7" s="103"/>
      <c r="CW7" s="162"/>
      <c r="CX7" s="102"/>
      <c r="CY7" s="102"/>
      <c r="CZ7" s="102"/>
      <c r="DA7" s="103"/>
      <c r="DB7" s="162"/>
      <c r="DC7" s="102"/>
      <c r="DD7" s="102"/>
      <c r="DE7" s="102"/>
      <c r="DF7" s="103"/>
      <c r="DG7" s="162"/>
      <c r="DH7" s="102"/>
      <c r="DI7" s="102"/>
      <c r="DJ7" s="102"/>
      <c r="DK7" s="103"/>
      <c r="DL7" s="162"/>
      <c r="DM7" s="102"/>
      <c r="DN7" s="102"/>
      <c r="DO7" s="102"/>
      <c r="DP7" s="163"/>
      <c r="DQ7" s="162"/>
      <c r="DR7" s="102"/>
      <c r="DS7" s="102"/>
      <c r="DT7" s="102"/>
      <c r="DU7" s="103"/>
      <c r="DV7" s="162"/>
      <c r="DW7" s="102"/>
      <c r="DX7" s="102"/>
      <c r="DY7" s="102"/>
      <c r="DZ7" s="103"/>
      <c r="EA7" s="51"/>
      <c r="EB7" s="103"/>
      <c r="EC7" s="162"/>
      <c r="ED7" s="102"/>
      <c r="EE7" s="102"/>
      <c r="EF7" s="102"/>
      <c r="EG7" s="103"/>
      <c r="EH7" s="162"/>
      <c r="EI7" s="102"/>
      <c r="EJ7" s="102"/>
      <c r="EK7" s="102"/>
      <c r="EL7" s="103"/>
      <c r="EM7" s="162"/>
      <c r="EN7" s="102"/>
      <c r="EO7" s="102"/>
      <c r="EP7" s="102"/>
      <c r="EQ7" s="103"/>
      <c r="ER7" s="162"/>
      <c r="ES7" s="102"/>
      <c r="ET7" s="102"/>
      <c r="EU7" s="102"/>
      <c r="EV7" s="103"/>
      <c r="EW7" s="162"/>
      <c r="EX7" s="102"/>
      <c r="EY7" s="102"/>
      <c r="EZ7" s="102"/>
      <c r="FA7" s="155"/>
      <c r="FB7" s="156"/>
    </row>
    <row r="8" ht="26.25" customHeight="1">
      <c r="A8" s="164"/>
      <c r="B8" s="165"/>
      <c r="C8" s="127" t="str">
        <f>Source!$C21</f>
        <v/>
      </c>
      <c r="D8" s="128" t="s">
        <v>682</v>
      </c>
      <c r="E8" s="129"/>
      <c r="F8" s="166" t="str">
        <f>Source!$C21</f>
        <v/>
      </c>
      <c r="G8" s="167" t="s">
        <v>644</v>
      </c>
      <c r="H8" s="168"/>
      <c r="I8" s="169"/>
      <c r="J8" s="130"/>
      <c r="K8" s="166" t="str">
        <f>Source!$C21</f>
        <v/>
      </c>
      <c r="L8" s="167" t="s">
        <v>13</v>
      </c>
      <c r="M8" s="168"/>
      <c r="N8" s="169"/>
      <c r="O8" s="130"/>
      <c r="P8" s="166" t="str">
        <f>Source!$C21</f>
        <v/>
      </c>
      <c r="Q8" s="167" t="s">
        <v>14</v>
      </c>
      <c r="R8" s="168"/>
      <c r="S8" s="169"/>
      <c r="T8" s="130"/>
      <c r="U8" s="166" t="str">
        <f>Source!$C21</f>
        <v/>
      </c>
      <c r="V8" s="167" t="s">
        <v>15</v>
      </c>
      <c r="W8" s="168"/>
      <c r="X8" s="169"/>
      <c r="Y8" s="130"/>
      <c r="Z8" s="166" t="str">
        <f>Source!$C21</f>
        <v/>
      </c>
      <c r="AA8" s="167" t="s">
        <v>645</v>
      </c>
      <c r="AB8" s="168"/>
      <c r="AC8" s="169"/>
      <c r="AD8" s="130"/>
      <c r="AE8" s="166" t="str">
        <f>Source!$C21</f>
        <v/>
      </c>
      <c r="AF8" s="167" t="s">
        <v>26</v>
      </c>
      <c r="AG8" s="168"/>
      <c r="AH8" s="169"/>
      <c r="AI8" s="130"/>
      <c r="AJ8" s="166" t="str">
        <f>Source!$C21</f>
        <v/>
      </c>
      <c r="AK8" s="167" t="s">
        <v>27</v>
      </c>
      <c r="AL8" s="168"/>
      <c r="AM8" s="169"/>
      <c r="AN8" s="130"/>
      <c r="AO8" s="166" t="str">
        <f>Source!$C21</f>
        <v/>
      </c>
      <c r="AP8" s="167" t="s">
        <v>29</v>
      </c>
      <c r="AQ8" s="168"/>
      <c r="AR8" s="169"/>
      <c r="AS8" s="130"/>
      <c r="AT8" s="166" t="str">
        <f>Source!$C21</f>
        <v/>
      </c>
      <c r="AU8" s="167" t="s">
        <v>646</v>
      </c>
      <c r="AV8" s="168"/>
      <c r="AW8" s="169"/>
      <c r="AX8" s="130"/>
      <c r="AY8" s="166" t="str">
        <f>Source!$C21</f>
        <v/>
      </c>
      <c r="AZ8" s="167" t="s">
        <v>30</v>
      </c>
      <c r="BA8" s="168"/>
      <c r="BB8" s="169"/>
      <c r="BC8" s="130"/>
      <c r="BD8" s="166" t="str">
        <f>Source!$C21</f>
        <v/>
      </c>
      <c r="BE8" s="167" t="s">
        <v>647</v>
      </c>
      <c r="BF8" s="168"/>
      <c r="BG8" s="169"/>
      <c r="BH8" s="130"/>
      <c r="BI8" s="166" t="str">
        <f>Source!$C21</f>
        <v/>
      </c>
      <c r="BJ8" s="167" t="s">
        <v>33</v>
      </c>
      <c r="BK8" s="168"/>
      <c r="BL8" s="169"/>
      <c r="BM8" s="130"/>
      <c r="BN8" s="166" t="str">
        <f>Source!$C21</f>
        <v/>
      </c>
      <c r="BO8" s="167" t="s">
        <v>45</v>
      </c>
      <c r="BP8" s="168"/>
      <c r="BQ8" s="169"/>
      <c r="BR8" s="130"/>
      <c r="BS8" s="166" t="str">
        <f>Source!$C21</f>
        <v/>
      </c>
      <c r="BT8" s="167" t="s">
        <v>648</v>
      </c>
      <c r="BU8" s="168"/>
      <c r="BV8" s="169"/>
      <c r="BW8" s="130"/>
      <c r="BX8" s="166" t="str">
        <f>Source!$C21</f>
        <v/>
      </c>
      <c r="BY8" s="167" t="s">
        <v>46</v>
      </c>
      <c r="BZ8" s="168"/>
      <c r="CA8" s="169"/>
      <c r="CB8" s="130"/>
      <c r="CC8" s="166" t="str">
        <f>Source!$C21</f>
        <v/>
      </c>
      <c r="CD8" s="167" t="s">
        <v>649</v>
      </c>
      <c r="CE8" s="168"/>
      <c r="CF8" s="169"/>
      <c r="CG8" s="130"/>
      <c r="CH8" s="166" t="str">
        <f>Source!$C21</f>
        <v/>
      </c>
      <c r="CI8" s="167" t="s">
        <v>650</v>
      </c>
      <c r="CJ8" s="168"/>
      <c r="CK8" s="169"/>
      <c r="CL8" s="130"/>
      <c r="CM8" s="166" t="str">
        <f>Source!$C21</f>
        <v/>
      </c>
      <c r="CN8" s="167" t="s">
        <v>651</v>
      </c>
      <c r="CO8" s="168"/>
      <c r="CP8" s="169"/>
      <c r="CQ8" s="130"/>
      <c r="CR8" s="166" t="str">
        <f>Source!$C21</f>
        <v/>
      </c>
      <c r="CS8" s="167" t="s">
        <v>652</v>
      </c>
      <c r="CT8" s="168"/>
      <c r="CU8" s="169"/>
      <c r="CV8" s="130"/>
      <c r="CW8" s="166" t="str">
        <f>Source!$C21</f>
        <v/>
      </c>
      <c r="CX8" s="167" t="s">
        <v>52</v>
      </c>
      <c r="CY8" s="168"/>
      <c r="CZ8" s="169"/>
      <c r="DA8" s="130"/>
      <c r="DB8" s="166" t="str">
        <f>Source!$C21</f>
        <v/>
      </c>
      <c r="DC8" s="167" t="s">
        <v>653</v>
      </c>
      <c r="DD8" s="168"/>
      <c r="DE8" s="169"/>
      <c r="DF8" s="130"/>
      <c r="DG8" s="166" t="str">
        <f>Source!$C21</f>
        <v/>
      </c>
      <c r="DH8" s="167" t="s">
        <v>654</v>
      </c>
      <c r="DI8" s="168"/>
      <c r="DJ8" s="169"/>
      <c r="DK8" s="130"/>
      <c r="DL8" s="166" t="str">
        <f>Source!$C21</f>
        <v/>
      </c>
      <c r="DM8" s="170" t="s">
        <v>60</v>
      </c>
      <c r="DN8" s="168"/>
      <c r="DO8" s="169"/>
      <c r="DP8" s="131"/>
      <c r="DQ8" s="166" t="str">
        <f>Source!$C21</f>
        <v/>
      </c>
      <c r="DR8" s="171" t="s">
        <v>62</v>
      </c>
      <c r="DS8" s="168"/>
      <c r="DT8" s="169"/>
      <c r="DU8" s="130"/>
      <c r="DV8" s="166" t="str">
        <f>Source!$C21</f>
        <v/>
      </c>
      <c r="DW8" s="167" t="s">
        <v>49</v>
      </c>
      <c r="DX8" s="168"/>
      <c r="DY8" s="169"/>
      <c r="DZ8" s="130"/>
      <c r="EA8" s="51"/>
      <c r="EB8" s="130"/>
      <c r="EC8" s="166" t="str">
        <f>Source!$C21</f>
        <v/>
      </c>
      <c r="ED8" s="167" t="s">
        <v>69</v>
      </c>
      <c r="EE8" s="168"/>
      <c r="EF8" s="169"/>
      <c r="EG8" s="130"/>
      <c r="EH8" s="166" t="str">
        <f>Source!$C21</f>
        <v/>
      </c>
      <c r="EI8" s="167" t="s">
        <v>72</v>
      </c>
      <c r="EJ8" s="168"/>
      <c r="EK8" s="169"/>
      <c r="EL8" s="130"/>
      <c r="EM8" s="166" t="str">
        <f>Source!$C21</f>
        <v/>
      </c>
      <c r="EN8" s="167" t="s">
        <v>75</v>
      </c>
      <c r="EO8" s="168"/>
      <c r="EP8" s="169"/>
      <c r="EQ8" s="130"/>
      <c r="ER8" s="166" t="str">
        <f>Source!$C21</f>
        <v/>
      </c>
      <c r="ES8" s="167" t="s">
        <v>76</v>
      </c>
      <c r="ET8" s="168"/>
      <c r="EU8" s="169"/>
      <c r="EV8" s="130"/>
      <c r="EW8" s="166" t="str">
        <f>Source!$C21</f>
        <v/>
      </c>
      <c r="EX8" s="167" t="s">
        <v>74</v>
      </c>
      <c r="EY8" s="168"/>
      <c r="EZ8" s="169"/>
      <c r="FA8" s="172"/>
      <c r="FB8" s="173"/>
    </row>
    <row r="9" ht="15.0" customHeight="1">
      <c r="A9" s="134"/>
      <c r="B9" s="135"/>
      <c r="C9" s="136" t="s">
        <v>683</v>
      </c>
      <c r="D9" s="137"/>
      <c r="E9" s="138"/>
      <c r="F9" s="174" t="s">
        <v>80</v>
      </c>
      <c r="G9" s="140" t="s">
        <v>81</v>
      </c>
      <c r="H9" s="48"/>
      <c r="I9" s="175" t="s">
        <v>82</v>
      </c>
      <c r="J9" s="142"/>
      <c r="K9" s="174" t="s">
        <v>80</v>
      </c>
      <c r="L9" s="140" t="s">
        <v>81</v>
      </c>
      <c r="M9" s="48"/>
      <c r="N9" s="175" t="s">
        <v>82</v>
      </c>
      <c r="O9" s="142"/>
      <c r="P9" s="174" t="s">
        <v>80</v>
      </c>
      <c r="Q9" s="140" t="s">
        <v>81</v>
      </c>
      <c r="R9" s="48"/>
      <c r="S9" s="175" t="s">
        <v>82</v>
      </c>
      <c r="T9" s="142"/>
      <c r="U9" s="174" t="s">
        <v>80</v>
      </c>
      <c r="V9" s="140" t="s">
        <v>81</v>
      </c>
      <c r="W9" s="48"/>
      <c r="X9" s="175" t="s">
        <v>82</v>
      </c>
      <c r="Y9" s="142"/>
      <c r="Z9" s="174" t="s">
        <v>80</v>
      </c>
      <c r="AA9" s="140" t="s">
        <v>81</v>
      </c>
      <c r="AB9" s="48"/>
      <c r="AC9" s="175" t="s">
        <v>82</v>
      </c>
      <c r="AD9" s="142"/>
      <c r="AE9" s="174" t="s">
        <v>80</v>
      </c>
      <c r="AF9" s="140" t="s">
        <v>81</v>
      </c>
      <c r="AG9" s="48"/>
      <c r="AH9" s="175" t="s">
        <v>82</v>
      </c>
      <c r="AI9" s="142"/>
      <c r="AJ9" s="174" t="s">
        <v>80</v>
      </c>
      <c r="AK9" s="140" t="s">
        <v>81</v>
      </c>
      <c r="AL9" s="48"/>
      <c r="AM9" s="175" t="s">
        <v>82</v>
      </c>
      <c r="AN9" s="142"/>
      <c r="AO9" s="174" t="s">
        <v>80</v>
      </c>
      <c r="AP9" s="140" t="s">
        <v>81</v>
      </c>
      <c r="AQ9" s="48"/>
      <c r="AR9" s="175" t="s">
        <v>82</v>
      </c>
      <c r="AS9" s="142"/>
      <c r="AT9" s="174" t="s">
        <v>80</v>
      </c>
      <c r="AU9" s="140" t="s">
        <v>81</v>
      </c>
      <c r="AV9" s="48"/>
      <c r="AW9" s="175" t="s">
        <v>82</v>
      </c>
      <c r="AX9" s="142"/>
      <c r="AY9" s="174" t="s">
        <v>80</v>
      </c>
      <c r="AZ9" s="140" t="s">
        <v>81</v>
      </c>
      <c r="BA9" s="48"/>
      <c r="BB9" s="175" t="s">
        <v>82</v>
      </c>
      <c r="BC9" s="142"/>
      <c r="BD9" s="174" t="s">
        <v>80</v>
      </c>
      <c r="BE9" s="140" t="s">
        <v>81</v>
      </c>
      <c r="BF9" s="48"/>
      <c r="BG9" s="175" t="s">
        <v>82</v>
      </c>
      <c r="BH9" s="142"/>
      <c r="BI9" s="174" t="s">
        <v>80</v>
      </c>
      <c r="BJ9" s="140" t="s">
        <v>81</v>
      </c>
      <c r="BK9" s="48"/>
      <c r="BL9" s="175" t="s">
        <v>82</v>
      </c>
      <c r="BM9" s="142"/>
      <c r="BN9" s="174" t="s">
        <v>80</v>
      </c>
      <c r="BO9" s="140" t="s">
        <v>81</v>
      </c>
      <c r="BP9" s="48"/>
      <c r="BQ9" s="175" t="s">
        <v>82</v>
      </c>
      <c r="BR9" s="142"/>
      <c r="BS9" s="174" t="s">
        <v>80</v>
      </c>
      <c r="BT9" s="140" t="s">
        <v>81</v>
      </c>
      <c r="BU9" s="48"/>
      <c r="BV9" s="175" t="s">
        <v>82</v>
      </c>
      <c r="BW9" s="142"/>
      <c r="BX9" s="174" t="s">
        <v>80</v>
      </c>
      <c r="BY9" s="140" t="s">
        <v>81</v>
      </c>
      <c r="BZ9" s="48"/>
      <c r="CA9" s="175" t="s">
        <v>82</v>
      </c>
      <c r="CB9" s="142"/>
      <c r="CC9" s="174" t="s">
        <v>80</v>
      </c>
      <c r="CD9" s="140" t="s">
        <v>81</v>
      </c>
      <c r="CE9" s="48"/>
      <c r="CF9" s="175" t="s">
        <v>82</v>
      </c>
      <c r="CG9" s="142"/>
      <c r="CH9" s="174" t="s">
        <v>80</v>
      </c>
      <c r="CI9" s="140" t="s">
        <v>81</v>
      </c>
      <c r="CJ9" s="48"/>
      <c r="CK9" s="175" t="s">
        <v>82</v>
      </c>
      <c r="CL9" s="142"/>
      <c r="CM9" s="174" t="s">
        <v>80</v>
      </c>
      <c r="CN9" s="140" t="s">
        <v>81</v>
      </c>
      <c r="CO9" s="48"/>
      <c r="CP9" s="175" t="s">
        <v>82</v>
      </c>
      <c r="CQ9" s="142"/>
      <c r="CR9" s="174" t="s">
        <v>80</v>
      </c>
      <c r="CS9" s="140" t="s">
        <v>81</v>
      </c>
      <c r="CT9" s="48"/>
      <c r="CU9" s="175" t="s">
        <v>82</v>
      </c>
      <c r="CV9" s="142"/>
      <c r="CW9" s="174" t="s">
        <v>80</v>
      </c>
      <c r="CX9" s="140" t="s">
        <v>81</v>
      </c>
      <c r="CY9" s="48"/>
      <c r="CZ9" s="175" t="s">
        <v>82</v>
      </c>
      <c r="DA9" s="142"/>
      <c r="DB9" s="174" t="s">
        <v>80</v>
      </c>
      <c r="DC9" s="140" t="s">
        <v>81</v>
      </c>
      <c r="DD9" s="48"/>
      <c r="DE9" s="175" t="s">
        <v>82</v>
      </c>
      <c r="DF9" s="142"/>
      <c r="DG9" s="174" t="s">
        <v>80</v>
      </c>
      <c r="DH9" s="140" t="s">
        <v>81</v>
      </c>
      <c r="DI9" s="48"/>
      <c r="DJ9" s="175" t="s">
        <v>82</v>
      </c>
      <c r="DK9" s="142"/>
      <c r="DL9" s="174" t="s">
        <v>80</v>
      </c>
      <c r="DM9" s="140" t="s">
        <v>81</v>
      </c>
      <c r="DN9" s="48"/>
      <c r="DO9" s="175" t="s">
        <v>82</v>
      </c>
      <c r="DP9" s="143"/>
      <c r="DQ9" s="174" t="s">
        <v>80</v>
      </c>
      <c r="DR9" s="140" t="s">
        <v>81</v>
      </c>
      <c r="DS9" s="48"/>
      <c r="DT9" s="175" t="s">
        <v>82</v>
      </c>
      <c r="DU9" s="142"/>
      <c r="DV9" s="174" t="s">
        <v>80</v>
      </c>
      <c r="DW9" s="140" t="s">
        <v>81</v>
      </c>
      <c r="DX9" s="48"/>
      <c r="DY9" s="175" t="s">
        <v>82</v>
      </c>
      <c r="DZ9" s="142"/>
      <c r="EA9" s="51"/>
      <c r="EB9" s="142"/>
      <c r="EC9" s="174" t="s">
        <v>80</v>
      </c>
      <c r="ED9" s="140" t="s">
        <v>81</v>
      </c>
      <c r="EE9" s="48"/>
      <c r="EF9" s="175" t="s">
        <v>82</v>
      </c>
      <c r="EG9" s="142"/>
      <c r="EH9" s="174" t="s">
        <v>80</v>
      </c>
      <c r="EI9" s="140" t="s">
        <v>81</v>
      </c>
      <c r="EJ9" s="48"/>
      <c r="EK9" s="175" t="s">
        <v>82</v>
      </c>
      <c r="EL9" s="142"/>
      <c r="EM9" s="174" t="s">
        <v>80</v>
      </c>
      <c r="EN9" s="140" t="s">
        <v>81</v>
      </c>
      <c r="EO9" s="48"/>
      <c r="EP9" s="175" t="s">
        <v>82</v>
      </c>
      <c r="EQ9" s="142"/>
      <c r="ER9" s="174" t="s">
        <v>80</v>
      </c>
      <c r="ES9" s="140" t="s">
        <v>81</v>
      </c>
      <c r="ET9" s="48"/>
      <c r="EU9" s="175" t="s">
        <v>82</v>
      </c>
      <c r="EV9" s="142"/>
      <c r="EW9" s="174" t="s">
        <v>80</v>
      </c>
      <c r="EX9" s="140" t="s">
        <v>81</v>
      </c>
      <c r="EY9" s="48"/>
      <c r="EZ9" s="175" t="s">
        <v>82</v>
      </c>
      <c r="FA9" s="176"/>
      <c r="FB9" s="177"/>
    </row>
    <row r="10" ht="23.25" customHeight="1">
      <c r="A10" s="23"/>
      <c r="B10" s="146"/>
      <c r="C10" s="147"/>
      <c r="D10" s="147"/>
      <c r="E10" s="148"/>
      <c r="F10" s="178">
        <v>0.6</v>
      </c>
      <c r="G10" s="150" t="str">
        <f t="array" ref="G10:G12">IFERROR(VLOOKUP(H10:H12,Dex!$B$3:$N30,2,FALSE),"")</f>
        <v/>
      </c>
      <c r="H10" s="151" t="s">
        <v>684</v>
      </c>
      <c r="I10" s="179" t="s">
        <v>108</v>
      </c>
      <c r="J10" s="180"/>
      <c r="K10" s="178">
        <v>0.6</v>
      </c>
      <c r="L10" s="150" t="str">
        <f t="array" ref="L10:L12">IFERROR(VLOOKUP(M10:M12,Dex!$B$3:$N30,2,FALSE),"")</f>
        <v/>
      </c>
      <c r="M10" s="151" t="s">
        <v>672</v>
      </c>
      <c r="N10" s="179" t="s">
        <v>108</v>
      </c>
      <c r="O10" s="180"/>
      <c r="P10" s="178">
        <v>0.6</v>
      </c>
      <c r="Q10" s="150" t="str">
        <f t="array" ref="Q10:Q12">IFERROR(VLOOKUP(R10:R12,Dex!$B$3:$N30,2,FALSE),"")</f>
        <v/>
      </c>
      <c r="R10" s="151" t="s">
        <v>685</v>
      </c>
      <c r="S10" s="179" t="s">
        <v>108</v>
      </c>
      <c r="T10" s="180"/>
      <c r="U10" s="178">
        <v>0.6</v>
      </c>
      <c r="V10" s="150" t="str">
        <f t="array" ref="V10:V12">IFERROR(VLOOKUP(W10:W12,Dex!$B$3:$N30,2,FALSE),"")</f>
        <v/>
      </c>
      <c r="W10" s="151" t="s">
        <v>662</v>
      </c>
      <c r="X10" s="179" t="s">
        <v>108</v>
      </c>
      <c r="Y10" s="180"/>
      <c r="Z10" s="178">
        <v>0.6</v>
      </c>
      <c r="AA10" s="150" t="str">
        <f t="array" ref="AA10:AA12">IFERROR(VLOOKUP(AB10:AB12,Dex!$B$3:$N30,2,FALSE),"")</f>
        <v/>
      </c>
      <c r="AB10" s="151" t="s">
        <v>686</v>
      </c>
      <c r="AC10" s="179" t="s">
        <v>108</v>
      </c>
      <c r="AD10" s="180"/>
      <c r="AE10" s="178">
        <v>0.6</v>
      </c>
      <c r="AF10" s="150" t="str">
        <f t="array" ref="AF10:AF12">IFERROR(VLOOKUP(AG10:AG12,Dex!$B$3:$N30,2,FALSE),"")</f>
        <v/>
      </c>
      <c r="AG10" s="151" t="s">
        <v>687</v>
      </c>
      <c r="AH10" s="179" t="s">
        <v>108</v>
      </c>
      <c r="AI10" s="180"/>
      <c r="AJ10" s="178">
        <v>0.6</v>
      </c>
      <c r="AK10" s="150" t="str">
        <f t="array" ref="AK10:AK12">IFERROR(VLOOKUP(AL10:AL12,Dex!$B$3:$N30,2,FALSE),"")</f>
        <v/>
      </c>
      <c r="AL10" s="151" t="s">
        <v>288</v>
      </c>
      <c r="AM10" s="179" t="s">
        <v>108</v>
      </c>
      <c r="AN10" s="180"/>
      <c r="AO10" s="178">
        <v>0.6</v>
      </c>
      <c r="AP10" s="150" t="str">
        <f t="array" ref="AP10:AP12">IFERROR(VLOOKUP(AQ10:AQ12,Dex!$B$3:$N30,2,FALSE),"")</f>
        <v/>
      </c>
      <c r="AQ10" s="151" t="s">
        <v>688</v>
      </c>
      <c r="AR10" s="179" t="s">
        <v>108</v>
      </c>
      <c r="AS10" s="180"/>
      <c r="AT10" s="178">
        <v>0.6</v>
      </c>
      <c r="AU10" s="150" t="str">
        <f t="array" ref="AU10:AU12">IFERROR(VLOOKUP(AV10:AV12,Dex!$B$3:$N30,2,FALSE),"")</f>
        <v/>
      </c>
      <c r="AV10" s="151" t="s">
        <v>689</v>
      </c>
      <c r="AW10" s="179" t="s">
        <v>108</v>
      </c>
      <c r="AX10" s="180"/>
      <c r="AY10" s="178">
        <v>0.6</v>
      </c>
      <c r="AZ10" s="150" t="str">
        <f t="array" ref="AZ10:AZ12">IFERROR(VLOOKUP(BA10:BA12,Dex!$B$3:$N30,2,FALSE),"")</f>
        <v/>
      </c>
      <c r="BA10" s="151" t="s">
        <v>690</v>
      </c>
      <c r="BB10" s="179" t="s">
        <v>108</v>
      </c>
      <c r="BC10" s="180"/>
      <c r="BD10" s="178">
        <v>0.6</v>
      </c>
      <c r="BE10" s="150" t="str">
        <f t="array" ref="BE10:BE12">IFERROR(VLOOKUP(BF10:BF12,Dex!$B$3:$N30,2,FALSE),"")</f>
        <v/>
      </c>
      <c r="BF10" s="151" t="s">
        <v>691</v>
      </c>
      <c r="BG10" s="179" t="s">
        <v>108</v>
      </c>
      <c r="BH10" s="180"/>
      <c r="BI10" s="178">
        <v>0.6</v>
      </c>
      <c r="BJ10" s="150" t="str">
        <f t="array" ref="BJ10:BJ12">IFERROR(VLOOKUP(BK10:BK12,Dex!$B$3:$N30,2,FALSE),"")</f>
        <v/>
      </c>
      <c r="BK10" s="151" t="s">
        <v>684</v>
      </c>
      <c r="BL10" s="179" t="s">
        <v>108</v>
      </c>
      <c r="BM10" s="180"/>
      <c r="BN10" s="178">
        <v>0.6</v>
      </c>
      <c r="BO10" s="150" t="str">
        <f t="array" ref="BO10:BO12">IFERROR(VLOOKUP(BP10:BP12,Dex!$B$3:$N30,2,FALSE),"")</f>
        <v/>
      </c>
      <c r="BP10" s="151" t="s">
        <v>671</v>
      </c>
      <c r="BQ10" s="179" t="s">
        <v>108</v>
      </c>
      <c r="BR10" s="180"/>
      <c r="BS10" s="178">
        <v>0.6</v>
      </c>
      <c r="BT10" s="150" t="str">
        <f t="array" ref="BT10:BT12">IFERROR(VLOOKUP(BU10:BU12,Dex!$B$3:$N30,2,FALSE),"")</f>
        <v/>
      </c>
      <c r="BU10" s="151" t="s">
        <v>692</v>
      </c>
      <c r="BV10" s="179" t="s">
        <v>108</v>
      </c>
      <c r="BW10" s="180"/>
      <c r="BX10" s="178">
        <v>0.6</v>
      </c>
      <c r="BY10" s="150" t="str">
        <f t="array" ref="BY10:BY12">IFERROR(VLOOKUP(BZ10:BZ12,Dex!$B$3:$N30,2,FALSE),"")</f>
        <v/>
      </c>
      <c r="BZ10" s="151" t="s">
        <v>693</v>
      </c>
      <c r="CA10" s="179" t="s">
        <v>108</v>
      </c>
      <c r="CB10" s="180"/>
      <c r="CC10" s="178">
        <v>0.6</v>
      </c>
      <c r="CD10" s="150" t="str">
        <f t="array" ref="CD10:CD12">IFERROR(VLOOKUP(CE10:CE12,Dex!$B$3:$N30,2,FALSE),"")</f>
        <v/>
      </c>
      <c r="CE10" s="151" t="s">
        <v>678</v>
      </c>
      <c r="CF10" s="179" t="s">
        <v>108</v>
      </c>
      <c r="CG10" s="180"/>
      <c r="CH10" s="178">
        <v>0.6</v>
      </c>
      <c r="CI10" s="150" t="str">
        <f t="array" ref="CI10:CI12">IFERROR(VLOOKUP(CJ10:CJ12,Dex!$B$3:$N30,2,FALSE),"")</f>
        <v/>
      </c>
      <c r="CJ10" s="151" t="s">
        <v>671</v>
      </c>
      <c r="CK10" s="179" t="s">
        <v>108</v>
      </c>
      <c r="CL10" s="180"/>
      <c r="CM10" s="178">
        <v>0.6</v>
      </c>
      <c r="CN10" s="150" t="str">
        <f t="array" ref="CN10:CN12">IFERROR(VLOOKUP(CO10:CO12,Dex!$B$3:$N30,2,FALSE),"")</f>
        <v/>
      </c>
      <c r="CO10" s="151" t="s">
        <v>687</v>
      </c>
      <c r="CP10" s="179" t="s">
        <v>108</v>
      </c>
      <c r="CQ10" s="180"/>
      <c r="CR10" s="178">
        <v>0.6</v>
      </c>
      <c r="CS10" s="150" t="str">
        <f t="array" ref="CS10:CS12">IFERROR(VLOOKUP(CT10:CT12,Dex!$B$3:$N30,2,FALSE),"")</f>
        <v/>
      </c>
      <c r="CT10" s="151" t="s">
        <v>662</v>
      </c>
      <c r="CU10" s="179" t="s">
        <v>108</v>
      </c>
      <c r="CV10" s="180"/>
      <c r="CW10" s="178">
        <v>0.6</v>
      </c>
      <c r="CX10" s="150" t="str">
        <f t="array" ref="CX10:CX12">IFERROR(VLOOKUP(CY10:CY12,Dex!$B$3:$N30,2,FALSE),"")</f>
        <v/>
      </c>
      <c r="CY10" s="151" t="s">
        <v>664</v>
      </c>
      <c r="CZ10" s="179" t="s">
        <v>108</v>
      </c>
      <c r="DA10" s="180"/>
      <c r="DB10" s="178">
        <v>0.6</v>
      </c>
      <c r="DC10" s="150" t="str">
        <f t="array" ref="DC10:DC12">IFERROR(VLOOKUP(DD10:DD12,Dex!$B$3:$N30,2,FALSE),"")</f>
        <v/>
      </c>
      <c r="DD10" s="151" t="s">
        <v>664</v>
      </c>
      <c r="DE10" s="179" t="s">
        <v>108</v>
      </c>
      <c r="DF10" s="180"/>
      <c r="DG10" s="178">
        <v>0.6</v>
      </c>
      <c r="DH10" s="150" t="str">
        <f t="array" ref="DH10:DH12">IFERROR(VLOOKUP(DI10:DI12,Dex!$B$3:$N30,2,FALSE),"")</f>
        <v/>
      </c>
      <c r="DI10" s="151" t="s">
        <v>662</v>
      </c>
      <c r="DJ10" s="179" t="s">
        <v>108</v>
      </c>
      <c r="DK10" s="180"/>
      <c r="DL10" s="178">
        <v>0.6</v>
      </c>
      <c r="DM10" s="150" t="str">
        <f t="array" ref="DM10:DM12">IFERROR(VLOOKUP(DN10:DN12,Dex!$B$3:$N30,2,FALSE),"")</f>
        <v/>
      </c>
      <c r="DN10" s="151" t="s">
        <v>659</v>
      </c>
      <c r="DO10" s="179" t="s">
        <v>108</v>
      </c>
      <c r="DP10" s="181"/>
      <c r="DQ10" s="178">
        <v>0.6</v>
      </c>
      <c r="DR10" s="150" t="str">
        <f t="array" ref="DR10:DR12">IFERROR(VLOOKUP(DS10:DS12,Dex!$B$3:$N30,2,FALSE),"")</f>
        <v/>
      </c>
      <c r="DS10" s="151" t="s">
        <v>670</v>
      </c>
      <c r="DT10" s="179" t="s">
        <v>108</v>
      </c>
      <c r="DU10" s="180"/>
      <c r="DV10" s="178">
        <v>0.6</v>
      </c>
      <c r="DW10" s="150" t="str">
        <f t="array" ref="DW10:DW12">IFERROR(VLOOKUP(DX10:DX12,Dex!$B$3:$N30,2,FALSE),"")</f>
        <v/>
      </c>
      <c r="DX10" s="151" t="s">
        <v>692</v>
      </c>
      <c r="DY10" s="179" t="s">
        <v>108</v>
      </c>
      <c r="DZ10" s="180"/>
      <c r="EA10" s="51"/>
      <c r="EB10" s="180"/>
      <c r="EC10" s="178">
        <v>0.6</v>
      </c>
      <c r="ED10" s="150" t="str">
        <f t="array" ref="ED10:ED12">IFERROR(VLOOKUP(EE10:EE12,Dex!$B$3:$N30,2,FALSE),"")</f>
        <v/>
      </c>
      <c r="EE10" s="151" t="s">
        <v>694</v>
      </c>
      <c r="EF10" s="179" t="s">
        <v>150</v>
      </c>
      <c r="EG10" s="180"/>
      <c r="EH10" s="178">
        <v>0.6</v>
      </c>
      <c r="EI10" s="150" t="str">
        <f t="array" ref="EI10:EI12">IFERROR(VLOOKUP(EJ10:EJ12,Dex!$B$3:$N30,2,FALSE),"")</f>
        <v/>
      </c>
      <c r="EJ10" s="151" t="s">
        <v>694</v>
      </c>
      <c r="EK10" s="179" t="s">
        <v>150</v>
      </c>
      <c r="EL10" s="180"/>
      <c r="EM10" s="178">
        <v>0.6</v>
      </c>
      <c r="EN10" s="150" t="str">
        <f t="array" ref="EN10:EN12">IFERROR(VLOOKUP(EO10:EO12,Dex!$B$3:$N30,2,FALSE),"")</f>
        <v/>
      </c>
      <c r="EO10" s="151" t="s">
        <v>695</v>
      </c>
      <c r="EP10" s="179" t="s">
        <v>150</v>
      </c>
      <c r="EQ10" s="180"/>
      <c r="ER10" s="178">
        <v>0.6</v>
      </c>
      <c r="ES10" s="150" t="str">
        <f t="array" ref="ES10:ES12">IFERROR(VLOOKUP(ET10:ET12,Dex!$B$3:$N30,2,FALSE),"")</f>
        <v/>
      </c>
      <c r="ET10" s="151" t="s">
        <v>694</v>
      </c>
      <c r="EU10" s="179" t="s">
        <v>150</v>
      </c>
      <c r="EV10" s="180"/>
      <c r="EW10" s="178">
        <v>0.6</v>
      </c>
      <c r="EX10" s="150" t="str">
        <f t="array" ref="EX10:EX12">IFERROR(VLOOKUP(EY10:EY12,Dex!$B$3:$N30,2,FALSE),"")</f>
        <v/>
      </c>
      <c r="EY10" s="151" t="s">
        <v>694</v>
      </c>
      <c r="EZ10" s="179" t="s">
        <v>150</v>
      </c>
      <c r="FA10" s="155"/>
      <c r="FB10" s="156"/>
    </row>
    <row r="11" ht="23.25" customHeight="1">
      <c r="A11" s="23"/>
      <c r="B11" s="146"/>
      <c r="C11" s="103"/>
      <c r="D11" s="103"/>
      <c r="E11" s="148"/>
      <c r="F11" s="182">
        <v>0.2</v>
      </c>
      <c r="G11" s="183"/>
      <c r="H11" s="184" t="s">
        <v>659</v>
      </c>
      <c r="I11" s="185" t="s">
        <v>108</v>
      </c>
      <c r="J11" s="180"/>
      <c r="K11" s="182">
        <v>0.2</v>
      </c>
      <c r="L11" s="183"/>
      <c r="M11" s="184" t="s">
        <v>679</v>
      </c>
      <c r="N11" s="185" t="s">
        <v>108</v>
      </c>
      <c r="O11" s="180"/>
      <c r="P11" s="182">
        <v>0.2</v>
      </c>
      <c r="Q11" s="183"/>
      <c r="R11" s="184" t="s">
        <v>696</v>
      </c>
      <c r="S11" s="185" t="s">
        <v>108</v>
      </c>
      <c r="T11" s="180"/>
      <c r="U11" s="182">
        <v>0.2</v>
      </c>
      <c r="V11" s="183"/>
      <c r="W11" s="184" t="s">
        <v>697</v>
      </c>
      <c r="X11" s="185" t="s">
        <v>108</v>
      </c>
      <c r="Y11" s="180"/>
      <c r="Z11" s="182">
        <v>0.2</v>
      </c>
      <c r="AA11" s="183"/>
      <c r="AB11" s="184" t="s">
        <v>677</v>
      </c>
      <c r="AC11" s="185" t="s">
        <v>108</v>
      </c>
      <c r="AD11" s="180"/>
      <c r="AE11" s="182">
        <v>0.2</v>
      </c>
      <c r="AF11" s="183"/>
      <c r="AG11" s="184" t="s">
        <v>686</v>
      </c>
      <c r="AH11" s="185" t="s">
        <v>108</v>
      </c>
      <c r="AI11" s="180"/>
      <c r="AJ11" s="182">
        <v>0.2</v>
      </c>
      <c r="AK11" s="183"/>
      <c r="AL11" s="184" t="s">
        <v>696</v>
      </c>
      <c r="AM11" s="185" t="s">
        <v>108</v>
      </c>
      <c r="AN11" s="180"/>
      <c r="AO11" s="182">
        <v>0.2</v>
      </c>
      <c r="AP11" s="183"/>
      <c r="AQ11" s="184" t="s">
        <v>665</v>
      </c>
      <c r="AR11" s="185" t="s">
        <v>108</v>
      </c>
      <c r="AS11" s="180"/>
      <c r="AT11" s="182">
        <v>0.2</v>
      </c>
      <c r="AU11" s="183"/>
      <c r="AV11" s="184" t="s">
        <v>668</v>
      </c>
      <c r="AW11" s="185" t="s">
        <v>108</v>
      </c>
      <c r="AX11" s="180"/>
      <c r="AY11" s="182">
        <v>0.2</v>
      </c>
      <c r="AZ11" s="183"/>
      <c r="BA11" s="184" t="s">
        <v>689</v>
      </c>
      <c r="BB11" s="185" t="s">
        <v>108</v>
      </c>
      <c r="BC11" s="180"/>
      <c r="BD11" s="182">
        <v>0.2</v>
      </c>
      <c r="BE11" s="183"/>
      <c r="BF11" s="184" t="s">
        <v>668</v>
      </c>
      <c r="BG11" s="185" t="s">
        <v>108</v>
      </c>
      <c r="BH11" s="180"/>
      <c r="BI11" s="182">
        <v>0.2</v>
      </c>
      <c r="BJ11" s="183"/>
      <c r="BK11" s="184" t="s">
        <v>698</v>
      </c>
      <c r="BL11" s="185" t="s">
        <v>108</v>
      </c>
      <c r="BM11" s="180"/>
      <c r="BN11" s="182">
        <v>0.2</v>
      </c>
      <c r="BO11" s="183"/>
      <c r="BP11" s="184" t="s">
        <v>699</v>
      </c>
      <c r="BQ11" s="185" t="s">
        <v>108</v>
      </c>
      <c r="BR11" s="180"/>
      <c r="BS11" s="182">
        <v>0.2</v>
      </c>
      <c r="BT11" s="183"/>
      <c r="BU11" s="184" t="s">
        <v>688</v>
      </c>
      <c r="BV11" s="185" t="s">
        <v>108</v>
      </c>
      <c r="BW11" s="180"/>
      <c r="BX11" s="182">
        <v>0.2</v>
      </c>
      <c r="BY11" s="183"/>
      <c r="BZ11" s="184" t="s">
        <v>288</v>
      </c>
      <c r="CA11" s="185" t="s">
        <v>108</v>
      </c>
      <c r="CB11" s="180"/>
      <c r="CC11" s="182">
        <v>0.2</v>
      </c>
      <c r="CD11" s="183"/>
      <c r="CE11" s="184" t="s">
        <v>678</v>
      </c>
      <c r="CF11" s="185" t="s">
        <v>108</v>
      </c>
      <c r="CG11" s="180"/>
      <c r="CH11" s="182">
        <v>0.2</v>
      </c>
      <c r="CI11" s="183"/>
      <c r="CJ11" s="184" t="s">
        <v>700</v>
      </c>
      <c r="CK11" s="185" t="s">
        <v>108</v>
      </c>
      <c r="CL11" s="180"/>
      <c r="CM11" s="182">
        <v>0.2</v>
      </c>
      <c r="CN11" s="183"/>
      <c r="CO11" s="184" t="s">
        <v>672</v>
      </c>
      <c r="CP11" s="185" t="s">
        <v>108</v>
      </c>
      <c r="CQ11" s="180"/>
      <c r="CR11" s="182">
        <v>0.2</v>
      </c>
      <c r="CS11" s="183"/>
      <c r="CT11" s="184" t="s">
        <v>697</v>
      </c>
      <c r="CU11" s="185" t="s">
        <v>108</v>
      </c>
      <c r="CV11" s="180"/>
      <c r="CW11" s="182">
        <v>0.2</v>
      </c>
      <c r="CX11" s="183"/>
      <c r="CY11" s="184" t="s">
        <v>681</v>
      </c>
      <c r="CZ11" s="185" t="s">
        <v>108</v>
      </c>
      <c r="DA11" s="180"/>
      <c r="DB11" s="182">
        <v>0.2</v>
      </c>
      <c r="DC11" s="183"/>
      <c r="DD11" s="184" t="s">
        <v>671</v>
      </c>
      <c r="DE11" s="185" t="s">
        <v>108</v>
      </c>
      <c r="DF11" s="180"/>
      <c r="DG11" s="182">
        <v>0.2</v>
      </c>
      <c r="DH11" s="183"/>
      <c r="DI11" s="184" t="s">
        <v>697</v>
      </c>
      <c r="DJ11" s="185" t="s">
        <v>108</v>
      </c>
      <c r="DK11" s="180"/>
      <c r="DL11" s="182">
        <v>0.2</v>
      </c>
      <c r="DM11" s="183"/>
      <c r="DN11" s="184" t="s">
        <v>701</v>
      </c>
      <c r="DO11" s="185" t="s">
        <v>108</v>
      </c>
      <c r="DP11" s="181"/>
      <c r="DQ11" s="182">
        <v>0.2</v>
      </c>
      <c r="DR11" s="183"/>
      <c r="DS11" s="184" t="s">
        <v>662</v>
      </c>
      <c r="DT11" s="185" t="s">
        <v>108</v>
      </c>
      <c r="DU11" s="180"/>
      <c r="DV11" s="182">
        <v>0.2</v>
      </c>
      <c r="DW11" s="183"/>
      <c r="DX11" s="184" t="s">
        <v>678</v>
      </c>
      <c r="DY11" s="185" t="s">
        <v>108</v>
      </c>
      <c r="DZ11" s="180"/>
      <c r="EA11" s="51"/>
      <c r="EB11" s="180"/>
      <c r="EC11" s="182">
        <v>0.2</v>
      </c>
      <c r="ED11" s="183"/>
      <c r="EE11" s="184" t="s">
        <v>697</v>
      </c>
      <c r="EF11" s="185" t="s">
        <v>150</v>
      </c>
      <c r="EG11" s="180"/>
      <c r="EH11" s="182">
        <v>0.2</v>
      </c>
      <c r="EI11" s="183"/>
      <c r="EJ11" s="184" t="s">
        <v>702</v>
      </c>
      <c r="EK11" s="185" t="s">
        <v>152</v>
      </c>
      <c r="EL11" s="180"/>
      <c r="EM11" s="182">
        <v>0.2</v>
      </c>
      <c r="EN11" s="183"/>
      <c r="EO11" s="184" t="s">
        <v>703</v>
      </c>
      <c r="EP11" s="185" t="s">
        <v>150</v>
      </c>
      <c r="EQ11" s="180"/>
      <c r="ER11" s="182">
        <v>0.2</v>
      </c>
      <c r="ES11" s="183"/>
      <c r="ET11" s="184" t="s">
        <v>704</v>
      </c>
      <c r="EU11" s="185" t="s">
        <v>150</v>
      </c>
      <c r="EV11" s="180"/>
      <c r="EW11" s="182">
        <v>0.2</v>
      </c>
      <c r="EX11" s="183"/>
      <c r="EY11" s="184" t="s">
        <v>705</v>
      </c>
      <c r="EZ11" s="185" t="s">
        <v>150</v>
      </c>
      <c r="FA11" s="155"/>
      <c r="FB11" s="156"/>
    </row>
    <row r="12" ht="24.0" customHeight="1">
      <c r="A12" s="23"/>
      <c r="B12" s="146"/>
      <c r="C12" s="103"/>
      <c r="D12" s="103"/>
      <c r="E12" s="148"/>
      <c r="F12" s="186">
        <v>0.2</v>
      </c>
      <c r="G12" s="187"/>
      <c r="H12" s="188" t="s">
        <v>697</v>
      </c>
      <c r="I12" s="189" t="s">
        <v>108</v>
      </c>
      <c r="J12" s="180"/>
      <c r="K12" s="186">
        <v>0.2</v>
      </c>
      <c r="L12" s="187"/>
      <c r="M12" s="188" t="s">
        <v>680</v>
      </c>
      <c r="N12" s="189" t="s">
        <v>108</v>
      </c>
      <c r="O12" s="180"/>
      <c r="P12" s="186">
        <v>0.2</v>
      </c>
      <c r="Q12" s="187"/>
      <c r="R12" s="188" t="s">
        <v>681</v>
      </c>
      <c r="S12" s="189" t="s">
        <v>108</v>
      </c>
      <c r="T12" s="180"/>
      <c r="U12" s="186">
        <v>0.2</v>
      </c>
      <c r="V12" s="187"/>
      <c r="W12" s="188" t="s">
        <v>694</v>
      </c>
      <c r="X12" s="189" t="s">
        <v>108</v>
      </c>
      <c r="Y12" s="180"/>
      <c r="Z12" s="186">
        <v>0.2</v>
      </c>
      <c r="AA12" s="187"/>
      <c r="AB12" s="188" t="s">
        <v>679</v>
      </c>
      <c r="AC12" s="189" t="s">
        <v>108</v>
      </c>
      <c r="AD12" s="180"/>
      <c r="AE12" s="186">
        <v>0.2</v>
      </c>
      <c r="AF12" s="187"/>
      <c r="AG12" s="188" t="s">
        <v>685</v>
      </c>
      <c r="AH12" s="189" t="s">
        <v>108</v>
      </c>
      <c r="AI12" s="180"/>
      <c r="AJ12" s="186">
        <v>0.2</v>
      </c>
      <c r="AK12" s="187"/>
      <c r="AL12" s="188" t="s">
        <v>678</v>
      </c>
      <c r="AM12" s="189" t="s">
        <v>108</v>
      </c>
      <c r="AN12" s="180"/>
      <c r="AO12" s="186">
        <v>0.2</v>
      </c>
      <c r="AP12" s="187"/>
      <c r="AQ12" s="188" t="s">
        <v>706</v>
      </c>
      <c r="AR12" s="189" t="s">
        <v>108</v>
      </c>
      <c r="AS12" s="180"/>
      <c r="AT12" s="186">
        <v>0.2</v>
      </c>
      <c r="AU12" s="187"/>
      <c r="AV12" s="188" t="s">
        <v>663</v>
      </c>
      <c r="AW12" s="189" t="s">
        <v>108</v>
      </c>
      <c r="AX12" s="180"/>
      <c r="AY12" s="186">
        <v>0.2</v>
      </c>
      <c r="AZ12" s="187"/>
      <c r="BA12" s="188" t="s">
        <v>707</v>
      </c>
      <c r="BB12" s="189" t="s">
        <v>108</v>
      </c>
      <c r="BC12" s="180"/>
      <c r="BD12" s="186">
        <v>0.2</v>
      </c>
      <c r="BE12" s="187"/>
      <c r="BF12" s="188" t="s">
        <v>662</v>
      </c>
      <c r="BG12" s="189" t="s">
        <v>108</v>
      </c>
      <c r="BH12" s="180"/>
      <c r="BI12" s="186">
        <v>0.2</v>
      </c>
      <c r="BJ12" s="187"/>
      <c r="BK12" s="188" t="s">
        <v>694</v>
      </c>
      <c r="BL12" s="189" t="s">
        <v>108</v>
      </c>
      <c r="BM12" s="180"/>
      <c r="BN12" s="186">
        <v>0.2</v>
      </c>
      <c r="BO12" s="187"/>
      <c r="BP12" s="188" t="s">
        <v>691</v>
      </c>
      <c r="BQ12" s="189" t="s">
        <v>108</v>
      </c>
      <c r="BR12" s="180"/>
      <c r="BS12" s="186">
        <v>0.2</v>
      </c>
      <c r="BT12" s="187"/>
      <c r="BU12" s="188" t="s">
        <v>700</v>
      </c>
      <c r="BV12" s="189" t="s">
        <v>108</v>
      </c>
      <c r="BW12" s="180"/>
      <c r="BX12" s="186">
        <v>0.2</v>
      </c>
      <c r="BY12" s="187"/>
      <c r="BZ12" s="188" t="s">
        <v>665</v>
      </c>
      <c r="CA12" s="189" t="s">
        <v>108</v>
      </c>
      <c r="CB12" s="180"/>
      <c r="CC12" s="186">
        <v>0.2</v>
      </c>
      <c r="CD12" s="187"/>
      <c r="CE12" s="188" t="s">
        <v>692</v>
      </c>
      <c r="CF12" s="189" t="s">
        <v>108</v>
      </c>
      <c r="CG12" s="180"/>
      <c r="CH12" s="186">
        <v>0.2</v>
      </c>
      <c r="CI12" s="187"/>
      <c r="CJ12" s="188" t="s">
        <v>700</v>
      </c>
      <c r="CK12" s="189" t="s">
        <v>108</v>
      </c>
      <c r="CL12" s="180"/>
      <c r="CM12" s="186">
        <v>0.2</v>
      </c>
      <c r="CN12" s="187"/>
      <c r="CO12" s="188" t="s">
        <v>694</v>
      </c>
      <c r="CP12" s="189" t="s">
        <v>108</v>
      </c>
      <c r="CQ12" s="180"/>
      <c r="CR12" s="186">
        <v>0.2</v>
      </c>
      <c r="CS12" s="187"/>
      <c r="CT12" s="188" t="s">
        <v>680</v>
      </c>
      <c r="CU12" s="189" t="s">
        <v>108</v>
      </c>
      <c r="CV12" s="180"/>
      <c r="CW12" s="186">
        <v>0.2</v>
      </c>
      <c r="CX12" s="187"/>
      <c r="CY12" s="188" t="s">
        <v>662</v>
      </c>
      <c r="CZ12" s="189" t="s">
        <v>108</v>
      </c>
      <c r="DA12" s="180"/>
      <c r="DB12" s="186">
        <v>0.2</v>
      </c>
      <c r="DC12" s="187"/>
      <c r="DD12" s="188" t="s">
        <v>659</v>
      </c>
      <c r="DE12" s="189" t="s">
        <v>108</v>
      </c>
      <c r="DF12" s="180"/>
      <c r="DG12" s="186">
        <v>0.2</v>
      </c>
      <c r="DH12" s="187"/>
      <c r="DI12" s="188" t="s">
        <v>667</v>
      </c>
      <c r="DJ12" s="189" t="s">
        <v>108</v>
      </c>
      <c r="DK12" s="180"/>
      <c r="DL12" s="186">
        <v>0.2</v>
      </c>
      <c r="DM12" s="187"/>
      <c r="DN12" s="188" t="s">
        <v>662</v>
      </c>
      <c r="DO12" s="189" t="s">
        <v>108</v>
      </c>
      <c r="DP12" s="181"/>
      <c r="DQ12" s="186">
        <v>0.2</v>
      </c>
      <c r="DR12" s="187"/>
      <c r="DS12" s="188" t="s">
        <v>681</v>
      </c>
      <c r="DT12" s="189" t="s">
        <v>108</v>
      </c>
      <c r="DU12" s="180"/>
      <c r="DV12" s="186">
        <v>0.2</v>
      </c>
      <c r="DW12" s="187"/>
      <c r="DX12" s="188" t="s">
        <v>658</v>
      </c>
      <c r="DY12" s="189" t="s">
        <v>108</v>
      </c>
      <c r="DZ12" s="180"/>
      <c r="EA12" s="51"/>
      <c r="EB12" s="180"/>
      <c r="EC12" s="186">
        <v>0.2</v>
      </c>
      <c r="ED12" s="187"/>
      <c r="EE12" s="188" t="s">
        <v>697</v>
      </c>
      <c r="EF12" s="189" t="s">
        <v>150</v>
      </c>
      <c r="EG12" s="180"/>
      <c r="EH12" s="186">
        <v>0.2</v>
      </c>
      <c r="EI12" s="187"/>
      <c r="EJ12" s="188" t="s">
        <v>702</v>
      </c>
      <c r="EK12" s="189" t="s">
        <v>152</v>
      </c>
      <c r="EL12" s="180"/>
      <c r="EM12" s="186">
        <v>0.2</v>
      </c>
      <c r="EN12" s="187"/>
      <c r="EO12" s="188" t="s">
        <v>703</v>
      </c>
      <c r="EP12" s="189" t="s">
        <v>150</v>
      </c>
      <c r="EQ12" s="180"/>
      <c r="ER12" s="186">
        <v>0.2</v>
      </c>
      <c r="ES12" s="187"/>
      <c r="ET12" s="188" t="s">
        <v>704</v>
      </c>
      <c r="EU12" s="189" t="s">
        <v>150</v>
      </c>
      <c r="EV12" s="180"/>
      <c r="EW12" s="186">
        <v>0.2</v>
      </c>
      <c r="EX12" s="187"/>
      <c r="EY12" s="188" t="s">
        <v>705</v>
      </c>
      <c r="EZ12" s="189" t="s">
        <v>150</v>
      </c>
      <c r="FA12" s="155"/>
      <c r="FB12" s="156"/>
    </row>
    <row r="13" ht="7.5" customHeight="1">
      <c r="A13" s="23"/>
      <c r="B13" s="146"/>
      <c r="C13" s="161"/>
      <c r="D13" s="161"/>
      <c r="E13" s="103"/>
      <c r="F13" s="162"/>
      <c r="G13" s="102"/>
      <c r="H13" s="102"/>
      <c r="I13" s="102"/>
      <c r="J13" s="103"/>
      <c r="K13" s="162"/>
      <c r="L13" s="102"/>
      <c r="M13" s="102"/>
      <c r="N13" s="102"/>
      <c r="O13" s="103"/>
      <c r="P13" s="162"/>
      <c r="Q13" s="102"/>
      <c r="R13" s="102"/>
      <c r="S13" s="102"/>
      <c r="T13" s="103"/>
      <c r="U13" s="162"/>
      <c r="V13" s="102"/>
      <c r="W13" s="102"/>
      <c r="X13" s="102"/>
      <c r="Y13" s="103"/>
      <c r="Z13" s="162"/>
      <c r="AA13" s="102"/>
      <c r="AB13" s="102"/>
      <c r="AC13" s="102"/>
      <c r="AD13" s="103"/>
      <c r="AE13" s="162"/>
      <c r="AF13" s="102"/>
      <c r="AG13" s="102"/>
      <c r="AH13" s="102"/>
      <c r="AI13" s="103"/>
      <c r="AJ13" s="162"/>
      <c r="AK13" s="102"/>
      <c r="AL13" s="102"/>
      <c r="AM13" s="102"/>
      <c r="AN13" s="103"/>
      <c r="AO13" s="162"/>
      <c r="AP13" s="102"/>
      <c r="AQ13" s="102"/>
      <c r="AR13" s="102"/>
      <c r="AS13" s="103"/>
      <c r="AT13" s="162"/>
      <c r="AU13" s="102"/>
      <c r="AV13" s="102"/>
      <c r="AW13" s="102"/>
      <c r="AX13" s="103"/>
      <c r="AY13" s="162"/>
      <c r="AZ13" s="102"/>
      <c r="BA13" s="102"/>
      <c r="BB13" s="102"/>
      <c r="BC13" s="103"/>
      <c r="BD13" s="162"/>
      <c r="BE13" s="102"/>
      <c r="BF13" s="102"/>
      <c r="BG13" s="102"/>
      <c r="BH13" s="103"/>
      <c r="BI13" s="162"/>
      <c r="BJ13" s="102"/>
      <c r="BK13" s="102"/>
      <c r="BL13" s="102"/>
      <c r="BM13" s="103"/>
      <c r="BN13" s="162"/>
      <c r="BO13" s="102"/>
      <c r="BP13" s="102"/>
      <c r="BQ13" s="102"/>
      <c r="BR13" s="103"/>
      <c r="BS13" s="162"/>
      <c r="BT13" s="102"/>
      <c r="BU13" s="102"/>
      <c r="BV13" s="102"/>
      <c r="BW13" s="103"/>
      <c r="BX13" s="162"/>
      <c r="BY13" s="102"/>
      <c r="BZ13" s="102"/>
      <c r="CA13" s="102"/>
      <c r="CB13" s="103"/>
      <c r="CC13" s="162"/>
      <c r="CD13" s="102"/>
      <c r="CE13" s="102"/>
      <c r="CF13" s="102"/>
      <c r="CG13" s="103"/>
      <c r="CH13" s="162"/>
      <c r="CI13" s="102"/>
      <c r="CJ13" s="102"/>
      <c r="CK13" s="102"/>
      <c r="CL13" s="103"/>
      <c r="CM13" s="162"/>
      <c r="CN13" s="102"/>
      <c r="CO13" s="102"/>
      <c r="CP13" s="102"/>
      <c r="CQ13" s="103"/>
      <c r="CR13" s="162"/>
      <c r="CS13" s="102"/>
      <c r="CT13" s="102"/>
      <c r="CU13" s="102"/>
      <c r="CV13" s="103"/>
      <c r="CW13" s="162"/>
      <c r="CX13" s="102"/>
      <c r="CY13" s="102"/>
      <c r="CZ13" s="102"/>
      <c r="DA13" s="103"/>
      <c r="DB13" s="162"/>
      <c r="DC13" s="102"/>
      <c r="DD13" s="102"/>
      <c r="DE13" s="102"/>
      <c r="DF13" s="103"/>
      <c r="DG13" s="162"/>
      <c r="DH13" s="102"/>
      <c r="DI13" s="102"/>
      <c r="DJ13" s="102"/>
      <c r="DK13" s="103"/>
      <c r="DL13" s="162"/>
      <c r="DM13" s="102"/>
      <c r="DN13" s="102"/>
      <c r="DO13" s="102"/>
      <c r="DP13" s="163"/>
      <c r="DQ13" s="162"/>
      <c r="DR13" s="102"/>
      <c r="DS13" s="102"/>
      <c r="DT13" s="102"/>
      <c r="DU13" s="103"/>
      <c r="DV13" s="162"/>
      <c r="DW13" s="102"/>
      <c r="DX13" s="102"/>
      <c r="DY13" s="102"/>
      <c r="DZ13" s="103"/>
      <c r="EA13" s="51"/>
      <c r="EB13" s="103"/>
      <c r="EC13" s="162"/>
      <c r="ED13" s="102"/>
      <c r="EE13" s="102"/>
      <c r="EF13" s="102"/>
      <c r="EG13" s="103"/>
      <c r="EH13" s="162"/>
      <c r="EI13" s="102"/>
      <c r="EJ13" s="102"/>
      <c r="EK13" s="102"/>
      <c r="EL13" s="103"/>
      <c r="EM13" s="162"/>
      <c r="EN13" s="102"/>
      <c r="EO13" s="102"/>
      <c r="EP13" s="102"/>
      <c r="EQ13" s="103"/>
      <c r="ER13" s="162"/>
      <c r="ES13" s="102"/>
      <c r="ET13" s="102"/>
      <c r="EU13" s="102"/>
      <c r="EV13" s="103"/>
      <c r="EW13" s="162"/>
      <c r="EX13" s="102"/>
      <c r="EY13" s="102"/>
      <c r="EZ13" s="102"/>
      <c r="FA13" s="155"/>
      <c r="FB13" s="156"/>
    </row>
    <row r="14" ht="26.25" customHeight="1">
      <c r="A14" s="164"/>
      <c r="B14" s="165"/>
      <c r="C14" s="127" t="str">
        <f>Source!$C25</f>
        <v/>
      </c>
      <c r="D14" s="128" t="s">
        <v>708</v>
      </c>
      <c r="E14" s="129"/>
      <c r="F14" s="166" t="str">
        <f>Source!$C25</f>
        <v/>
      </c>
      <c r="G14" s="167" t="s">
        <v>644</v>
      </c>
      <c r="H14" s="168"/>
      <c r="I14" s="169"/>
      <c r="J14" s="130"/>
      <c r="K14" s="166" t="str">
        <f>Source!$C25</f>
        <v/>
      </c>
      <c r="L14" s="167" t="s">
        <v>13</v>
      </c>
      <c r="M14" s="168"/>
      <c r="N14" s="169"/>
      <c r="O14" s="130"/>
      <c r="P14" s="166" t="str">
        <f>Source!$C25</f>
        <v/>
      </c>
      <c r="Q14" s="167" t="s">
        <v>14</v>
      </c>
      <c r="R14" s="168"/>
      <c r="S14" s="169"/>
      <c r="T14" s="130"/>
      <c r="U14" s="166" t="str">
        <f>Source!$C25</f>
        <v/>
      </c>
      <c r="V14" s="167" t="s">
        <v>15</v>
      </c>
      <c r="W14" s="168"/>
      <c r="X14" s="169"/>
      <c r="Y14" s="130"/>
      <c r="Z14" s="166" t="str">
        <f>Source!$C25</f>
        <v/>
      </c>
      <c r="AA14" s="167" t="s">
        <v>645</v>
      </c>
      <c r="AB14" s="168"/>
      <c r="AC14" s="169"/>
      <c r="AD14" s="130"/>
      <c r="AE14" s="166" t="str">
        <f>Source!$C25</f>
        <v/>
      </c>
      <c r="AF14" s="167" t="s">
        <v>26</v>
      </c>
      <c r="AG14" s="168"/>
      <c r="AH14" s="169"/>
      <c r="AI14" s="130"/>
      <c r="AJ14" s="166" t="str">
        <f>Source!$C25</f>
        <v/>
      </c>
      <c r="AK14" s="167" t="s">
        <v>27</v>
      </c>
      <c r="AL14" s="168"/>
      <c r="AM14" s="169"/>
      <c r="AN14" s="130"/>
      <c r="AO14" s="166" t="str">
        <f>Source!$C25</f>
        <v/>
      </c>
      <c r="AP14" s="167" t="s">
        <v>29</v>
      </c>
      <c r="AQ14" s="168"/>
      <c r="AR14" s="169"/>
      <c r="AS14" s="130"/>
      <c r="AT14" s="166" t="str">
        <f>Source!$C25</f>
        <v/>
      </c>
      <c r="AU14" s="167" t="s">
        <v>646</v>
      </c>
      <c r="AV14" s="168"/>
      <c r="AW14" s="169"/>
      <c r="AX14" s="130"/>
      <c r="AY14" s="166" t="str">
        <f>Source!$C25</f>
        <v/>
      </c>
      <c r="AZ14" s="167" t="s">
        <v>30</v>
      </c>
      <c r="BA14" s="168"/>
      <c r="BB14" s="169"/>
      <c r="BC14" s="130"/>
      <c r="BD14" s="166" t="str">
        <f>Source!$C25</f>
        <v/>
      </c>
      <c r="BE14" s="167" t="s">
        <v>647</v>
      </c>
      <c r="BF14" s="168"/>
      <c r="BG14" s="169"/>
      <c r="BH14" s="130"/>
      <c r="BI14" s="166" t="str">
        <f>Source!$C25</f>
        <v/>
      </c>
      <c r="BJ14" s="167" t="s">
        <v>33</v>
      </c>
      <c r="BK14" s="168"/>
      <c r="BL14" s="169"/>
      <c r="BM14" s="130"/>
      <c r="BN14" s="166" t="str">
        <f>Source!$C25</f>
        <v/>
      </c>
      <c r="BO14" s="167" t="s">
        <v>45</v>
      </c>
      <c r="BP14" s="168"/>
      <c r="BQ14" s="169"/>
      <c r="BR14" s="130"/>
      <c r="BS14" s="166" t="str">
        <f>Source!$C25</f>
        <v/>
      </c>
      <c r="BT14" s="167" t="s">
        <v>648</v>
      </c>
      <c r="BU14" s="168"/>
      <c r="BV14" s="169"/>
      <c r="BW14" s="130"/>
      <c r="BX14" s="166" t="str">
        <f>Source!$C25</f>
        <v/>
      </c>
      <c r="BY14" s="167" t="s">
        <v>46</v>
      </c>
      <c r="BZ14" s="168"/>
      <c r="CA14" s="169"/>
      <c r="CB14" s="130"/>
      <c r="CC14" s="166" t="str">
        <f>Source!$C25</f>
        <v/>
      </c>
      <c r="CD14" s="167" t="s">
        <v>649</v>
      </c>
      <c r="CE14" s="168"/>
      <c r="CF14" s="169"/>
      <c r="CG14" s="130"/>
      <c r="CH14" s="166" t="str">
        <f>Source!$C25</f>
        <v/>
      </c>
      <c r="CI14" s="167" t="s">
        <v>650</v>
      </c>
      <c r="CJ14" s="168"/>
      <c r="CK14" s="169"/>
      <c r="CL14" s="130"/>
      <c r="CM14" s="166" t="str">
        <f>Source!$C25</f>
        <v/>
      </c>
      <c r="CN14" s="167" t="s">
        <v>651</v>
      </c>
      <c r="CO14" s="168"/>
      <c r="CP14" s="169"/>
      <c r="CQ14" s="130"/>
      <c r="CR14" s="166" t="str">
        <f>Source!$C25</f>
        <v/>
      </c>
      <c r="CS14" s="167" t="s">
        <v>652</v>
      </c>
      <c r="CT14" s="168"/>
      <c r="CU14" s="169"/>
      <c r="CV14" s="130"/>
      <c r="CW14" s="166" t="str">
        <f>Source!$C25</f>
        <v/>
      </c>
      <c r="CX14" s="167" t="s">
        <v>52</v>
      </c>
      <c r="CY14" s="168"/>
      <c r="CZ14" s="169"/>
      <c r="DA14" s="130"/>
      <c r="DB14" s="166" t="str">
        <f>Source!$C25</f>
        <v/>
      </c>
      <c r="DC14" s="167" t="s">
        <v>653</v>
      </c>
      <c r="DD14" s="168"/>
      <c r="DE14" s="169"/>
      <c r="DF14" s="130"/>
      <c r="DG14" s="166" t="str">
        <f>Source!$C25</f>
        <v/>
      </c>
      <c r="DH14" s="167" t="s">
        <v>654</v>
      </c>
      <c r="DI14" s="168"/>
      <c r="DJ14" s="169"/>
      <c r="DK14" s="130"/>
      <c r="DL14" s="166" t="str">
        <f>Source!$C25</f>
        <v/>
      </c>
      <c r="DM14" s="170" t="s">
        <v>60</v>
      </c>
      <c r="DN14" s="168"/>
      <c r="DO14" s="169"/>
      <c r="DP14" s="131"/>
      <c r="DQ14" s="166" t="str">
        <f>Source!$C25</f>
        <v/>
      </c>
      <c r="DR14" s="171" t="s">
        <v>62</v>
      </c>
      <c r="DS14" s="168"/>
      <c r="DT14" s="169"/>
      <c r="DU14" s="130"/>
      <c r="DV14" s="166" t="str">
        <f>Source!$C25</f>
        <v/>
      </c>
      <c r="DW14" s="167" t="s">
        <v>49</v>
      </c>
      <c r="DX14" s="168"/>
      <c r="DY14" s="169"/>
      <c r="DZ14" s="130"/>
      <c r="EA14" s="51"/>
      <c r="EB14" s="130"/>
      <c r="EC14" s="166" t="str">
        <f>Source!$C25</f>
        <v/>
      </c>
      <c r="ED14" s="167" t="s">
        <v>69</v>
      </c>
      <c r="EE14" s="168"/>
      <c r="EF14" s="169"/>
      <c r="EG14" s="130"/>
      <c r="EH14" s="166" t="str">
        <f>Source!$C25</f>
        <v/>
      </c>
      <c r="EI14" s="167" t="s">
        <v>72</v>
      </c>
      <c r="EJ14" s="168"/>
      <c r="EK14" s="169"/>
      <c r="EL14" s="130"/>
      <c r="EM14" s="166" t="str">
        <f>Source!$C25</f>
        <v/>
      </c>
      <c r="EN14" s="167" t="s">
        <v>75</v>
      </c>
      <c r="EO14" s="168"/>
      <c r="EP14" s="169"/>
      <c r="EQ14" s="130"/>
      <c r="ER14" s="166" t="str">
        <f>Source!$C25</f>
        <v/>
      </c>
      <c r="ES14" s="167" t="s">
        <v>76</v>
      </c>
      <c r="ET14" s="168"/>
      <c r="EU14" s="169"/>
      <c r="EV14" s="130"/>
      <c r="EW14" s="166" t="str">
        <f>Source!$C25</f>
        <v/>
      </c>
      <c r="EX14" s="167" t="s">
        <v>74</v>
      </c>
      <c r="EY14" s="168"/>
      <c r="EZ14" s="169"/>
      <c r="FA14" s="172"/>
      <c r="FB14" s="173"/>
    </row>
    <row r="15" ht="15.0" customHeight="1">
      <c r="A15" s="134"/>
      <c r="B15" s="135"/>
      <c r="C15" s="136" t="s">
        <v>709</v>
      </c>
      <c r="D15" s="137"/>
      <c r="E15" s="138"/>
      <c r="F15" s="174" t="s">
        <v>80</v>
      </c>
      <c r="G15" s="140" t="s">
        <v>81</v>
      </c>
      <c r="H15" s="48"/>
      <c r="I15" s="175" t="s">
        <v>82</v>
      </c>
      <c r="J15" s="142"/>
      <c r="K15" s="174" t="s">
        <v>80</v>
      </c>
      <c r="L15" s="140" t="s">
        <v>81</v>
      </c>
      <c r="M15" s="48"/>
      <c r="N15" s="175" t="s">
        <v>82</v>
      </c>
      <c r="O15" s="142"/>
      <c r="P15" s="174" t="s">
        <v>80</v>
      </c>
      <c r="Q15" s="140" t="s">
        <v>81</v>
      </c>
      <c r="R15" s="48"/>
      <c r="S15" s="175" t="s">
        <v>82</v>
      </c>
      <c r="T15" s="142"/>
      <c r="U15" s="174" t="s">
        <v>80</v>
      </c>
      <c r="V15" s="140" t="s">
        <v>81</v>
      </c>
      <c r="W15" s="48"/>
      <c r="X15" s="175" t="s">
        <v>82</v>
      </c>
      <c r="Y15" s="142"/>
      <c r="Z15" s="174" t="s">
        <v>80</v>
      </c>
      <c r="AA15" s="140" t="s">
        <v>81</v>
      </c>
      <c r="AB15" s="48"/>
      <c r="AC15" s="175" t="s">
        <v>82</v>
      </c>
      <c r="AD15" s="142"/>
      <c r="AE15" s="174" t="s">
        <v>80</v>
      </c>
      <c r="AF15" s="140" t="s">
        <v>81</v>
      </c>
      <c r="AG15" s="48"/>
      <c r="AH15" s="175" t="s">
        <v>82</v>
      </c>
      <c r="AI15" s="142"/>
      <c r="AJ15" s="174" t="s">
        <v>80</v>
      </c>
      <c r="AK15" s="140" t="s">
        <v>81</v>
      </c>
      <c r="AL15" s="48"/>
      <c r="AM15" s="175" t="s">
        <v>82</v>
      </c>
      <c r="AN15" s="142"/>
      <c r="AO15" s="174" t="s">
        <v>80</v>
      </c>
      <c r="AP15" s="140" t="s">
        <v>81</v>
      </c>
      <c r="AQ15" s="48"/>
      <c r="AR15" s="175" t="s">
        <v>82</v>
      </c>
      <c r="AS15" s="142"/>
      <c r="AT15" s="174" t="s">
        <v>80</v>
      </c>
      <c r="AU15" s="140" t="s">
        <v>81</v>
      </c>
      <c r="AV15" s="48"/>
      <c r="AW15" s="175" t="s">
        <v>82</v>
      </c>
      <c r="AX15" s="142"/>
      <c r="AY15" s="174" t="s">
        <v>80</v>
      </c>
      <c r="AZ15" s="140" t="s">
        <v>81</v>
      </c>
      <c r="BA15" s="48"/>
      <c r="BB15" s="175" t="s">
        <v>82</v>
      </c>
      <c r="BC15" s="142"/>
      <c r="BD15" s="174" t="s">
        <v>80</v>
      </c>
      <c r="BE15" s="140" t="s">
        <v>81</v>
      </c>
      <c r="BF15" s="48"/>
      <c r="BG15" s="175" t="s">
        <v>82</v>
      </c>
      <c r="BH15" s="142"/>
      <c r="BI15" s="174" t="s">
        <v>80</v>
      </c>
      <c r="BJ15" s="140" t="s">
        <v>81</v>
      </c>
      <c r="BK15" s="48"/>
      <c r="BL15" s="175" t="s">
        <v>82</v>
      </c>
      <c r="BM15" s="142"/>
      <c r="BN15" s="174" t="s">
        <v>80</v>
      </c>
      <c r="BO15" s="140" t="s">
        <v>81</v>
      </c>
      <c r="BP15" s="48"/>
      <c r="BQ15" s="175" t="s">
        <v>82</v>
      </c>
      <c r="BR15" s="142"/>
      <c r="BS15" s="174" t="s">
        <v>80</v>
      </c>
      <c r="BT15" s="140" t="s">
        <v>81</v>
      </c>
      <c r="BU15" s="48"/>
      <c r="BV15" s="175" t="s">
        <v>82</v>
      </c>
      <c r="BW15" s="142"/>
      <c r="BX15" s="174" t="s">
        <v>80</v>
      </c>
      <c r="BY15" s="140" t="s">
        <v>81</v>
      </c>
      <c r="BZ15" s="48"/>
      <c r="CA15" s="175" t="s">
        <v>82</v>
      </c>
      <c r="CB15" s="142"/>
      <c r="CC15" s="174" t="s">
        <v>80</v>
      </c>
      <c r="CD15" s="140" t="s">
        <v>81</v>
      </c>
      <c r="CE15" s="48"/>
      <c r="CF15" s="175" t="s">
        <v>82</v>
      </c>
      <c r="CG15" s="142"/>
      <c r="CH15" s="174" t="s">
        <v>80</v>
      </c>
      <c r="CI15" s="140" t="s">
        <v>81</v>
      </c>
      <c r="CJ15" s="48"/>
      <c r="CK15" s="175" t="s">
        <v>82</v>
      </c>
      <c r="CL15" s="142"/>
      <c r="CM15" s="174" t="s">
        <v>80</v>
      </c>
      <c r="CN15" s="140" t="s">
        <v>81</v>
      </c>
      <c r="CO15" s="48"/>
      <c r="CP15" s="175" t="s">
        <v>82</v>
      </c>
      <c r="CQ15" s="142"/>
      <c r="CR15" s="174" t="s">
        <v>80</v>
      </c>
      <c r="CS15" s="140" t="s">
        <v>81</v>
      </c>
      <c r="CT15" s="48"/>
      <c r="CU15" s="175" t="s">
        <v>82</v>
      </c>
      <c r="CV15" s="142"/>
      <c r="CW15" s="174" t="s">
        <v>80</v>
      </c>
      <c r="CX15" s="140" t="s">
        <v>81</v>
      </c>
      <c r="CY15" s="48"/>
      <c r="CZ15" s="175" t="s">
        <v>82</v>
      </c>
      <c r="DA15" s="142"/>
      <c r="DB15" s="174" t="s">
        <v>80</v>
      </c>
      <c r="DC15" s="140" t="s">
        <v>81</v>
      </c>
      <c r="DD15" s="48"/>
      <c r="DE15" s="175" t="s">
        <v>82</v>
      </c>
      <c r="DF15" s="142"/>
      <c r="DG15" s="174" t="s">
        <v>80</v>
      </c>
      <c r="DH15" s="140" t="s">
        <v>81</v>
      </c>
      <c r="DI15" s="48"/>
      <c r="DJ15" s="175" t="s">
        <v>82</v>
      </c>
      <c r="DK15" s="142"/>
      <c r="DL15" s="174" t="s">
        <v>80</v>
      </c>
      <c r="DM15" s="140" t="s">
        <v>81</v>
      </c>
      <c r="DN15" s="48"/>
      <c r="DO15" s="175" t="s">
        <v>82</v>
      </c>
      <c r="DP15" s="143"/>
      <c r="DQ15" s="174" t="s">
        <v>80</v>
      </c>
      <c r="DR15" s="140" t="s">
        <v>81</v>
      </c>
      <c r="DS15" s="48"/>
      <c r="DT15" s="175" t="s">
        <v>82</v>
      </c>
      <c r="DU15" s="142"/>
      <c r="DV15" s="174" t="s">
        <v>80</v>
      </c>
      <c r="DW15" s="140" t="s">
        <v>81</v>
      </c>
      <c r="DX15" s="48"/>
      <c r="DY15" s="175" t="s">
        <v>82</v>
      </c>
      <c r="DZ15" s="142"/>
      <c r="EA15" s="51"/>
      <c r="EB15" s="142"/>
      <c r="EC15" s="174" t="s">
        <v>80</v>
      </c>
      <c r="ED15" s="140" t="s">
        <v>81</v>
      </c>
      <c r="EE15" s="48"/>
      <c r="EF15" s="175" t="s">
        <v>82</v>
      </c>
      <c r="EG15" s="142"/>
      <c r="EH15" s="174" t="s">
        <v>80</v>
      </c>
      <c r="EI15" s="140" t="s">
        <v>81</v>
      </c>
      <c r="EJ15" s="48"/>
      <c r="EK15" s="175" t="s">
        <v>82</v>
      </c>
      <c r="EL15" s="142"/>
      <c r="EM15" s="174" t="s">
        <v>80</v>
      </c>
      <c r="EN15" s="140" t="s">
        <v>81</v>
      </c>
      <c r="EO15" s="48"/>
      <c r="EP15" s="175" t="s">
        <v>82</v>
      </c>
      <c r="EQ15" s="142"/>
      <c r="ER15" s="174" t="s">
        <v>80</v>
      </c>
      <c r="ES15" s="140" t="s">
        <v>81</v>
      </c>
      <c r="ET15" s="48"/>
      <c r="EU15" s="175" t="s">
        <v>82</v>
      </c>
      <c r="EV15" s="142"/>
      <c r="EW15" s="174" t="s">
        <v>80</v>
      </c>
      <c r="EX15" s="140" t="s">
        <v>81</v>
      </c>
      <c r="EY15" s="48"/>
      <c r="EZ15" s="175" t="s">
        <v>82</v>
      </c>
      <c r="FA15" s="176"/>
      <c r="FB15" s="177"/>
    </row>
    <row r="16" ht="23.25" customHeight="1">
      <c r="A16" s="23"/>
      <c r="B16" s="146"/>
      <c r="C16" s="147"/>
      <c r="D16" s="147"/>
      <c r="E16" s="148"/>
      <c r="F16" s="190">
        <v>0.4</v>
      </c>
      <c r="G16" s="56" t="str">
        <f t="array" ref="G16:G20">IFERROR(VLOOKUP(H16:H20,Dex!$B$3:$N30,2,FALSE),"")</f>
        <v/>
      </c>
      <c r="H16" s="191" t="s">
        <v>710</v>
      </c>
      <c r="I16" s="192" t="s">
        <v>711</v>
      </c>
      <c r="J16" s="180"/>
      <c r="K16" s="190">
        <v>0.4</v>
      </c>
      <c r="L16" s="56" t="str">
        <f t="array" ref="L16:L20">IFERROR(VLOOKUP(M16:M20,Dex!$B$3:$N30,2,FALSE),"")</f>
        <v/>
      </c>
      <c r="M16" s="191" t="s">
        <v>710</v>
      </c>
      <c r="N16" s="192" t="s">
        <v>711</v>
      </c>
      <c r="O16" s="180"/>
      <c r="P16" s="190">
        <v>0.4</v>
      </c>
      <c r="Q16" s="56" t="str">
        <f t="array" ref="Q16:Q20">IFERROR(VLOOKUP(R16:R20,Dex!$B$3:$N30,2,FALSE),"")</f>
        <v/>
      </c>
      <c r="R16" s="191" t="s">
        <v>710</v>
      </c>
      <c r="S16" s="192" t="s">
        <v>711</v>
      </c>
      <c r="T16" s="180"/>
      <c r="U16" s="190">
        <v>0.4</v>
      </c>
      <c r="V16" s="56" t="str">
        <f t="array" ref="V16:V20">IFERROR(VLOOKUP(W16:W20,Dex!$B$3:$N30,2,FALSE),"")</f>
        <v/>
      </c>
      <c r="W16" s="191" t="s">
        <v>712</v>
      </c>
      <c r="X16" s="192" t="s">
        <v>711</v>
      </c>
      <c r="Y16" s="180"/>
      <c r="Z16" s="190">
        <v>0.4</v>
      </c>
      <c r="AA16" s="56" t="str">
        <f t="array" ref="AA16:AA20">IFERROR(VLOOKUP(AB16:AB20,Dex!$B$3:$N30,2,FALSE),"")</f>
        <v/>
      </c>
      <c r="AB16" s="191" t="s">
        <v>710</v>
      </c>
      <c r="AC16" s="192" t="s">
        <v>711</v>
      </c>
      <c r="AD16" s="180"/>
      <c r="AE16" s="190">
        <v>0.4</v>
      </c>
      <c r="AF16" s="56" t="str">
        <f t="array" ref="AF16:AF20">IFERROR(VLOOKUP(AG16:AG20,Dex!$B$3:$N30,2,FALSE),"")</f>
        <v/>
      </c>
      <c r="AG16" s="191" t="s">
        <v>710</v>
      </c>
      <c r="AH16" s="192" t="s">
        <v>711</v>
      </c>
      <c r="AI16" s="180"/>
      <c r="AJ16" s="190">
        <v>0.4</v>
      </c>
      <c r="AK16" s="56" t="str">
        <f t="array" ref="AK16:AK20">IFERROR(VLOOKUP(AL16:AL20,Dex!$B$3:$N30,2,FALSE),"")</f>
        <v/>
      </c>
      <c r="AL16" s="191" t="s">
        <v>692</v>
      </c>
      <c r="AM16" s="192" t="s">
        <v>711</v>
      </c>
      <c r="AN16" s="180"/>
      <c r="AO16" s="190">
        <v>0.4</v>
      </c>
      <c r="AP16" s="56" t="str">
        <f t="array" ref="AP16:AP20">IFERROR(VLOOKUP(AQ16:AQ20,Dex!$B$3:$N30,2,FALSE),"")</f>
        <v/>
      </c>
      <c r="AQ16" s="191" t="s">
        <v>345</v>
      </c>
      <c r="AR16" s="192" t="s">
        <v>711</v>
      </c>
      <c r="AS16" s="180"/>
      <c r="AT16" s="190">
        <v>0.4</v>
      </c>
      <c r="AU16" s="56" t="str">
        <f t="array" ref="AU16:AU20">IFERROR(VLOOKUP(AV16:AV20,Dex!$B$3:$N30,2,FALSE),"")</f>
        <v/>
      </c>
      <c r="AV16" s="191" t="s">
        <v>710</v>
      </c>
      <c r="AW16" s="192" t="s">
        <v>711</v>
      </c>
      <c r="AX16" s="180"/>
      <c r="AY16" s="190">
        <v>0.4</v>
      </c>
      <c r="AZ16" s="56" t="str">
        <f t="array" ref="AZ16:AZ20">IFERROR(VLOOKUP(BA16:BA20,Dex!$B$3:$N30,2,FALSE),"")</f>
        <v/>
      </c>
      <c r="BA16" s="191" t="s">
        <v>710</v>
      </c>
      <c r="BB16" s="192" t="s">
        <v>711</v>
      </c>
      <c r="BC16" s="180"/>
      <c r="BD16" s="190">
        <v>0.4</v>
      </c>
      <c r="BE16" s="56" t="str">
        <f t="array" ref="BE16:BE20">IFERROR(VLOOKUP(BF16:BF20,Dex!$B$3:$N30,2,FALSE),"")</f>
        <v/>
      </c>
      <c r="BF16" s="191" t="s">
        <v>710</v>
      </c>
      <c r="BG16" s="192" t="s">
        <v>711</v>
      </c>
      <c r="BH16" s="180"/>
      <c r="BI16" s="190">
        <v>0.4</v>
      </c>
      <c r="BJ16" s="56" t="str">
        <f t="array" ref="BJ16:BJ20">IFERROR(VLOOKUP(BK16:BK20,Dex!$B$3:$N30,2,FALSE),"")</f>
        <v/>
      </c>
      <c r="BK16" s="191" t="s">
        <v>713</v>
      </c>
      <c r="BL16" s="192" t="s">
        <v>711</v>
      </c>
      <c r="BM16" s="180"/>
      <c r="BN16" s="190">
        <v>0.4</v>
      </c>
      <c r="BO16" s="56" t="str">
        <f t="array" ref="BO16:BO20">IFERROR(VLOOKUP(BP16:BP20,Dex!$B$3:$N30,2,FALSE),"")</f>
        <v/>
      </c>
      <c r="BP16" s="191" t="s">
        <v>714</v>
      </c>
      <c r="BQ16" s="192" t="s">
        <v>711</v>
      </c>
      <c r="BR16" s="180"/>
      <c r="BS16" s="190">
        <v>0.4</v>
      </c>
      <c r="BT16" s="56" t="str">
        <f t="array" ref="BT16:BT20">IFERROR(VLOOKUP(BU16:BU20,Dex!$B$3:$N30,2,FALSE),"")</f>
        <v/>
      </c>
      <c r="BU16" s="191" t="s">
        <v>657</v>
      </c>
      <c r="BV16" s="192" t="s">
        <v>711</v>
      </c>
      <c r="BW16" s="180"/>
      <c r="BX16" s="190">
        <v>0.4</v>
      </c>
      <c r="BY16" s="56" t="str">
        <f t="array" ref="BY16:BY20">IFERROR(VLOOKUP(BZ16:BZ20,Dex!$B$3:$N30,2,FALSE),"")</f>
        <v/>
      </c>
      <c r="BZ16" s="191" t="s">
        <v>715</v>
      </c>
      <c r="CA16" s="192" t="s">
        <v>711</v>
      </c>
      <c r="CB16" s="180"/>
      <c r="CC16" s="190">
        <v>0.4</v>
      </c>
      <c r="CD16" s="56" t="str">
        <f t="array" ref="CD16:CD20">IFERROR(VLOOKUP(CE16:CE20,Dex!$B$3:$N30,2,FALSE),"")</f>
        <v/>
      </c>
      <c r="CE16" s="191" t="s">
        <v>678</v>
      </c>
      <c r="CF16" s="192" t="s">
        <v>711</v>
      </c>
      <c r="CG16" s="180"/>
      <c r="CH16" s="190">
        <v>0.4</v>
      </c>
      <c r="CI16" s="56" t="str">
        <f t="array" ref="CI16:CI20">IFERROR(VLOOKUP(CJ16:CJ20,Dex!$B$3:$N30,2,FALSE),"")</f>
        <v/>
      </c>
      <c r="CJ16" s="191" t="s">
        <v>716</v>
      </c>
      <c r="CK16" s="192" t="s">
        <v>711</v>
      </c>
      <c r="CL16" s="180"/>
      <c r="CM16" s="190">
        <v>0.4</v>
      </c>
      <c r="CN16" s="56" t="str">
        <f t="array" ref="CN16:CN20">IFERROR(VLOOKUP(CO16:CO20,Dex!$B$3:$N30,2,FALSE),"")</f>
        <v/>
      </c>
      <c r="CO16" s="191" t="s">
        <v>716</v>
      </c>
      <c r="CP16" s="192" t="s">
        <v>711</v>
      </c>
      <c r="CQ16" s="180"/>
      <c r="CR16" s="190">
        <v>0.4</v>
      </c>
      <c r="CS16" s="56" t="str">
        <f t="array" ref="CS16:CS20">IFERROR(VLOOKUP(CT16:CT20,Dex!$B$3:$N30,2,FALSE),"")</f>
        <v/>
      </c>
      <c r="CT16" s="191" t="s">
        <v>712</v>
      </c>
      <c r="CU16" s="192" t="s">
        <v>711</v>
      </c>
      <c r="CV16" s="180"/>
      <c r="CW16" s="190">
        <v>0.4</v>
      </c>
      <c r="CX16" s="56" t="str">
        <f t="array" ref="CX16:CX20">IFERROR(VLOOKUP(CY16:CY20,Dex!$B$3:$N30,2,FALSE),"")</f>
        <v/>
      </c>
      <c r="CY16" s="191" t="s">
        <v>716</v>
      </c>
      <c r="CZ16" s="192" t="s">
        <v>711</v>
      </c>
      <c r="DA16" s="180"/>
      <c r="DB16" s="190">
        <v>0.4</v>
      </c>
      <c r="DC16" s="56" t="str">
        <f t="array" ref="DC16:DC20">IFERROR(VLOOKUP(DD16:DD20,Dex!$B$3:$N30,2,FALSE),"")</f>
        <v/>
      </c>
      <c r="DD16" s="191" t="s">
        <v>716</v>
      </c>
      <c r="DE16" s="192" t="s">
        <v>711</v>
      </c>
      <c r="DF16" s="180"/>
      <c r="DG16" s="190">
        <v>0.4</v>
      </c>
      <c r="DH16" s="56" t="str">
        <f t="array" ref="DH16:DH20">IFERROR(VLOOKUP(DI16:DI20,Dex!$B$3:$N30,2,FALSE),"")</f>
        <v/>
      </c>
      <c r="DI16" s="191" t="s">
        <v>712</v>
      </c>
      <c r="DJ16" s="192" t="s">
        <v>711</v>
      </c>
      <c r="DK16" s="180"/>
      <c r="DL16" s="190">
        <v>0.4</v>
      </c>
      <c r="DM16" s="56" t="str">
        <f t="array" ref="DM16:DM20">IFERROR(VLOOKUP(DN16:DN20,Dex!$B$3:$N30,2,FALSE),"")</f>
        <v/>
      </c>
      <c r="DN16" s="191" t="s">
        <v>417</v>
      </c>
      <c r="DO16" s="192" t="s">
        <v>711</v>
      </c>
      <c r="DP16" s="181"/>
      <c r="DQ16" s="190">
        <v>0.4</v>
      </c>
      <c r="DR16" s="56" t="str">
        <f t="array" ref="DR16:DR20">IFERROR(VLOOKUP(DS16:DS20,Dex!$B$3:$N30,2,FALSE),"")</f>
        <v/>
      </c>
      <c r="DS16" s="191" t="s">
        <v>244</v>
      </c>
      <c r="DT16" s="192" t="s">
        <v>711</v>
      </c>
      <c r="DU16" s="180"/>
      <c r="DV16" s="190">
        <v>0.4</v>
      </c>
      <c r="DW16" s="56" t="str">
        <f t="array" ref="DW16:DW20">IFERROR(VLOOKUP(DX16:DX20,Dex!$B$3:$N30,2,FALSE),"")</f>
        <v/>
      </c>
      <c r="DX16" s="191" t="s">
        <v>692</v>
      </c>
      <c r="DY16" s="192" t="s">
        <v>711</v>
      </c>
      <c r="DZ16" s="180"/>
      <c r="EA16" s="51"/>
      <c r="EB16" s="180"/>
      <c r="EC16" s="190">
        <v>0.4</v>
      </c>
      <c r="ED16" s="56" t="str">
        <f t="array" ref="ED16:ED20">IFERROR(VLOOKUP(EE16:EE20,Dex!$B$3:$N30,2,FALSE),"")</f>
        <v/>
      </c>
      <c r="EE16" s="191" t="s">
        <v>710</v>
      </c>
      <c r="EF16" s="192" t="s">
        <v>150</v>
      </c>
      <c r="EG16" s="180"/>
      <c r="EH16" s="190">
        <v>0.4</v>
      </c>
      <c r="EI16" s="56" t="str">
        <f t="array" ref="EI16:EI20">IFERROR(VLOOKUP(EJ16:EJ20,Dex!$B$3:$N30,2,FALSE),"")</f>
        <v/>
      </c>
      <c r="EJ16" s="191" t="s">
        <v>706</v>
      </c>
      <c r="EK16" s="192" t="s">
        <v>150</v>
      </c>
      <c r="EL16" s="180"/>
      <c r="EM16" s="190">
        <v>0.4</v>
      </c>
      <c r="EN16" s="56" t="str">
        <f t="array" ref="EN16:EN20">IFERROR(VLOOKUP(EO16:EO20,Dex!$B$3:$N30,2,FALSE),"")</f>
        <v/>
      </c>
      <c r="EO16" s="191" t="s">
        <v>717</v>
      </c>
      <c r="EP16" s="192" t="s">
        <v>150</v>
      </c>
      <c r="EQ16" s="180"/>
      <c r="ER16" s="190">
        <v>0.4</v>
      </c>
      <c r="ES16" s="56" t="str">
        <f t="array" ref="ES16:ES20">IFERROR(VLOOKUP(ET16:ET20,Dex!$B$3:$N30,2,FALSE),"")</f>
        <v/>
      </c>
      <c r="ET16" s="191" t="s">
        <v>703</v>
      </c>
      <c r="EU16" s="192" t="s">
        <v>150</v>
      </c>
      <c r="EV16" s="180"/>
      <c r="EW16" s="190">
        <v>0.4</v>
      </c>
      <c r="EX16" s="56" t="str">
        <f t="array" ref="EX16:EX20">IFERROR(VLOOKUP(EY16:EY20,Dex!$B$3:$N30,2,FALSE),"")</f>
        <v/>
      </c>
      <c r="EY16" s="191" t="s">
        <v>710</v>
      </c>
      <c r="EZ16" s="192" t="s">
        <v>150</v>
      </c>
      <c r="FA16" s="155"/>
      <c r="FB16" s="156"/>
    </row>
    <row r="17" ht="23.25" customHeight="1">
      <c r="A17" s="23"/>
      <c r="B17" s="146"/>
      <c r="C17" s="103"/>
      <c r="D17" s="103"/>
      <c r="E17" s="148"/>
      <c r="F17" s="190">
        <v>0.4</v>
      </c>
      <c r="G17" s="63"/>
      <c r="H17" s="193" t="s">
        <v>710</v>
      </c>
      <c r="I17" s="194" t="s">
        <v>711</v>
      </c>
      <c r="J17" s="180"/>
      <c r="K17" s="190">
        <v>0.4</v>
      </c>
      <c r="L17" s="63"/>
      <c r="M17" s="193" t="s">
        <v>710</v>
      </c>
      <c r="N17" s="194" t="s">
        <v>711</v>
      </c>
      <c r="O17" s="180"/>
      <c r="P17" s="190">
        <v>0.4</v>
      </c>
      <c r="Q17" s="63"/>
      <c r="R17" s="193" t="s">
        <v>710</v>
      </c>
      <c r="S17" s="194" t="s">
        <v>711</v>
      </c>
      <c r="T17" s="180"/>
      <c r="U17" s="190">
        <v>0.4</v>
      </c>
      <c r="V17" s="63"/>
      <c r="W17" s="193" t="s">
        <v>718</v>
      </c>
      <c r="X17" s="194" t="s">
        <v>711</v>
      </c>
      <c r="Y17" s="180"/>
      <c r="Z17" s="190">
        <v>0.4</v>
      </c>
      <c r="AA17" s="63"/>
      <c r="AB17" s="193" t="s">
        <v>710</v>
      </c>
      <c r="AC17" s="194" t="s">
        <v>711</v>
      </c>
      <c r="AD17" s="180"/>
      <c r="AE17" s="190">
        <v>0.4</v>
      </c>
      <c r="AF17" s="63"/>
      <c r="AG17" s="193" t="s">
        <v>710</v>
      </c>
      <c r="AH17" s="194" t="s">
        <v>711</v>
      </c>
      <c r="AI17" s="180"/>
      <c r="AJ17" s="190">
        <v>0.4</v>
      </c>
      <c r="AK17" s="63"/>
      <c r="AL17" s="193" t="s">
        <v>719</v>
      </c>
      <c r="AM17" s="194" t="s">
        <v>711</v>
      </c>
      <c r="AN17" s="180"/>
      <c r="AO17" s="190">
        <v>0.4</v>
      </c>
      <c r="AP17" s="63"/>
      <c r="AQ17" s="193" t="s">
        <v>720</v>
      </c>
      <c r="AR17" s="194" t="s">
        <v>711</v>
      </c>
      <c r="AS17" s="180"/>
      <c r="AT17" s="190">
        <v>0.4</v>
      </c>
      <c r="AU17" s="63"/>
      <c r="AV17" s="193" t="s">
        <v>710</v>
      </c>
      <c r="AW17" s="194" t="s">
        <v>711</v>
      </c>
      <c r="AX17" s="180"/>
      <c r="AY17" s="190">
        <v>0.4</v>
      </c>
      <c r="AZ17" s="63"/>
      <c r="BA17" s="193" t="s">
        <v>710</v>
      </c>
      <c r="BB17" s="194" t="s">
        <v>711</v>
      </c>
      <c r="BC17" s="180"/>
      <c r="BD17" s="190">
        <v>0.4</v>
      </c>
      <c r="BE17" s="63"/>
      <c r="BF17" s="193" t="s">
        <v>710</v>
      </c>
      <c r="BG17" s="194" t="s">
        <v>711</v>
      </c>
      <c r="BH17" s="180"/>
      <c r="BI17" s="190">
        <v>0.4</v>
      </c>
      <c r="BJ17" s="63"/>
      <c r="BK17" s="193" t="s">
        <v>713</v>
      </c>
      <c r="BL17" s="194" t="s">
        <v>711</v>
      </c>
      <c r="BM17" s="180"/>
      <c r="BN17" s="190">
        <v>0.4</v>
      </c>
      <c r="BO17" s="63"/>
      <c r="BP17" s="193" t="s">
        <v>714</v>
      </c>
      <c r="BQ17" s="194" t="s">
        <v>711</v>
      </c>
      <c r="BR17" s="180"/>
      <c r="BS17" s="190">
        <v>0.4</v>
      </c>
      <c r="BT17" s="63"/>
      <c r="BU17" s="193" t="s">
        <v>681</v>
      </c>
      <c r="BV17" s="194" t="s">
        <v>711</v>
      </c>
      <c r="BW17" s="180"/>
      <c r="BX17" s="190">
        <v>0.4</v>
      </c>
      <c r="BY17" s="63"/>
      <c r="BZ17" s="193" t="s">
        <v>691</v>
      </c>
      <c r="CA17" s="194" t="s">
        <v>711</v>
      </c>
      <c r="CB17" s="180"/>
      <c r="CC17" s="190">
        <v>0.4</v>
      </c>
      <c r="CD17" s="63"/>
      <c r="CE17" s="193" t="s">
        <v>721</v>
      </c>
      <c r="CF17" s="194" t="s">
        <v>711</v>
      </c>
      <c r="CG17" s="180"/>
      <c r="CH17" s="190">
        <v>0.4</v>
      </c>
      <c r="CI17" s="63"/>
      <c r="CJ17" s="193" t="s">
        <v>722</v>
      </c>
      <c r="CK17" s="194" t="s">
        <v>711</v>
      </c>
      <c r="CL17" s="180"/>
      <c r="CM17" s="190">
        <v>0.4</v>
      </c>
      <c r="CN17" s="63"/>
      <c r="CO17" s="193" t="s">
        <v>723</v>
      </c>
      <c r="CP17" s="194" t="s">
        <v>711</v>
      </c>
      <c r="CQ17" s="180"/>
      <c r="CR17" s="190">
        <v>0.4</v>
      </c>
      <c r="CS17" s="63"/>
      <c r="CT17" s="193" t="s">
        <v>718</v>
      </c>
      <c r="CU17" s="194" t="s">
        <v>711</v>
      </c>
      <c r="CV17" s="180"/>
      <c r="CW17" s="190">
        <v>0.4</v>
      </c>
      <c r="CX17" s="63"/>
      <c r="CY17" s="193" t="s">
        <v>716</v>
      </c>
      <c r="CZ17" s="194" t="s">
        <v>711</v>
      </c>
      <c r="DA17" s="180"/>
      <c r="DB17" s="190">
        <v>0.4</v>
      </c>
      <c r="DC17" s="63"/>
      <c r="DD17" s="193" t="s">
        <v>716</v>
      </c>
      <c r="DE17" s="194" t="s">
        <v>711</v>
      </c>
      <c r="DF17" s="180"/>
      <c r="DG17" s="190">
        <v>0.4</v>
      </c>
      <c r="DH17" s="63"/>
      <c r="DI17" s="193" t="s">
        <v>718</v>
      </c>
      <c r="DJ17" s="194" t="s">
        <v>711</v>
      </c>
      <c r="DK17" s="180"/>
      <c r="DL17" s="190">
        <v>0.4</v>
      </c>
      <c r="DM17" s="63"/>
      <c r="DN17" s="193" t="s">
        <v>719</v>
      </c>
      <c r="DO17" s="194" t="s">
        <v>711</v>
      </c>
      <c r="DP17" s="181"/>
      <c r="DQ17" s="190">
        <v>0.4</v>
      </c>
      <c r="DR17" s="63"/>
      <c r="DS17" s="193" t="s">
        <v>333</v>
      </c>
      <c r="DT17" s="194" t="s">
        <v>711</v>
      </c>
      <c r="DU17" s="180"/>
      <c r="DV17" s="190">
        <v>0.4</v>
      </c>
      <c r="DW17" s="63"/>
      <c r="DX17" s="193" t="s">
        <v>657</v>
      </c>
      <c r="DY17" s="194" t="s">
        <v>711</v>
      </c>
      <c r="DZ17" s="180"/>
      <c r="EA17" s="51"/>
      <c r="EB17" s="180"/>
      <c r="EC17" s="190">
        <v>0.4</v>
      </c>
      <c r="ED17" s="63"/>
      <c r="EE17" s="193" t="s">
        <v>710</v>
      </c>
      <c r="EF17" s="194" t="s">
        <v>150</v>
      </c>
      <c r="EG17" s="180"/>
      <c r="EH17" s="190">
        <v>0.4</v>
      </c>
      <c r="EI17" s="63"/>
      <c r="EJ17" s="193" t="s">
        <v>706</v>
      </c>
      <c r="EK17" s="194" t="s">
        <v>150</v>
      </c>
      <c r="EL17" s="180"/>
      <c r="EM17" s="190">
        <v>0.4</v>
      </c>
      <c r="EN17" s="63"/>
      <c r="EO17" s="193" t="s">
        <v>717</v>
      </c>
      <c r="EP17" s="194" t="s">
        <v>150</v>
      </c>
      <c r="EQ17" s="180"/>
      <c r="ER17" s="190">
        <v>0.4</v>
      </c>
      <c r="ES17" s="63"/>
      <c r="ET17" s="193" t="s">
        <v>703</v>
      </c>
      <c r="EU17" s="194" t="s">
        <v>150</v>
      </c>
      <c r="EV17" s="180"/>
      <c r="EW17" s="190">
        <v>0.4</v>
      </c>
      <c r="EX17" s="63"/>
      <c r="EY17" s="193" t="s">
        <v>710</v>
      </c>
      <c r="EZ17" s="194" t="s">
        <v>150</v>
      </c>
      <c r="FA17" s="155"/>
      <c r="FB17" s="156"/>
    </row>
    <row r="18" ht="23.25" customHeight="1">
      <c r="A18" s="23"/>
      <c r="B18" s="146"/>
      <c r="C18" s="103"/>
      <c r="D18" s="103"/>
      <c r="E18" s="148"/>
      <c r="F18" s="195">
        <v>0.15</v>
      </c>
      <c r="G18" s="196"/>
      <c r="H18" s="197" t="s">
        <v>666</v>
      </c>
      <c r="I18" s="198" t="s">
        <v>711</v>
      </c>
      <c r="J18" s="180"/>
      <c r="K18" s="195">
        <v>0.15</v>
      </c>
      <c r="L18" s="196"/>
      <c r="M18" s="197" t="s">
        <v>690</v>
      </c>
      <c r="N18" s="198" t="s">
        <v>711</v>
      </c>
      <c r="O18" s="180"/>
      <c r="P18" s="195">
        <v>0.15</v>
      </c>
      <c r="Q18" s="196"/>
      <c r="R18" s="197" t="s">
        <v>723</v>
      </c>
      <c r="S18" s="198" t="s">
        <v>711</v>
      </c>
      <c r="T18" s="180"/>
      <c r="U18" s="195">
        <v>0.15</v>
      </c>
      <c r="V18" s="196"/>
      <c r="W18" s="197" t="s">
        <v>476</v>
      </c>
      <c r="X18" s="198" t="s">
        <v>711</v>
      </c>
      <c r="Y18" s="180"/>
      <c r="Z18" s="195">
        <v>0.15</v>
      </c>
      <c r="AA18" s="196"/>
      <c r="AB18" s="197" t="s">
        <v>703</v>
      </c>
      <c r="AC18" s="198" t="s">
        <v>711</v>
      </c>
      <c r="AD18" s="180"/>
      <c r="AE18" s="195">
        <v>0.15</v>
      </c>
      <c r="AF18" s="196"/>
      <c r="AG18" s="197" t="s">
        <v>703</v>
      </c>
      <c r="AH18" s="198" t="s">
        <v>711</v>
      </c>
      <c r="AI18" s="180"/>
      <c r="AJ18" s="195">
        <v>0.15</v>
      </c>
      <c r="AK18" s="196"/>
      <c r="AL18" s="197" t="s">
        <v>724</v>
      </c>
      <c r="AM18" s="198" t="s">
        <v>711</v>
      </c>
      <c r="AN18" s="180"/>
      <c r="AO18" s="195">
        <v>0.15</v>
      </c>
      <c r="AP18" s="196"/>
      <c r="AQ18" s="197" t="s">
        <v>724</v>
      </c>
      <c r="AR18" s="198" t="s">
        <v>711</v>
      </c>
      <c r="AS18" s="180"/>
      <c r="AT18" s="195">
        <v>0.15</v>
      </c>
      <c r="AU18" s="196"/>
      <c r="AV18" s="197" t="s">
        <v>717</v>
      </c>
      <c r="AW18" s="198" t="s">
        <v>711</v>
      </c>
      <c r="AX18" s="180"/>
      <c r="AY18" s="195">
        <v>0.15</v>
      </c>
      <c r="AZ18" s="196"/>
      <c r="BA18" s="197" t="s">
        <v>717</v>
      </c>
      <c r="BB18" s="198" t="s">
        <v>711</v>
      </c>
      <c r="BC18" s="180"/>
      <c r="BD18" s="195">
        <v>0.15</v>
      </c>
      <c r="BE18" s="196"/>
      <c r="BF18" s="197" t="s">
        <v>717</v>
      </c>
      <c r="BG18" s="198" t="s">
        <v>711</v>
      </c>
      <c r="BH18" s="180"/>
      <c r="BI18" s="195">
        <v>0.15</v>
      </c>
      <c r="BJ18" s="196"/>
      <c r="BK18" s="197" t="s">
        <v>723</v>
      </c>
      <c r="BL18" s="198" t="s">
        <v>711</v>
      </c>
      <c r="BM18" s="180"/>
      <c r="BN18" s="195">
        <v>0.15</v>
      </c>
      <c r="BO18" s="196"/>
      <c r="BP18" s="197" t="s">
        <v>188</v>
      </c>
      <c r="BQ18" s="198" t="s">
        <v>711</v>
      </c>
      <c r="BR18" s="180"/>
      <c r="BS18" s="195">
        <v>0.15</v>
      </c>
      <c r="BT18" s="196"/>
      <c r="BU18" s="197" t="s">
        <v>681</v>
      </c>
      <c r="BV18" s="198" t="s">
        <v>711</v>
      </c>
      <c r="BW18" s="180"/>
      <c r="BX18" s="195">
        <v>0.15</v>
      </c>
      <c r="BY18" s="196"/>
      <c r="BZ18" s="197" t="s">
        <v>725</v>
      </c>
      <c r="CA18" s="198" t="s">
        <v>711</v>
      </c>
      <c r="CB18" s="180"/>
      <c r="CC18" s="195">
        <v>0.15</v>
      </c>
      <c r="CD18" s="196"/>
      <c r="CE18" s="197" t="s">
        <v>724</v>
      </c>
      <c r="CF18" s="198" t="s">
        <v>711</v>
      </c>
      <c r="CG18" s="180"/>
      <c r="CH18" s="195">
        <v>0.15</v>
      </c>
      <c r="CI18" s="196"/>
      <c r="CJ18" s="197" t="s">
        <v>726</v>
      </c>
      <c r="CK18" s="198" t="s">
        <v>711</v>
      </c>
      <c r="CL18" s="180"/>
      <c r="CM18" s="195">
        <v>0.15</v>
      </c>
      <c r="CN18" s="196"/>
      <c r="CO18" s="197" t="s">
        <v>695</v>
      </c>
      <c r="CP18" s="198" t="s">
        <v>711</v>
      </c>
      <c r="CQ18" s="180"/>
      <c r="CR18" s="195">
        <v>0.15</v>
      </c>
      <c r="CS18" s="196"/>
      <c r="CT18" s="197" t="s">
        <v>703</v>
      </c>
      <c r="CU18" s="198" t="s">
        <v>711</v>
      </c>
      <c r="CV18" s="180"/>
      <c r="CW18" s="195">
        <v>0.15</v>
      </c>
      <c r="CX18" s="196"/>
      <c r="CY18" s="197" t="s">
        <v>724</v>
      </c>
      <c r="CZ18" s="198" t="s">
        <v>711</v>
      </c>
      <c r="DA18" s="180"/>
      <c r="DB18" s="195">
        <v>0.15</v>
      </c>
      <c r="DC18" s="196"/>
      <c r="DD18" s="197" t="s">
        <v>724</v>
      </c>
      <c r="DE18" s="198" t="s">
        <v>711</v>
      </c>
      <c r="DF18" s="180"/>
      <c r="DG18" s="195">
        <v>0.15</v>
      </c>
      <c r="DH18" s="196"/>
      <c r="DI18" s="197" t="s">
        <v>703</v>
      </c>
      <c r="DJ18" s="198" t="s">
        <v>711</v>
      </c>
      <c r="DK18" s="180"/>
      <c r="DL18" s="195">
        <v>0.15</v>
      </c>
      <c r="DM18" s="196"/>
      <c r="DN18" s="197" t="s">
        <v>333</v>
      </c>
      <c r="DO18" s="198" t="s">
        <v>711</v>
      </c>
      <c r="DP18" s="181"/>
      <c r="DQ18" s="195">
        <v>0.15</v>
      </c>
      <c r="DR18" s="196"/>
      <c r="DS18" s="197" t="s">
        <v>703</v>
      </c>
      <c r="DT18" s="198" t="s">
        <v>711</v>
      </c>
      <c r="DU18" s="180"/>
      <c r="DV18" s="195">
        <v>0.15</v>
      </c>
      <c r="DW18" s="196"/>
      <c r="DX18" s="197" t="s">
        <v>719</v>
      </c>
      <c r="DY18" s="198" t="s">
        <v>711</v>
      </c>
      <c r="DZ18" s="180"/>
      <c r="EA18" s="51"/>
      <c r="EB18" s="180"/>
      <c r="EC18" s="195">
        <v>0.15</v>
      </c>
      <c r="ED18" s="196"/>
      <c r="EE18" s="197" t="s">
        <v>726</v>
      </c>
      <c r="EF18" s="198" t="s">
        <v>150</v>
      </c>
      <c r="EG18" s="180"/>
      <c r="EH18" s="195">
        <v>0.15</v>
      </c>
      <c r="EI18" s="196"/>
      <c r="EJ18" s="197" t="s">
        <v>513</v>
      </c>
      <c r="EK18" s="198" t="s">
        <v>150</v>
      </c>
      <c r="EL18" s="180"/>
      <c r="EM18" s="195">
        <v>0.15</v>
      </c>
      <c r="EN18" s="196"/>
      <c r="EO18" s="197" t="s">
        <v>727</v>
      </c>
      <c r="EP18" s="198" t="s">
        <v>150</v>
      </c>
      <c r="EQ18" s="180"/>
      <c r="ER18" s="195">
        <v>0.15</v>
      </c>
      <c r="ES18" s="196"/>
      <c r="ET18" s="197" t="s">
        <v>710</v>
      </c>
      <c r="EU18" s="198" t="s">
        <v>150</v>
      </c>
      <c r="EV18" s="180"/>
      <c r="EW18" s="195">
        <v>0.15</v>
      </c>
      <c r="EX18" s="196"/>
      <c r="EY18" s="197" t="s">
        <v>686</v>
      </c>
      <c r="EZ18" s="198" t="s">
        <v>150</v>
      </c>
      <c r="FA18" s="155"/>
      <c r="FB18" s="156"/>
    </row>
    <row r="19" ht="23.25" customHeight="1">
      <c r="A19" s="23"/>
      <c r="B19" s="146"/>
      <c r="C19" s="103"/>
      <c r="D19" s="103"/>
      <c r="E19" s="148"/>
      <c r="F19" s="182">
        <v>0.04</v>
      </c>
      <c r="G19" s="199"/>
      <c r="H19" s="200" t="s">
        <v>713</v>
      </c>
      <c r="I19" s="201" t="s">
        <v>711</v>
      </c>
      <c r="J19" s="180"/>
      <c r="K19" s="182">
        <v>0.04</v>
      </c>
      <c r="L19" s="199"/>
      <c r="M19" s="200" t="s">
        <v>695</v>
      </c>
      <c r="N19" s="201" t="s">
        <v>711</v>
      </c>
      <c r="O19" s="180"/>
      <c r="P19" s="182">
        <v>0.04</v>
      </c>
      <c r="Q19" s="199"/>
      <c r="R19" s="200" t="s">
        <v>728</v>
      </c>
      <c r="S19" s="201" t="s">
        <v>711</v>
      </c>
      <c r="T19" s="180"/>
      <c r="U19" s="182">
        <v>0.04</v>
      </c>
      <c r="V19" s="199"/>
      <c r="W19" s="200" t="s">
        <v>707</v>
      </c>
      <c r="X19" s="201" t="s">
        <v>711</v>
      </c>
      <c r="Y19" s="180"/>
      <c r="Z19" s="182">
        <v>0.04</v>
      </c>
      <c r="AA19" s="199"/>
      <c r="AB19" s="200" t="s">
        <v>712</v>
      </c>
      <c r="AC19" s="201" t="s">
        <v>711</v>
      </c>
      <c r="AD19" s="180"/>
      <c r="AE19" s="182">
        <v>0.04</v>
      </c>
      <c r="AF19" s="199"/>
      <c r="AG19" s="200" t="s">
        <v>712</v>
      </c>
      <c r="AH19" s="201" t="s">
        <v>711</v>
      </c>
      <c r="AI19" s="180"/>
      <c r="AJ19" s="182">
        <v>0.04</v>
      </c>
      <c r="AK19" s="199"/>
      <c r="AL19" s="200" t="s">
        <v>657</v>
      </c>
      <c r="AM19" s="201" t="s">
        <v>711</v>
      </c>
      <c r="AN19" s="180"/>
      <c r="AO19" s="182">
        <v>0.04</v>
      </c>
      <c r="AP19" s="199"/>
      <c r="AQ19" s="200" t="s">
        <v>657</v>
      </c>
      <c r="AR19" s="201" t="s">
        <v>711</v>
      </c>
      <c r="AS19" s="180"/>
      <c r="AT19" s="182">
        <v>0.04</v>
      </c>
      <c r="AU19" s="199"/>
      <c r="AV19" s="200" t="s">
        <v>716</v>
      </c>
      <c r="AW19" s="201" t="s">
        <v>711</v>
      </c>
      <c r="AX19" s="180"/>
      <c r="AY19" s="182">
        <v>0.04</v>
      </c>
      <c r="AZ19" s="199"/>
      <c r="BA19" s="200" t="s">
        <v>716</v>
      </c>
      <c r="BB19" s="201" t="s">
        <v>711</v>
      </c>
      <c r="BC19" s="180"/>
      <c r="BD19" s="182">
        <v>0.04</v>
      </c>
      <c r="BE19" s="199"/>
      <c r="BF19" s="200" t="s">
        <v>716</v>
      </c>
      <c r="BG19" s="201" t="s">
        <v>711</v>
      </c>
      <c r="BH19" s="180"/>
      <c r="BI19" s="182">
        <v>0.04</v>
      </c>
      <c r="BJ19" s="199"/>
      <c r="BK19" s="200" t="s">
        <v>716</v>
      </c>
      <c r="BL19" s="201" t="s">
        <v>711</v>
      </c>
      <c r="BM19" s="180"/>
      <c r="BN19" s="182">
        <v>0.04</v>
      </c>
      <c r="BO19" s="199"/>
      <c r="BP19" s="200" t="s">
        <v>690</v>
      </c>
      <c r="BQ19" s="201" t="s">
        <v>711</v>
      </c>
      <c r="BR19" s="180"/>
      <c r="BS19" s="182">
        <v>0.04</v>
      </c>
      <c r="BT19" s="199"/>
      <c r="BU19" s="200" t="s">
        <v>243</v>
      </c>
      <c r="BV19" s="201" t="s">
        <v>711</v>
      </c>
      <c r="BW19" s="180"/>
      <c r="BX19" s="182">
        <v>0.04</v>
      </c>
      <c r="BY19" s="199"/>
      <c r="BZ19" s="200" t="s">
        <v>729</v>
      </c>
      <c r="CA19" s="201" t="s">
        <v>711</v>
      </c>
      <c r="CB19" s="180"/>
      <c r="CC19" s="182">
        <v>0.04</v>
      </c>
      <c r="CD19" s="199"/>
      <c r="CE19" s="200" t="s">
        <v>657</v>
      </c>
      <c r="CF19" s="201" t="s">
        <v>711</v>
      </c>
      <c r="CG19" s="180"/>
      <c r="CH19" s="182">
        <v>0.04</v>
      </c>
      <c r="CI19" s="199"/>
      <c r="CJ19" s="200" t="s">
        <v>729</v>
      </c>
      <c r="CK19" s="201" t="s">
        <v>711</v>
      </c>
      <c r="CL19" s="180"/>
      <c r="CM19" s="182">
        <v>0.04</v>
      </c>
      <c r="CN19" s="199"/>
      <c r="CO19" s="200" t="s">
        <v>690</v>
      </c>
      <c r="CP19" s="201" t="s">
        <v>711</v>
      </c>
      <c r="CQ19" s="180"/>
      <c r="CR19" s="182">
        <v>0.04</v>
      </c>
      <c r="CS19" s="199"/>
      <c r="CT19" s="200" t="s">
        <v>707</v>
      </c>
      <c r="CU19" s="201" t="s">
        <v>711</v>
      </c>
      <c r="CV19" s="180"/>
      <c r="CW19" s="182">
        <v>0.04</v>
      </c>
      <c r="CX19" s="199"/>
      <c r="CY19" s="200" t="s">
        <v>333</v>
      </c>
      <c r="CZ19" s="201" t="s">
        <v>711</v>
      </c>
      <c r="DA19" s="180"/>
      <c r="DB19" s="182">
        <v>0.04</v>
      </c>
      <c r="DC19" s="199"/>
      <c r="DD19" s="200" t="s">
        <v>477</v>
      </c>
      <c r="DE19" s="201" t="s">
        <v>711</v>
      </c>
      <c r="DF19" s="180"/>
      <c r="DG19" s="182">
        <v>0.04</v>
      </c>
      <c r="DH19" s="199"/>
      <c r="DI19" s="200" t="s">
        <v>730</v>
      </c>
      <c r="DJ19" s="201" t="s">
        <v>711</v>
      </c>
      <c r="DK19" s="180"/>
      <c r="DL19" s="182">
        <v>0.04</v>
      </c>
      <c r="DM19" s="199"/>
      <c r="DN19" s="200" t="s">
        <v>333</v>
      </c>
      <c r="DO19" s="201" t="s">
        <v>711</v>
      </c>
      <c r="DP19" s="181"/>
      <c r="DQ19" s="182">
        <v>0.04</v>
      </c>
      <c r="DR19" s="199"/>
      <c r="DS19" s="200" t="s">
        <v>724</v>
      </c>
      <c r="DT19" s="201" t="s">
        <v>711</v>
      </c>
      <c r="DU19" s="180"/>
      <c r="DV19" s="182">
        <v>0.04</v>
      </c>
      <c r="DW19" s="199"/>
      <c r="DX19" s="200" t="s">
        <v>724</v>
      </c>
      <c r="DY19" s="201" t="s">
        <v>711</v>
      </c>
      <c r="DZ19" s="180"/>
      <c r="EA19" s="51"/>
      <c r="EB19" s="180"/>
      <c r="EC19" s="182">
        <v>0.04</v>
      </c>
      <c r="ED19" s="199"/>
      <c r="EE19" s="200" t="s">
        <v>722</v>
      </c>
      <c r="EF19" s="201" t="s">
        <v>150</v>
      </c>
      <c r="EG19" s="180"/>
      <c r="EH19" s="182">
        <v>0.04</v>
      </c>
      <c r="EI19" s="199"/>
      <c r="EJ19" s="200" t="s">
        <v>731</v>
      </c>
      <c r="EK19" s="201" t="s">
        <v>150</v>
      </c>
      <c r="EL19" s="180"/>
      <c r="EM19" s="182">
        <v>0.04</v>
      </c>
      <c r="EN19" s="199"/>
      <c r="EO19" s="200" t="s">
        <v>727</v>
      </c>
      <c r="EP19" s="201" t="s">
        <v>150</v>
      </c>
      <c r="EQ19" s="180"/>
      <c r="ER19" s="182">
        <v>0.04</v>
      </c>
      <c r="ES19" s="199"/>
      <c r="ET19" s="200" t="s">
        <v>333</v>
      </c>
      <c r="EU19" s="201" t="s">
        <v>150</v>
      </c>
      <c r="EV19" s="180"/>
      <c r="EW19" s="182">
        <v>0.04</v>
      </c>
      <c r="EX19" s="199"/>
      <c r="EY19" s="200" t="s">
        <v>476</v>
      </c>
      <c r="EZ19" s="201" t="s">
        <v>150</v>
      </c>
      <c r="FA19" s="155"/>
      <c r="FB19" s="156"/>
    </row>
    <row r="20" ht="23.25" customHeight="1">
      <c r="A20" s="23"/>
      <c r="B20" s="146"/>
      <c r="C20" s="103"/>
      <c r="D20" s="103"/>
      <c r="E20" s="148"/>
      <c r="F20" s="202">
        <v>0.01</v>
      </c>
      <c r="G20" s="203"/>
      <c r="H20" s="204" t="s">
        <v>713</v>
      </c>
      <c r="I20" s="205" t="s">
        <v>711</v>
      </c>
      <c r="J20" s="180"/>
      <c r="K20" s="202">
        <v>0.01</v>
      </c>
      <c r="L20" s="203"/>
      <c r="M20" s="204" t="s">
        <v>695</v>
      </c>
      <c r="N20" s="205" t="s">
        <v>711</v>
      </c>
      <c r="O20" s="180"/>
      <c r="P20" s="202">
        <v>0.01</v>
      </c>
      <c r="Q20" s="203"/>
      <c r="R20" s="204" t="s">
        <v>728</v>
      </c>
      <c r="S20" s="205" t="s">
        <v>711</v>
      </c>
      <c r="T20" s="180"/>
      <c r="U20" s="202">
        <v>0.01</v>
      </c>
      <c r="V20" s="203"/>
      <c r="W20" s="204" t="s">
        <v>707</v>
      </c>
      <c r="X20" s="205" t="s">
        <v>711</v>
      </c>
      <c r="Y20" s="180"/>
      <c r="Z20" s="202">
        <v>0.01</v>
      </c>
      <c r="AA20" s="203"/>
      <c r="AB20" s="204" t="s">
        <v>712</v>
      </c>
      <c r="AC20" s="205" t="s">
        <v>711</v>
      </c>
      <c r="AD20" s="180"/>
      <c r="AE20" s="202">
        <v>0.01</v>
      </c>
      <c r="AF20" s="203"/>
      <c r="AG20" s="204" t="s">
        <v>712</v>
      </c>
      <c r="AH20" s="205" t="s">
        <v>711</v>
      </c>
      <c r="AI20" s="180"/>
      <c r="AJ20" s="202">
        <v>0.01</v>
      </c>
      <c r="AK20" s="203"/>
      <c r="AL20" s="204" t="s">
        <v>657</v>
      </c>
      <c r="AM20" s="205" t="s">
        <v>711</v>
      </c>
      <c r="AN20" s="180"/>
      <c r="AO20" s="202">
        <v>0.01</v>
      </c>
      <c r="AP20" s="203"/>
      <c r="AQ20" s="204" t="s">
        <v>600</v>
      </c>
      <c r="AR20" s="205" t="s">
        <v>711</v>
      </c>
      <c r="AS20" s="180"/>
      <c r="AT20" s="202">
        <v>0.01</v>
      </c>
      <c r="AU20" s="203"/>
      <c r="AV20" s="204" t="s">
        <v>724</v>
      </c>
      <c r="AW20" s="205" t="s">
        <v>711</v>
      </c>
      <c r="AX20" s="180"/>
      <c r="AY20" s="202">
        <v>0.01</v>
      </c>
      <c r="AZ20" s="203"/>
      <c r="BA20" s="204" t="s">
        <v>724</v>
      </c>
      <c r="BB20" s="205" t="s">
        <v>711</v>
      </c>
      <c r="BC20" s="180"/>
      <c r="BD20" s="202">
        <v>0.01</v>
      </c>
      <c r="BE20" s="203"/>
      <c r="BF20" s="204" t="s">
        <v>724</v>
      </c>
      <c r="BG20" s="205" t="s">
        <v>711</v>
      </c>
      <c r="BH20" s="180"/>
      <c r="BI20" s="202">
        <v>0.01</v>
      </c>
      <c r="BJ20" s="203"/>
      <c r="BK20" s="204" t="s">
        <v>716</v>
      </c>
      <c r="BL20" s="205" t="s">
        <v>711</v>
      </c>
      <c r="BM20" s="180"/>
      <c r="BN20" s="202">
        <v>0.01</v>
      </c>
      <c r="BO20" s="203"/>
      <c r="BP20" s="204" t="s">
        <v>732</v>
      </c>
      <c r="BQ20" s="205" t="s">
        <v>711</v>
      </c>
      <c r="BR20" s="180"/>
      <c r="BS20" s="202">
        <v>0.01</v>
      </c>
      <c r="BT20" s="203"/>
      <c r="BU20" s="204" t="s">
        <v>569</v>
      </c>
      <c r="BV20" s="205" t="s">
        <v>711</v>
      </c>
      <c r="BW20" s="180"/>
      <c r="BX20" s="202">
        <v>0.01</v>
      </c>
      <c r="BY20" s="203"/>
      <c r="BZ20" s="204" t="s">
        <v>729</v>
      </c>
      <c r="CA20" s="205" t="s">
        <v>711</v>
      </c>
      <c r="CB20" s="180"/>
      <c r="CC20" s="202">
        <v>0.01</v>
      </c>
      <c r="CD20" s="203"/>
      <c r="CE20" s="204" t="s">
        <v>657</v>
      </c>
      <c r="CF20" s="205" t="s">
        <v>711</v>
      </c>
      <c r="CG20" s="180"/>
      <c r="CH20" s="202">
        <v>0.01</v>
      </c>
      <c r="CI20" s="203"/>
      <c r="CJ20" s="204" t="s">
        <v>729</v>
      </c>
      <c r="CK20" s="205" t="s">
        <v>711</v>
      </c>
      <c r="CL20" s="180"/>
      <c r="CM20" s="202">
        <v>0.01</v>
      </c>
      <c r="CN20" s="203"/>
      <c r="CO20" s="204" t="s">
        <v>690</v>
      </c>
      <c r="CP20" s="205" t="s">
        <v>711</v>
      </c>
      <c r="CQ20" s="180"/>
      <c r="CR20" s="202">
        <v>0.01</v>
      </c>
      <c r="CS20" s="203"/>
      <c r="CT20" s="204" t="s">
        <v>707</v>
      </c>
      <c r="CU20" s="205" t="s">
        <v>711</v>
      </c>
      <c r="CV20" s="180"/>
      <c r="CW20" s="202">
        <v>0.01</v>
      </c>
      <c r="CX20" s="203"/>
      <c r="CY20" s="204" t="s">
        <v>333</v>
      </c>
      <c r="CZ20" s="205" t="s">
        <v>711</v>
      </c>
      <c r="DA20" s="180"/>
      <c r="DB20" s="202">
        <v>0.01</v>
      </c>
      <c r="DC20" s="203"/>
      <c r="DD20" s="204" t="s">
        <v>477</v>
      </c>
      <c r="DE20" s="205" t="s">
        <v>711</v>
      </c>
      <c r="DF20" s="180"/>
      <c r="DG20" s="202">
        <v>0.01</v>
      </c>
      <c r="DH20" s="203"/>
      <c r="DI20" s="204" t="s">
        <v>730</v>
      </c>
      <c r="DJ20" s="205" t="s">
        <v>711</v>
      </c>
      <c r="DK20" s="180"/>
      <c r="DL20" s="202">
        <v>0.01</v>
      </c>
      <c r="DM20" s="203"/>
      <c r="DN20" s="204" t="s">
        <v>333</v>
      </c>
      <c r="DO20" s="205" t="s">
        <v>711</v>
      </c>
      <c r="DP20" s="181"/>
      <c r="DQ20" s="202">
        <v>0.01</v>
      </c>
      <c r="DR20" s="203"/>
      <c r="DS20" s="204" t="s">
        <v>724</v>
      </c>
      <c r="DT20" s="205" t="s">
        <v>711</v>
      </c>
      <c r="DU20" s="180"/>
      <c r="DV20" s="202">
        <v>0.01</v>
      </c>
      <c r="DW20" s="203"/>
      <c r="DX20" s="204" t="s">
        <v>724</v>
      </c>
      <c r="DY20" s="205" t="s">
        <v>711</v>
      </c>
      <c r="DZ20" s="180"/>
      <c r="EA20" s="51"/>
      <c r="EB20" s="180"/>
      <c r="EC20" s="202">
        <v>0.01</v>
      </c>
      <c r="ED20" s="203"/>
      <c r="EE20" s="204" t="s">
        <v>722</v>
      </c>
      <c r="EF20" s="205" t="s">
        <v>150</v>
      </c>
      <c r="EG20" s="180"/>
      <c r="EH20" s="202">
        <v>0.01</v>
      </c>
      <c r="EI20" s="203"/>
      <c r="EJ20" s="204" t="s">
        <v>731</v>
      </c>
      <c r="EK20" s="205" t="s">
        <v>150</v>
      </c>
      <c r="EL20" s="180"/>
      <c r="EM20" s="202">
        <v>0.01</v>
      </c>
      <c r="EN20" s="203"/>
      <c r="EO20" s="204" t="s">
        <v>727</v>
      </c>
      <c r="EP20" s="205" t="s">
        <v>150</v>
      </c>
      <c r="EQ20" s="180"/>
      <c r="ER20" s="202">
        <v>0.01</v>
      </c>
      <c r="ES20" s="203"/>
      <c r="ET20" s="204" t="s">
        <v>333</v>
      </c>
      <c r="EU20" s="205" t="s">
        <v>150</v>
      </c>
      <c r="EV20" s="180"/>
      <c r="EW20" s="202">
        <v>0.01</v>
      </c>
      <c r="EX20" s="203"/>
      <c r="EY20" s="204" t="s">
        <v>476</v>
      </c>
      <c r="EZ20" s="205" t="s">
        <v>150</v>
      </c>
      <c r="FA20" s="155"/>
      <c r="FB20" s="156"/>
    </row>
    <row r="21" ht="7.5" customHeight="1">
      <c r="A21" s="23"/>
      <c r="B21" s="146"/>
      <c r="C21" s="161"/>
      <c r="D21" s="161"/>
      <c r="E21" s="103"/>
      <c r="F21" s="162"/>
      <c r="G21" s="102"/>
      <c r="H21" s="102"/>
      <c r="I21" s="102"/>
      <c r="J21" s="103"/>
      <c r="K21" s="162"/>
      <c r="L21" s="102"/>
      <c r="M21" s="102"/>
      <c r="N21" s="102"/>
      <c r="O21" s="103"/>
      <c r="P21" s="162"/>
      <c r="Q21" s="102"/>
      <c r="R21" s="102"/>
      <c r="S21" s="102"/>
      <c r="T21" s="103"/>
      <c r="U21" s="162"/>
      <c r="V21" s="102"/>
      <c r="W21" s="102"/>
      <c r="X21" s="102"/>
      <c r="Y21" s="103"/>
      <c r="Z21" s="162"/>
      <c r="AA21" s="102"/>
      <c r="AB21" s="102"/>
      <c r="AC21" s="102"/>
      <c r="AD21" s="103"/>
      <c r="AE21" s="162"/>
      <c r="AF21" s="102"/>
      <c r="AG21" s="102"/>
      <c r="AH21" s="102"/>
      <c r="AI21" s="103"/>
      <c r="AJ21" s="162"/>
      <c r="AK21" s="102"/>
      <c r="AL21" s="102"/>
      <c r="AM21" s="102"/>
      <c r="AN21" s="103"/>
      <c r="AO21" s="162"/>
      <c r="AP21" s="102"/>
      <c r="AQ21" s="102"/>
      <c r="AR21" s="102"/>
      <c r="AS21" s="103"/>
      <c r="AT21" s="162"/>
      <c r="AU21" s="102"/>
      <c r="AV21" s="102"/>
      <c r="AW21" s="102"/>
      <c r="AX21" s="103"/>
      <c r="AY21" s="162"/>
      <c r="AZ21" s="102"/>
      <c r="BA21" s="102"/>
      <c r="BB21" s="102"/>
      <c r="BC21" s="103"/>
      <c r="BD21" s="162"/>
      <c r="BE21" s="102"/>
      <c r="BF21" s="102"/>
      <c r="BG21" s="102"/>
      <c r="BH21" s="103"/>
      <c r="BI21" s="162"/>
      <c r="BJ21" s="102"/>
      <c r="BK21" s="102"/>
      <c r="BL21" s="102"/>
      <c r="BM21" s="103"/>
      <c r="BN21" s="162"/>
      <c r="BO21" s="102"/>
      <c r="BP21" s="102"/>
      <c r="BQ21" s="102"/>
      <c r="BR21" s="103"/>
      <c r="BS21" s="162"/>
      <c r="BT21" s="102"/>
      <c r="BU21" s="102"/>
      <c r="BV21" s="102"/>
      <c r="BW21" s="103"/>
      <c r="BX21" s="162"/>
      <c r="BY21" s="102"/>
      <c r="BZ21" s="102"/>
      <c r="CA21" s="102"/>
      <c r="CB21" s="103"/>
      <c r="CC21" s="162"/>
      <c r="CD21" s="102"/>
      <c r="CE21" s="102"/>
      <c r="CF21" s="102"/>
      <c r="CG21" s="103"/>
      <c r="CH21" s="162"/>
      <c r="CI21" s="102"/>
      <c r="CJ21" s="102"/>
      <c r="CK21" s="102"/>
      <c r="CL21" s="103"/>
      <c r="CM21" s="162"/>
      <c r="CN21" s="102"/>
      <c r="CO21" s="102"/>
      <c r="CP21" s="102"/>
      <c r="CQ21" s="103"/>
      <c r="CR21" s="162"/>
      <c r="CS21" s="102"/>
      <c r="CT21" s="102"/>
      <c r="CU21" s="102"/>
      <c r="CV21" s="103"/>
      <c r="CW21" s="162"/>
      <c r="CX21" s="102"/>
      <c r="CY21" s="102"/>
      <c r="CZ21" s="102"/>
      <c r="DA21" s="103"/>
      <c r="DB21" s="162"/>
      <c r="DC21" s="102"/>
      <c r="DD21" s="102"/>
      <c r="DE21" s="102"/>
      <c r="DF21" s="103"/>
      <c r="DG21" s="162"/>
      <c r="DH21" s="102"/>
      <c r="DI21" s="102"/>
      <c r="DJ21" s="102"/>
      <c r="DK21" s="103"/>
      <c r="DL21" s="162"/>
      <c r="DM21" s="102"/>
      <c r="DN21" s="102"/>
      <c r="DO21" s="102"/>
      <c r="DP21" s="163"/>
      <c r="DQ21" s="162"/>
      <c r="DR21" s="102"/>
      <c r="DS21" s="102"/>
      <c r="DT21" s="102"/>
      <c r="DU21" s="103"/>
      <c r="DV21" s="162"/>
      <c r="DW21" s="102"/>
      <c r="DX21" s="102"/>
      <c r="DY21" s="102"/>
      <c r="DZ21" s="103"/>
      <c r="EA21" s="51"/>
      <c r="EB21" s="103"/>
      <c r="EC21" s="162"/>
      <c r="ED21" s="102"/>
      <c r="EE21" s="102"/>
      <c r="EF21" s="102"/>
      <c r="EG21" s="103"/>
      <c r="EH21" s="162"/>
      <c r="EI21" s="102"/>
      <c r="EJ21" s="102"/>
      <c r="EK21" s="102"/>
      <c r="EL21" s="103"/>
      <c r="EM21" s="162"/>
      <c r="EN21" s="102"/>
      <c r="EO21" s="102"/>
      <c r="EP21" s="102"/>
      <c r="EQ21" s="103"/>
      <c r="ER21" s="162"/>
      <c r="ES21" s="102"/>
      <c r="ET21" s="102"/>
      <c r="EU21" s="102"/>
      <c r="EV21" s="103"/>
      <c r="EW21" s="162"/>
      <c r="EX21" s="102"/>
      <c r="EY21" s="102"/>
      <c r="EZ21" s="102"/>
      <c r="FA21" s="155"/>
      <c r="FB21" s="156"/>
    </row>
    <row r="22" ht="26.25" customHeight="1">
      <c r="A22" s="164"/>
      <c r="B22" s="165"/>
      <c r="C22" s="127" t="str">
        <f>Source!$C29</f>
        <v/>
      </c>
      <c r="D22" s="128" t="s">
        <v>733</v>
      </c>
      <c r="E22" s="129"/>
      <c r="F22" s="166" t="str">
        <f>Source!$C29</f>
        <v/>
      </c>
      <c r="G22" s="167" t="s">
        <v>644</v>
      </c>
      <c r="H22" s="168"/>
      <c r="I22" s="169"/>
      <c r="J22" s="130"/>
      <c r="K22" s="166" t="str">
        <f>Source!$C29</f>
        <v/>
      </c>
      <c r="L22" s="167" t="s">
        <v>13</v>
      </c>
      <c r="M22" s="168"/>
      <c r="N22" s="169"/>
      <c r="O22" s="130"/>
      <c r="P22" s="166" t="str">
        <f>Source!$C29</f>
        <v/>
      </c>
      <c r="Q22" s="167" t="s">
        <v>14</v>
      </c>
      <c r="R22" s="168"/>
      <c r="S22" s="169"/>
      <c r="T22" s="130"/>
      <c r="U22" s="166" t="str">
        <f>Source!$C29</f>
        <v/>
      </c>
      <c r="V22" s="167" t="s">
        <v>15</v>
      </c>
      <c r="W22" s="168"/>
      <c r="X22" s="169"/>
      <c r="Y22" s="130"/>
      <c r="Z22" s="166" t="str">
        <f>Source!$C29</f>
        <v/>
      </c>
      <c r="AA22" s="167" t="s">
        <v>645</v>
      </c>
      <c r="AB22" s="168"/>
      <c r="AC22" s="169"/>
      <c r="AD22" s="130"/>
      <c r="AE22" s="166" t="str">
        <f>Source!$C29</f>
        <v/>
      </c>
      <c r="AF22" s="167" t="s">
        <v>26</v>
      </c>
      <c r="AG22" s="168"/>
      <c r="AH22" s="169"/>
      <c r="AI22" s="130"/>
      <c r="AJ22" s="166" t="str">
        <f>Source!$C29</f>
        <v/>
      </c>
      <c r="AK22" s="167" t="s">
        <v>27</v>
      </c>
      <c r="AL22" s="168"/>
      <c r="AM22" s="169"/>
      <c r="AN22" s="130"/>
      <c r="AO22" s="166" t="str">
        <f>Source!$C29</f>
        <v/>
      </c>
      <c r="AP22" s="167" t="s">
        <v>29</v>
      </c>
      <c r="AQ22" s="168"/>
      <c r="AR22" s="169"/>
      <c r="AS22" s="130"/>
      <c r="AT22" s="166" t="str">
        <f>Source!$C29</f>
        <v/>
      </c>
      <c r="AU22" s="167" t="s">
        <v>646</v>
      </c>
      <c r="AV22" s="168"/>
      <c r="AW22" s="169"/>
      <c r="AX22" s="130"/>
      <c r="AY22" s="166" t="str">
        <f>Source!$C29</f>
        <v/>
      </c>
      <c r="AZ22" s="167" t="s">
        <v>30</v>
      </c>
      <c r="BA22" s="168"/>
      <c r="BB22" s="169"/>
      <c r="BC22" s="130"/>
      <c r="BD22" s="166" t="str">
        <f>Source!$C29</f>
        <v/>
      </c>
      <c r="BE22" s="167" t="s">
        <v>647</v>
      </c>
      <c r="BF22" s="168"/>
      <c r="BG22" s="169"/>
      <c r="BH22" s="130"/>
      <c r="BI22" s="166" t="str">
        <f>Source!$C29</f>
        <v/>
      </c>
      <c r="BJ22" s="167" t="s">
        <v>33</v>
      </c>
      <c r="BK22" s="168"/>
      <c r="BL22" s="169"/>
      <c r="BM22" s="130"/>
      <c r="BN22" s="166" t="str">
        <f>Source!$C29</f>
        <v/>
      </c>
      <c r="BO22" s="167" t="s">
        <v>45</v>
      </c>
      <c r="BP22" s="168"/>
      <c r="BQ22" s="169"/>
      <c r="BR22" s="130"/>
      <c r="BS22" s="166" t="str">
        <f>Source!$C29</f>
        <v/>
      </c>
      <c r="BT22" s="167" t="s">
        <v>648</v>
      </c>
      <c r="BU22" s="168"/>
      <c r="BV22" s="169"/>
      <c r="BW22" s="130"/>
      <c r="BX22" s="166" t="str">
        <f>Source!$C29</f>
        <v/>
      </c>
      <c r="BY22" s="167" t="s">
        <v>46</v>
      </c>
      <c r="BZ22" s="168"/>
      <c r="CA22" s="169"/>
      <c r="CB22" s="130"/>
      <c r="CC22" s="166" t="str">
        <f>Source!$C29</f>
        <v/>
      </c>
      <c r="CD22" s="167" t="s">
        <v>649</v>
      </c>
      <c r="CE22" s="168"/>
      <c r="CF22" s="169"/>
      <c r="CG22" s="130"/>
      <c r="CH22" s="166" t="str">
        <f>Source!$C29</f>
        <v/>
      </c>
      <c r="CI22" s="167" t="s">
        <v>650</v>
      </c>
      <c r="CJ22" s="168"/>
      <c r="CK22" s="169"/>
      <c r="CL22" s="130"/>
      <c r="CM22" s="166" t="str">
        <f>Source!$C29</f>
        <v/>
      </c>
      <c r="CN22" s="167" t="s">
        <v>651</v>
      </c>
      <c r="CO22" s="168"/>
      <c r="CP22" s="169"/>
      <c r="CQ22" s="130"/>
      <c r="CR22" s="166" t="str">
        <f>Source!$C29</f>
        <v/>
      </c>
      <c r="CS22" s="167" t="s">
        <v>652</v>
      </c>
      <c r="CT22" s="168"/>
      <c r="CU22" s="169"/>
      <c r="CV22" s="130"/>
      <c r="CW22" s="166" t="str">
        <f>Source!$C29</f>
        <v/>
      </c>
      <c r="CX22" s="167" t="s">
        <v>52</v>
      </c>
      <c r="CY22" s="168"/>
      <c r="CZ22" s="169"/>
      <c r="DA22" s="130"/>
      <c r="DB22" s="166" t="str">
        <f>Source!$C29</f>
        <v/>
      </c>
      <c r="DC22" s="167" t="s">
        <v>653</v>
      </c>
      <c r="DD22" s="168"/>
      <c r="DE22" s="169"/>
      <c r="DF22" s="130"/>
      <c r="DG22" s="166" t="str">
        <f>Source!$C29</f>
        <v/>
      </c>
      <c r="DH22" s="167" t="s">
        <v>654</v>
      </c>
      <c r="DI22" s="168"/>
      <c r="DJ22" s="169"/>
      <c r="DK22" s="130"/>
      <c r="DL22" s="166" t="str">
        <f>Source!$C29</f>
        <v/>
      </c>
      <c r="DM22" s="170" t="s">
        <v>60</v>
      </c>
      <c r="DN22" s="168"/>
      <c r="DO22" s="169"/>
      <c r="DP22" s="131"/>
      <c r="DQ22" s="166" t="str">
        <f>Source!$C29</f>
        <v/>
      </c>
      <c r="DR22" s="171" t="s">
        <v>62</v>
      </c>
      <c r="DS22" s="168"/>
      <c r="DT22" s="169"/>
      <c r="DU22" s="130"/>
      <c r="DV22" s="166" t="str">
        <f>Source!$C29</f>
        <v/>
      </c>
      <c r="DW22" s="167" t="s">
        <v>49</v>
      </c>
      <c r="DX22" s="168"/>
      <c r="DY22" s="169"/>
      <c r="DZ22" s="130"/>
      <c r="EA22" s="51"/>
      <c r="EB22" s="130"/>
      <c r="EC22" s="166" t="str">
        <f>Source!$C29</f>
        <v/>
      </c>
      <c r="ED22" s="167" t="s">
        <v>69</v>
      </c>
      <c r="EE22" s="168"/>
      <c r="EF22" s="169"/>
      <c r="EG22" s="130"/>
      <c r="EH22" s="166" t="str">
        <f>Source!$C29</f>
        <v/>
      </c>
      <c r="EI22" s="167" t="s">
        <v>72</v>
      </c>
      <c r="EJ22" s="168"/>
      <c r="EK22" s="169"/>
      <c r="EL22" s="130"/>
      <c r="EM22" s="166" t="str">
        <f>Source!$C29</f>
        <v/>
      </c>
      <c r="EN22" s="167" t="s">
        <v>75</v>
      </c>
      <c r="EO22" s="168"/>
      <c r="EP22" s="169"/>
      <c r="EQ22" s="130"/>
      <c r="ER22" s="166" t="str">
        <f>Source!$C29</f>
        <v/>
      </c>
      <c r="ES22" s="167" t="s">
        <v>76</v>
      </c>
      <c r="ET22" s="168"/>
      <c r="EU22" s="169"/>
      <c r="EV22" s="130"/>
      <c r="EW22" s="166" t="str">
        <f>Source!$C29</f>
        <v/>
      </c>
      <c r="EX22" s="167" t="s">
        <v>74</v>
      </c>
      <c r="EY22" s="168"/>
      <c r="EZ22" s="169"/>
      <c r="FA22" s="172"/>
      <c r="FB22" s="173"/>
    </row>
    <row r="23" ht="15.0" customHeight="1">
      <c r="A23" s="134"/>
      <c r="B23" s="135"/>
      <c r="C23" s="136" t="s">
        <v>734</v>
      </c>
      <c r="D23" s="137"/>
      <c r="E23" s="138"/>
      <c r="F23" s="174" t="s">
        <v>80</v>
      </c>
      <c r="G23" s="140" t="s">
        <v>81</v>
      </c>
      <c r="H23" s="48"/>
      <c r="I23" s="175" t="s">
        <v>82</v>
      </c>
      <c r="J23" s="142"/>
      <c r="K23" s="174" t="s">
        <v>80</v>
      </c>
      <c r="L23" s="140" t="s">
        <v>81</v>
      </c>
      <c r="M23" s="48"/>
      <c r="N23" s="175" t="s">
        <v>82</v>
      </c>
      <c r="O23" s="142"/>
      <c r="P23" s="174" t="s">
        <v>80</v>
      </c>
      <c r="Q23" s="140" t="s">
        <v>81</v>
      </c>
      <c r="R23" s="48"/>
      <c r="S23" s="175" t="s">
        <v>82</v>
      </c>
      <c r="T23" s="142"/>
      <c r="U23" s="174" t="s">
        <v>80</v>
      </c>
      <c r="V23" s="140" t="s">
        <v>81</v>
      </c>
      <c r="W23" s="48"/>
      <c r="X23" s="175" t="s">
        <v>82</v>
      </c>
      <c r="Y23" s="142"/>
      <c r="Z23" s="174" t="s">
        <v>80</v>
      </c>
      <c r="AA23" s="140" t="s">
        <v>81</v>
      </c>
      <c r="AB23" s="48"/>
      <c r="AC23" s="175" t="s">
        <v>82</v>
      </c>
      <c r="AD23" s="142"/>
      <c r="AE23" s="174" t="s">
        <v>80</v>
      </c>
      <c r="AF23" s="140" t="s">
        <v>81</v>
      </c>
      <c r="AG23" s="48"/>
      <c r="AH23" s="175" t="s">
        <v>82</v>
      </c>
      <c r="AI23" s="142"/>
      <c r="AJ23" s="174" t="s">
        <v>80</v>
      </c>
      <c r="AK23" s="140" t="s">
        <v>81</v>
      </c>
      <c r="AL23" s="48"/>
      <c r="AM23" s="175" t="s">
        <v>82</v>
      </c>
      <c r="AN23" s="142"/>
      <c r="AO23" s="174" t="s">
        <v>80</v>
      </c>
      <c r="AP23" s="140" t="s">
        <v>81</v>
      </c>
      <c r="AQ23" s="48"/>
      <c r="AR23" s="175" t="s">
        <v>82</v>
      </c>
      <c r="AS23" s="142"/>
      <c r="AT23" s="174" t="s">
        <v>80</v>
      </c>
      <c r="AU23" s="140" t="s">
        <v>81</v>
      </c>
      <c r="AV23" s="48"/>
      <c r="AW23" s="175" t="s">
        <v>82</v>
      </c>
      <c r="AX23" s="142"/>
      <c r="AY23" s="174" t="s">
        <v>80</v>
      </c>
      <c r="AZ23" s="140" t="s">
        <v>81</v>
      </c>
      <c r="BA23" s="48"/>
      <c r="BB23" s="175" t="s">
        <v>82</v>
      </c>
      <c r="BC23" s="142"/>
      <c r="BD23" s="174" t="s">
        <v>80</v>
      </c>
      <c r="BE23" s="140" t="s">
        <v>81</v>
      </c>
      <c r="BF23" s="48"/>
      <c r="BG23" s="175" t="s">
        <v>82</v>
      </c>
      <c r="BH23" s="142"/>
      <c r="BI23" s="174" t="s">
        <v>80</v>
      </c>
      <c r="BJ23" s="140" t="s">
        <v>81</v>
      </c>
      <c r="BK23" s="48"/>
      <c r="BL23" s="175" t="s">
        <v>82</v>
      </c>
      <c r="BM23" s="142"/>
      <c r="BN23" s="174" t="s">
        <v>80</v>
      </c>
      <c r="BO23" s="140" t="s">
        <v>81</v>
      </c>
      <c r="BP23" s="48"/>
      <c r="BQ23" s="175" t="s">
        <v>82</v>
      </c>
      <c r="BR23" s="142"/>
      <c r="BS23" s="174" t="s">
        <v>80</v>
      </c>
      <c r="BT23" s="140" t="s">
        <v>81</v>
      </c>
      <c r="BU23" s="48"/>
      <c r="BV23" s="175" t="s">
        <v>82</v>
      </c>
      <c r="BW23" s="142"/>
      <c r="BX23" s="174" t="s">
        <v>80</v>
      </c>
      <c r="BY23" s="140" t="s">
        <v>81</v>
      </c>
      <c r="BZ23" s="48"/>
      <c r="CA23" s="175" t="s">
        <v>82</v>
      </c>
      <c r="CB23" s="142"/>
      <c r="CC23" s="174" t="s">
        <v>80</v>
      </c>
      <c r="CD23" s="140" t="s">
        <v>81</v>
      </c>
      <c r="CE23" s="48"/>
      <c r="CF23" s="175" t="s">
        <v>82</v>
      </c>
      <c r="CG23" s="142"/>
      <c r="CH23" s="174" t="s">
        <v>80</v>
      </c>
      <c r="CI23" s="140" t="s">
        <v>81</v>
      </c>
      <c r="CJ23" s="48"/>
      <c r="CK23" s="175" t="s">
        <v>82</v>
      </c>
      <c r="CL23" s="142"/>
      <c r="CM23" s="174" t="s">
        <v>80</v>
      </c>
      <c r="CN23" s="140" t="s">
        <v>81</v>
      </c>
      <c r="CO23" s="48"/>
      <c r="CP23" s="175" t="s">
        <v>82</v>
      </c>
      <c r="CQ23" s="142"/>
      <c r="CR23" s="174" t="s">
        <v>80</v>
      </c>
      <c r="CS23" s="140" t="s">
        <v>81</v>
      </c>
      <c r="CT23" s="48"/>
      <c r="CU23" s="175" t="s">
        <v>82</v>
      </c>
      <c r="CV23" s="142"/>
      <c r="CW23" s="174" t="s">
        <v>80</v>
      </c>
      <c r="CX23" s="140" t="s">
        <v>81</v>
      </c>
      <c r="CY23" s="48"/>
      <c r="CZ23" s="175" t="s">
        <v>82</v>
      </c>
      <c r="DA23" s="142"/>
      <c r="DB23" s="174" t="s">
        <v>80</v>
      </c>
      <c r="DC23" s="140" t="s">
        <v>81</v>
      </c>
      <c r="DD23" s="48"/>
      <c r="DE23" s="175" t="s">
        <v>82</v>
      </c>
      <c r="DF23" s="142"/>
      <c r="DG23" s="174" t="s">
        <v>80</v>
      </c>
      <c r="DH23" s="140" t="s">
        <v>81</v>
      </c>
      <c r="DI23" s="48"/>
      <c r="DJ23" s="175" t="s">
        <v>82</v>
      </c>
      <c r="DK23" s="142"/>
      <c r="DL23" s="174" t="s">
        <v>80</v>
      </c>
      <c r="DM23" s="140" t="s">
        <v>81</v>
      </c>
      <c r="DN23" s="48"/>
      <c r="DO23" s="175" t="s">
        <v>82</v>
      </c>
      <c r="DP23" s="143"/>
      <c r="DQ23" s="174" t="s">
        <v>80</v>
      </c>
      <c r="DR23" s="140" t="s">
        <v>81</v>
      </c>
      <c r="DS23" s="48"/>
      <c r="DT23" s="175" t="s">
        <v>82</v>
      </c>
      <c r="DU23" s="142"/>
      <c r="DV23" s="174" t="s">
        <v>80</v>
      </c>
      <c r="DW23" s="140" t="s">
        <v>81</v>
      </c>
      <c r="DX23" s="48"/>
      <c r="DY23" s="175" t="s">
        <v>82</v>
      </c>
      <c r="DZ23" s="142"/>
      <c r="EA23" s="51"/>
      <c r="EB23" s="142"/>
      <c r="EC23" s="174" t="s">
        <v>80</v>
      </c>
      <c r="ED23" s="140" t="s">
        <v>81</v>
      </c>
      <c r="EE23" s="48"/>
      <c r="EF23" s="175" t="s">
        <v>82</v>
      </c>
      <c r="EG23" s="142"/>
      <c r="EH23" s="174" t="s">
        <v>80</v>
      </c>
      <c r="EI23" s="140" t="s">
        <v>81</v>
      </c>
      <c r="EJ23" s="48"/>
      <c r="EK23" s="175" t="s">
        <v>82</v>
      </c>
      <c r="EL23" s="142"/>
      <c r="EM23" s="174" t="s">
        <v>80</v>
      </c>
      <c r="EN23" s="140" t="s">
        <v>81</v>
      </c>
      <c r="EO23" s="48"/>
      <c r="EP23" s="175" t="s">
        <v>82</v>
      </c>
      <c r="EQ23" s="142"/>
      <c r="ER23" s="174" t="s">
        <v>80</v>
      </c>
      <c r="ES23" s="140" t="s">
        <v>81</v>
      </c>
      <c r="ET23" s="48"/>
      <c r="EU23" s="175" t="s">
        <v>82</v>
      </c>
      <c r="EV23" s="142"/>
      <c r="EW23" s="174" t="s">
        <v>80</v>
      </c>
      <c r="EX23" s="140" t="s">
        <v>81</v>
      </c>
      <c r="EY23" s="48"/>
      <c r="EZ23" s="175" t="s">
        <v>82</v>
      </c>
      <c r="FA23" s="144"/>
      <c r="FB23" s="145"/>
    </row>
    <row r="24" ht="23.25" customHeight="1">
      <c r="A24" s="23"/>
      <c r="B24" s="146"/>
      <c r="C24" s="147"/>
      <c r="D24" s="147"/>
      <c r="E24" s="148"/>
      <c r="F24" s="190">
        <v>0.6</v>
      </c>
      <c r="G24" s="206" t="str">
        <f t="array" ref="G24:G28">IFERROR(VLOOKUP(H24:H28,Dex!$B$3:$N30,2,FALSE),"")</f>
        <v/>
      </c>
      <c r="H24" s="207" t="s">
        <v>656</v>
      </c>
      <c r="I24" s="208" t="s">
        <v>735</v>
      </c>
      <c r="J24" s="180"/>
      <c r="K24" s="190">
        <v>0.6</v>
      </c>
      <c r="L24" s="206" t="str">
        <f t="array" ref="L24:L28">IFERROR(VLOOKUP(M24:M28,Dex!$B$3:$N30,2,FALSE),"")</f>
        <v/>
      </c>
      <c r="M24" s="207" t="s">
        <v>720</v>
      </c>
      <c r="N24" s="208" t="s">
        <v>735</v>
      </c>
      <c r="O24" s="180"/>
      <c r="P24" s="190">
        <v>0.6</v>
      </c>
      <c r="Q24" s="206" t="str">
        <f t="array" ref="Q24:Q28">IFERROR(VLOOKUP(R24:R28,Dex!$B$3:$N30,2,FALSE),"")</f>
        <v/>
      </c>
      <c r="R24" s="207" t="s">
        <v>657</v>
      </c>
      <c r="S24" s="208" t="s">
        <v>735</v>
      </c>
      <c r="T24" s="180"/>
      <c r="U24" s="190">
        <v>0.6</v>
      </c>
      <c r="V24" s="206" t="str">
        <f t="array" ref="V24:V28">IFERROR(VLOOKUP(W24:W28,Dex!$B$3:$N30,2,FALSE),"")</f>
        <v/>
      </c>
      <c r="W24" s="207" t="s">
        <v>736</v>
      </c>
      <c r="X24" s="208" t="s">
        <v>735</v>
      </c>
      <c r="Y24" s="180"/>
      <c r="Z24" s="190">
        <v>0.6</v>
      </c>
      <c r="AA24" s="206" t="str">
        <f t="array" ref="AA24:AA28">IFERROR(VLOOKUP(AB24:AB28,Dex!$B$3:$N30,2,FALSE),"")</f>
        <v/>
      </c>
      <c r="AB24" s="207" t="s">
        <v>600</v>
      </c>
      <c r="AC24" s="208" t="s">
        <v>735</v>
      </c>
      <c r="AD24" s="180"/>
      <c r="AE24" s="190">
        <v>0.6</v>
      </c>
      <c r="AF24" s="206" t="str">
        <f t="array" ref="AF24:AF28">IFERROR(VLOOKUP(AG24:AG28,Dex!$B$3:$N30,2,FALSE),"")</f>
        <v/>
      </c>
      <c r="AG24" s="207" t="s">
        <v>600</v>
      </c>
      <c r="AH24" s="208" t="s">
        <v>735</v>
      </c>
      <c r="AI24" s="180"/>
      <c r="AJ24" s="190">
        <v>0.6</v>
      </c>
      <c r="AK24" s="206" t="str">
        <f t="array" ref="AK24:AK28">IFERROR(VLOOKUP(AL24:AL28,Dex!$B$3:$N30,2,FALSE),"")</f>
        <v/>
      </c>
      <c r="AL24" s="207" t="s">
        <v>657</v>
      </c>
      <c r="AM24" s="208" t="s">
        <v>735</v>
      </c>
      <c r="AN24" s="180"/>
      <c r="AO24" s="190">
        <v>0.6</v>
      </c>
      <c r="AP24" s="206" t="str">
        <f t="array" ref="AP24:AP28">IFERROR(VLOOKUP(AQ24:AQ28,Dex!$B$3:$N30,2,FALSE),"")</f>
        <v/>
      </c>
      <c r="AQ24" s="207" t="s">
        <v>657</v>
      </c>
      <c r="AR24" s="208" t="s">
        <v>735</v>
      </c>
      <c r="AS24" s="180"/>
      <c r="AT24" s="190">
        <v>0.6</v>
      </c>
      <c r="AU24" s="206" t="str">
        <f t="array" ref="AU24:AU28">IFERROR(VLOOKUP(AV24:AV28,Dex!$B$3:$N30,2,FALSE),"")</f>
        <v/>
      </c>
      <c r="AV24" s="207" t="s">
        <v>656</v>
      </c>
      <c r="AW24" s="208" t="s">
        <v>735</v>
      </c>
      <c r="AX24" s="180"/>
      <c r="AY24" s="190">
        <v>0.6</v>
      </c>
      <c r="AZ24" s="206" t="str">
        <f t="array" ref="AZ24:AZ28">IFERROR(VLOOKUP(BA24:BA28,Dex!$B$3:$N30,2,FALSE),"")</f>
        <v/>
      </c>
      <c r="BA24" s="207" t="s">
        <v>656</v>
      </c>
      <c r="BB24" s="209">
        <v>45422.0</v>
      </c>
      <c r="BC24" s="180"/>
      <c r="BD24" s="190">
        <v>0.6</v>
      </c>
      <c r="BE24" s="206" t="str">
        <f t="array" ref="BE24:BE28">IFERROR(VLOOKUP(BF24:BF28,Dex!$B$3:$N30,2,FALSE),"")</f>
        <v/>
      </c>
      <c r="BF24" s="207" t="s">
        <v>656</v>
      </c>
      <c r="BG24" s="208" t="s">
        <v>735</v>
      </c>
      <c r="BH24" s="180"/>
      <c r="BI24" s="190">
        <v>0.6</v>
      </c>
      <c r="BJ24" s="206" t="str">
        <f t="array" ref="BJ24:BJ28">IFERROR(VLOOKUP(BK24:BK28,Dex!$B$3:$N30,2,FALSE),"")</f>
        <v/>
      </c>
      <c r="BK24" s="207" t="s">
        <v>656</v>
      </c>
      <c r="BL24" s="208" t="s">
        <v>735</v>
      </c>
      <c r="BM24" s="180"/>
      <c r="BN24" s="190">
        <v>0.6</v>
      </c>
      <c r="BO24" s="206" t="str">
        <f t="array" ref="BO24:BO28">IFERROR(VLOOKUP(BP24:BP28,Dex!$B$3:$N30,2,FALSE),"")</f>
        <v/>
      </c>
      <c r="BP24" s="207" t="s">
        <v>656</v>
      </c>
      <c r="BQ24" s="208" t="s">
        <v>735</v>
      </c>
      <c r="BR24" s="180"/>
      <c r="BS24" s="190">
        <v>0.6</v>
      </c>
      <c r="BT24" s="206" t="str">
        <f t="array" ref="BT24:BT28">IFERROR(VLOOKUP(BU24:BU28,Dex!$B$3:$N30,2,FALSE),"")</f>
        <v/>
      </c>
      <c r="BU24" s="207" t="s">
        <v>719</v>
      </c>
      <c r="BV24" s="208" t="s">
        <v>735</v>
      </c>
      <c r="BW24" s="180"/>
      <c r="BX24" s="190">
        <v>0.6</v>
      </c>
      <c r="BY24" s="206" t="str">
        <f t="array" ref="BY24:BY28">IFERROR(VLOOKUP(BZ24:BZ28,Dex!$B$3:$N30,2,FALSE),"")</f>
        <v/>
      </c>
      <c r="BZ24" s="207" t="s">
        <v>656</v>
      </c>
      <c r="CA24" s="208" t="s">
        <v>735</v>
      </c>
      <c r="CB24" s="180"/>
      <c r="CC24" s="190">
        <v>0.6</v>
      </c>
      <c r="CD24" s="206" t="str">
        <f t="array" ref="CD24:CD28">IFERROR(VLOOKUP(CE24:CE28,Dex!$B$3:$N30,2,FALSE),"")</f>
        <v/>
      </c>
      <c r="CE24" s="207" t="s">
        <v>657</v>
      </c>
      <c r="CF24" s="208" t="s">
        <v>735</v>
      </c>
      <c r="CG24" s="180"/>
      <c r="CH24" s="190">
        <v>0.6</v>
      </c>
      <c r="CI24" s="206" t="str">
        <f t="array" ref="CI24:CI28">IFERROR(VLOOKUP(CJ24:CJ28,Dex!$B$3:$N30,2,FALSE),"")</f>
        <v/>
      </c>
      <c r="CJ24" s="207" t="s">
        <v>718</v>
      </c>
      <c r="CK24" s="208" t="s">
        <v>735</v>
      </c>
      <c r="CL24" s="180"/>
      <c r="CM24" s="190">
        <v>0.6</v>
      </c>
      <c r="CN24" s="206" t="str">
        <f t="array" ref="CN24:CN28">IFERROR(VLOOKUP(CO24:CO28,Dex!$B$3:$N30,2,FALSE),"")</f>
        <v/>
      </c>
      <c r="CO24" s="207" t="s">
        <v>736</v>
      </c>
      <c r="CP24" s="208" t="s">
        <v>735</v>
      </c>
      <c r="CQ24" s="180"/>
      <c r="CR24" s="190">
        <v>0.6</v>
      </c>
      <c r="CS24" s="206" t="str">
        <f t="array" ref="CS24:CS28">IFERROR(VLOOKUP(CT24:CT28,Dex!$B$3:$N30,2,FALSE),"")</f>
        <v/>
      </c>
      <c r="CT24" s="207" t="s">
        <v>736</v>
      </c>
      <c r="CU24" s="208" t="s">
        <v>735</v>
      </c>
      <c r="CV24" s="180"/>
      <c r="CW24" s="190">
        <v>0.6</v>
      </c>
      <c r="CX24" s="206" t="str">
        <f t="array" ref="CX24:CX28">IFERROR(VLOOKUP(CY24:CY28,Dex!$B$3:$N30,2,FALSE),"")</f>
        <v/>
      </c>
      <c r="CY24" s="207" t="s">
        <v>188</v>
      </c>
      <c r="CZ24" s="208" t="s">
        <v>735</v>
      </c>
      <c r="DA24" s="180"/>
      <c r="DB24" s="190">
        <v>0.6</v>
      </c>
      <c r="DC24" s="206" t="str">
        <f t="array" ref="DC24:DC28">IFERROR(VLOOKUP(DD24:DD28,Dex!$B$3:$N30,2,FALSE),"")</f>
        <v/>
      </c>
      <c r="DD24" s="207" t="s">
        <v>600</v>
      </c>
      <c r="DE24" s="208" t="s">
        <v>735</v>
      </c>
      <c r="DF24" s="180"/>
      <c r="DG24" s="190">
        <v>0.6</v>
      </c>
      <c r="DH24" s="206" t="str">
        <f t="array" ref="DH24:DH28">IFERROR(VLOOKUP(DI24:DI28,Dex!$B$3:$N30,2,FALSE),"")</f>
        <v/>
      </c>
      <c r="DI24" s="207" t="s">
        <v>736</v>
      </c>
      <c r="DJ24" s="208" t="s">
        <v>735</v>
      </c>
      <c r="DK24" s="180"/>
      <c r="DL24" s="190">
        <v>0.6</v>
      </c>
      <c r="DM24" s="206" t="str">
        <f t="array" ref="DM24:DM28">IFERROR(VLOOKUP(DN24:DN28,Dex!$B$3:$N30,2,FALSE),"")</f>
        <v/>
      </c>
      <c r="DN24" s="207" t="s">
        <v>417</v>
      </c>
      <c r="DO24" s="208" t="s">
        <v>735</v>
      </c>
      <c r="DP24" s="181"/>
      <c r="DQ24" s="190">
        <v>0.6</v>
      </c>
      <c r="DR24" s="206" t="str">
        <f t="array" ref="DR24:DR28">IFERROR(VLOOKUP(DS24:DS28,Dex!$B$3:$N30,2,FALSE),"")</f>
        <v/>
      </c>
      <c r="DS24" s="207" t="s">
        <v>703</v>
      </c>
      <c r="DT24" s="208" t="s">
        <v>735</v>
      </c>
      <c r="DU24" s="180"/>
      <c r="DV24" s="190">
        <v>0.6</v>
      </c>
      <c r="DW24" s="206" t="str">
        <f t="array" ref="DW24:DW28">IFERROR(VLOOKUP(DX24:DX28,Dex!$B$3:$N30,2,FALSE),"")</f>
        <v/>
      </c>
      <c r="DX24" s="207" t="s">
        <v>657</v>
      </c>
      <c r="DY24" s="208" t="s">
        <v>735</v>
      </c>
      <c r="DZ24" s="180"/>
      <c r="EA24" s="51"/>
      <c r="EB24" s="180"/>
      <c r="EC24" s="190">
        <v>0.6</v>
      </c>
      <c r="ED24" s="206" t="str">
        <f t="array" ref="ED24:ED28">IFERROR(VLOOKUP(EE24:EE28,Dex!$B$3:$N30,2,FALSE),"")</f>
        <v/>
      </c>
      <c r="EE24" s="207" t="s">
        <v>702</v>
      </c>
      <c r="EF24" s="208" t="s">
        <v>735</v>
      </c>
      <c r="EG24" s="180"/>
      <c r="EH24" s="190">
        <v>0.6</v>
      </c>
      <c r="EI24" s="206" t="str">
        <f t="array" ref="EI24:EI28">IFERROR(VLOOKUP(EJ24:EJ28,Dex!$B$3:$N30,2,FALSE),"")</f>
        <v/>
      </c>
      <c r="EJ24" s="207" t="s">
        <v>702</v>
      </c>
      <c r="EK24" s="208" t="s">
        <v>152</v>
      </c>
      <c r="EL24" s="180"/>
      <c r="EM24" s="190">
        <v>0.6</v>
      </c>
      <c r="EN24" s="206" t="str">
        <f t="array" ref="EN24:EN28">IFERROR(VLOOKUP(EO24:EO28,Dex!$B$3:$N30,2,FALSE),"")</f>
        <v/>
      </c>
      <c r="EO24" s="207" t="s">
        <v>737</v>
      </c>
      <c r="EP24" s="208" t="s">
        <v>152</v>
      </c>
      <c r="EQ24" s="180"/>
      <c r="ER24" s="190">
        <v>0.6</v>
      </c>
      <c r="ES24" s="206" t="str">
        <f t="array" ref="ES24:ES28">IFERROR(VLOOKUP(ET24:ET28,Dex!$B$3:$N30,2,FALSE),"")</f>
        <v/>
      </c>
      <c r="ET24" s="207" t="s">
        <v>731</v>
      </c>
      <c r="EU24" s="208" t="s">
        <v>735</v>
      </c>
      <c r="EV24" s="180"/>
      <c r="EW24" s="190">
        <v>0.6</v>
      </c>
      <c r="EX24" s="206" t="str">
        <f t="array" ref="EX24:EX28">IFERROR(VLOOKUP(EY24:EY28,Dex!$B$3:$N30,2,FALSE),"")</f>
        <v/>
      </c>
      <c r="EY24" s="207" t="s">
        <v>731</v>
      </c>
      <c r="EZ24" s="208" t="s">
        <v>152</v>
      </c>
      <c r="FA24" s="210"/>
      <c r="FB24" s="211"/>
    </row>
    <row r="25" ht="23.25" customHeight="1">
      <c r="A25" s="23"/>
      <c r="B25" s="146"/>
      <c r="C25" s="103"/>
      <c r="D25" s="103"/>
      <c r="E25" s="148"/>
      <c r="F25" s="212">
        <v>0.3</v>
      </c>
      <c r="G25" s="213"/>
      <c r="H25" s="214" t="s">
        <v>656</v>
      </c>
      <c r="I25" s="215" t="s">
        <v>735</v>
      </c>
      <c r="J25" s="180"/>
      <c r="K25" s="212">
        <v>0.3</v>
      </c>
      <c r="L25" s="213"/>
      <c r="M25" s="214" t="s">
        <v>720</v>
      </c>
      <c r="N25" s="215" t="s">
        <v>735</v>
      </c>
      <c r="O25" s="180"/>
      <c r="P25" s="212">
        <v>0.3</v>
      </c>
      <c r="Q25" s="213"/>
      <c r="R25" s="214" t="s">
        <v>657</v>
      </c>
      <c r="S25" s="215" t="s">
        <v>735</v>
      </c>
      <c r="T25" s="180"/>
      <c r="U25" s="212">
        <v>0.3</v>
      </c>
      <c r="V25" s="213"/>
      <c r="W25" s="214" t="s">
        <v>705</v>
      </c>
      <c r="X25" s="215" t="s">
        <v>735</v>
      </c>
      <c r="Y25" s="180"/>
      <c r="Z25" s="212">
        <v>0.3</v>
      </c>
      <c r="AA25" s="213"/>
      <c r="AB25" s="214" t="s">
        <v>600</v>
      </c>
      <c r="AC25" s="215" t="s">
        <v>735</v>
      </c>
      <c r="AD25" s="180"/>
      <c r="AE25" s="212">
        <v>0.3</v>
      </c>
      <c r="AF25" s="213"/>
      <c r="AG25" s="214" t="s">
        <v>600</v>
      </c>
      <c r="AH25" s="215" t="s">
        <v>735</v>
      </c>
      <c r="AI25" s="180"/>
      <c r="AJ25" s="212">
        <v>0.3</v>
      </c>
      <c r="AK25" s="213"/>
      <c r="AL25" s="214" t="s">
        <v>657</v>
      </c>
      <c r="AM25" s="215" t="s">
        <v>735</v>
      </c>
      <c r="AN25" s="180"/>
      <c r="AO25" s="212">
        <v>0.3</v>
      </c>
      <c r="AP25" s="213"/>
      <c r="AQ25" s="214" t="s">
        <v>657</v>
      </c>
      <c r="AR25" s="215" t="s">
        <v>735</v>
      </c>
      <c r="AS25" s="180"/>
      <c r="AT25" s="212">
        <v>0.3</v>
      </c>
      <c r="AU25" s="213"/>
      <c r="AV25" s="214" t="s">
        <v>128</v>
      </c>
      <c r="AW25" s="215" t="s">
        <v>735</v>
      </c>
      <c r="AX25" s="180"/>
      <c r="AY25" s="212">
        <v>0.3</v>
      </c>
      <c r="AZ25" s="213"/>
      <c r="BA25" s="214" t="s">
        <v>656</v>
      </c>
      <c r="BB25" s="216">
        <v>45585.0</v>
      </c>
      <c r="BC25" s="180"/>
      <c r="BD25" s="212">
        <v>0.3</v>
      </c>
      <c r="BE25" s="213"/>
      <c r="BF25" s="214" t="s">
        <v>656</v>
      </c>
      <c r="BG25" s="215" t="s">
        <v>735</v>
      </c>
      <c r="BH25" s="180"/>
      <c r="BI25" s="212">
        <v>0.3</v>
      </c>
      <c r="BJ25" s="213"/>
      <c r="BK25" s="214" t="s">
        <v>656</v>
      </c>
      <c r="BL25" s="215" t="s">
        <v>735</v>
      </c>
      <c r="BM25" s="180"/>
      <c r="BN25" s="212">
        <v>0.3</v>
      </c>
      <c r="BO25" s="213"/>
      <c r="BP25" s="214" t="s">
        <v>656</v>
      </c>
      <c r="BQ25" s="215" t="s">
        <v>735</v>
      </c>
      <c r="BR25" s="180"/>
      <c r="BS25" s="212">
        <v>0.3</v>
      </c>
      <c r="BT25" s="213"/>
      <c r="BU25" s="214" t="s">
        <v>719</v>
      </c>
      <c r="BV25" s="215" t="s">
        <v>735</v>
      </c>
      <c r="BW25" s="180"/>
      <c r="BX25" s="212">
        <v>0.3</v>
      </c>
      <c r="BY25" s="213"/>
      <c r="BZ25" s="214" t="s">
        <v>656</v>
      </c>
      <c r="CA25" s="215" t="s">
        <v>735</v>
      </c>
      <c r="CB25" s="180"/>
      <c r="CC25" s="212">
        <v>0.3</v>
      </c>
      <c r="CD25" s="213"/>
      <c r="CE25" s="214" t="s">
        <v>657</v>
      </c>
      <c r="CF25" s="215" t="s">
        <v>735</v>
      </c>
      <c r="CG25" s="180"/>
      <c r="CH25" s="212">
        <v>0.3</v>
      </c>
      <c r="CI25" s="213"/>
      <c r="CJ25" s="214" t="s">
        <v>738</v>
      </c>
      <c r="CK25" s="215" t="s">
        <v>735</v>
      </c>
      <c r="CL25" s="180"/>
      <c r="CM25" s="212">
        <v>0.3</v>
      </c>
      <c r="CN25" s="213"/>
      <c r="CO25" s="214" t="s">
        <v>703</v>
      </c>
      <c r="CP25" s="215" t="s">
        <v>735</v>
      </c>
      <c r="CQ25" s="180"/>
      <c r="CR25" s="212">
        <v>0.3</v>
      </c>
      <c r="CS25" s="213"/>
      <c r="CT25" s="214" t="s">
        <v>729</v>
      </c>
      <c r="CU25" s="215" t="s">
        <v>735</v>
      </c>
      <c r="CV25" s="180"/>
      <c r="CW25" s="212">
        <v>0.3</v>
      </c>
      <c r="CX25" s="213"/>
      <c r="CY25" s="214" t="s">
        <v>245</v>
      </c>
      <c r="CZ25" s="215" t="s">
        <v>735</v>
      </c>
      <c r="DA25" s="180"/>
      <c r="DB25" s="212">
        <v>0.3</v>
      </c>
      <c r="DC25" s="213"/>
      <c r="DD25" s="214" t="s">
        <v>331</v>
      </c>
      <c r="DE25" s="215" t="s">
        <v>735</v>
      </c>
      <c r="DF25" s="180"/>
      <c r="DG25" s="212">
        <v>0.3</v>
      </c>
      <c r="DH25" s="213"/>
      <c r="DI25" s="214" t="s">
        <v>729</v>
      </c>
      <c r="DJ25" s="215" t="s">
        <v>735</v>
      </c>
      <c r="DK25" s="180"/>
      <c r="DL25" s="212">
        <v>0.3</v>
      </c>
      <c r="DM25" s="213"/>
      <c r="DN25" s="214" t="s">
        <v>600</v>
      </c>
      <c r="DO25" s="215" t="s">
        <v>735</v>
      </c>
      <c r="DP25" s="181"/>
      <c r="DQ25" s="212">
        <v>0.3</v>
      </c>
      <c r="DR25" s="213"/>
      <c r="DS25" s="214" t="s">
        <v>331</v>
      </c>
      <c r="DT25" s="215" t="s">
        <v>735</v>
      </c>
      <c r="DU25" s="180"/>
      <c r="DV25" s="212">
        <v>0.3</v>
      </c>
      <c r="DW25" s="213"/>
      <c r="DX25" s="214" t="s">
        <v>657</v>
      </c>
      <c r="DY25" s="215" t="s">
        <v>735</v>
      </c>
      <c r="DZ25" s="180"/>
      <c r="EA25" s="51"/>
      <c r="EB25" s="180"/>
      <c r="EC25" s="212">
        <v>0.3</v>
      </c>
      <c r="ED25" s="213"/>
      <c r="EE25" s="214" t="s">
        <v>701</v>
      </c>
      <c r="EF25" s="215" t="s">
        <v>735</v>
      </c>
      <c r="EG25" s="180"/>
      <c r="EH25" s="212">
        <v>0.3</v>
      </c>
      <c r="EI25" s="213"/>
      <c r="EJ25" s="214" t="s">
        <v>739</v>
      </c>
      <c r="EK25" s="215" t="s">
        <v>150</v>
      </c>
      <c r="EL25" s="180"/>
      <c r="EM25" s="212">
        <v>0.3</v>
      </c>
      <c r="EN25" s="213"/>
      <c r="EO25" s="214" t="s">
        <v>332</v>
      </c>
      <c r="EP25" s="215" t="s">
        <v>150</v>
      </c>
      <c r="EQ25" s="180"/>
      <c r="ER25" s="212">
        <v>0.3</v>
      </c>
      <c r="ES25" s="213"/>
      <c r="ET25" s="214" t="s">
        <v>513</v>
      </c>
      <c r="EU25" s="215" t="s">
        <v>735</v>
      </c>
      <c r="EV25" s="180"/>
      <c r="EW25" s="212">
        <v>0.3</v>
      </c>
      <c r="EX25" s="213"/>
      <c r="EY25" s="214" t="s">
        <v>331</v>
      </c>
      <c r="EZ25" s="215" t="s">
        <v>150</v>
      </c>
      <c r="FA25" s="210"/>
      <c r="FB25" s="211"/>
    </row>
    <row r="26" ht="23.25" customHeight="1">
      <c r="A26" s="23"/>
      <c r="B26" s="146"/>
      <c r="C26" s="103"/>
      <c r="D26" s="103"/>
      <c r="E26" s="148"/>
      <c r="F26" s="195">
        <v>0.05</v>
      </c>
      <c r="G26" s="196"/>
      <c r="H26" s="197" t="s">
        <v>736</v>
      </c>
      <c r="I26" s="198" t="s">
        <v>735</v>
      </c>
      <c r="J26" s="180"/>
      <c r="K26" s="195">
        <v>0.05</v>
      </c>
      <c r="L26" s="196"/>
      <c r="M26" s="197" t="s">
        <v>720</v>
      </c>
      <c r="N26" s="198" t="s">
        <v>735</v>
      </c>
      <c r="O26" s="180"/>
      <c r="P26" s="195">
        <v>0.05</v>
      </c>
      <c r="Q26" s="196"/>
      <c r="R26" s="197" t="s">
        <v>700</v>
      </c>
      <c r="S26" s="198" t="s">
        <v>735</v>
      </c>
      <c r="T26" s="180"/>
      <c r="U26" s="195">
        <v>0.05</v>
      </c>
      <c r="V26" s="196"/>
      <c r="W26" s="197" t="s">
        <v>718</v>
      </c>
      <c r="X26" s="198" t="s">
        <v>735</v>
      </c>
      <c r="Y26" s="180"/>
      <c r="Z26" s="195">
        <v>0.05</v>
      </c>
      <c r="AA26" s="196"/>
      <c r="AB26" s="197" t="s">
        <v>600</v>
      </c>
      <c r="AC26" s="198" t="s">
        <v>735</v>
      </c>
      <c r="AD26" s="180"/>
      <c r="AE26" s="195">
        <v>0.05</v>
      </c>
      <c r="AF26" s="196"/>
      <c r="AG26" s="197" t="s">
        <v>600</v>
      </c>
      <c r="AH26" s="198" t="s">
        <v>735</v>
      </c>
      <c r="AI26" s="180"/>
      <c r="AJ26" s="195">
        <v>0.05</v>
      </c>
      <c r="AK26" s="196"/>
      <c r="AL26" s="197" t="s">
        <v>657</v>
      </c>
      <c r="AM26" s="198" t="s">
        <v>735</v>
      </c>
      <c r="AN26" s="180"/>
      <c r="AO26" s="195">
        <v>0.05</v>
      </c>
      <c r="AP26" s="196"/>
      <c r="AQ26" s="197" t="s">
        <v>657</v>
      </c>
      <c r="AR26" s="198" t="s">
        <v>735</v>
      </c>
      <c r="AS26" s="180"/>
      <c r="AT26" s="195">
        <v>0.05</v>
      </c>
      <c r="AU26" s="196"/>
      <c r="AV26" s="197" t="s">
        <v>740</v>
      </c>
      <c r="AW26" s="198" t="s">
        <v>735</v>
      </c>
      <c r="AX26" s="180"/>
      <c r="AY26" s="195">
        <v>0.05</v>
      </c>
      <c r="AZ26" s="196"/>
      <c r="BA26" s="197" t="s">
        <v>656</v>
      </c>
      <c r="BB26" s="198" t="s">
        <v>741</v>
      </c>
      <c r="BC26" s="180"/>
      <c r="BD26" s="195">
        <v>0.05</v>
      </c>
      <c r="BE26" s="196"/>
      <c r="BF26" s="197" t="s">
        <v>736</v>
      </c>
      <c r="BG26" s="198" t="s">
        <v>735</v>
      </c>
      <c r="BH26" s="180"/>
      <c r="BI26" s="195">
        <v>0.05</v>
      </c>
      <c r="BJ26" s="196"/>
      <c r="BK26" s="197" t="s">
        <v>656</v>
      </c>
      <c r="BL26" s="198" t="s">
        <v>735</v>
      </c>
      <c r="BM26" s="180"/>
      <c r="BN26" s="195">
        <v>0.05</v>
      </c>
      <c r="BO26" s="196"/>
      <c r="BP26" s="197" t="s">
        <v>736</v>
      </c>
      <c r="BQ26" s="198" t="s">
        <v>735</v>
      </c>
      <c r="BR26" s="180"/>
      <c r="BS26" s="195">
        <v>0.05</v>
      </c>
      <c r="BT26" s="196"/>
      <c r="BU26" s="197" t="s">
        <v>719</v>
      </c>
      <c r="BV26" s="198" t="s">
        <v>735</v>
      </c>
      <c r="BW26" s="180"/>
      <c r="BX26" s="195">
        <v>0.05</v>
      </c>
      <c r="BY26" s="196"/>
      <c r="BZ26" s="197" t="s">
        <v>611</v>
      </c>
      <c r="CA26" s="198" t="s">
        <v>735</v>
      </c>
      <c r="CB26" s="180"/>
      <c r="CC26" s="195">
        <v>0.05</v>
      </c>
      <c r="CD26" s="196"/>
      <c r="CE26" s="197" t="s">
        <v>657</v>
      </c>
      <c r="CF26" s="198" t="s">
        <v>735</v>
      </c>
      <c r="CG26" s="180"/>
      <c r="CH26" s="195">
        <v>0.05</v>
      </c>
      <c r="CI26" s="196"/>
      <c r="CJ26" s="197" t="s">
        <v>723</v>
      </c>
      <c r="CK26" s="198" t="s">
        <v>735</v>
      </c>
      <c r="CL26" s="180"/>
      <c r="CM26" s="195">
        <v>0.05</v>
      </c>
      <c r="CN26" s="196"/>
      <c r="CO26" s="197" t="s">
        <v>728</v>
      </c>
      <c r="CP26" s="198" t="s">
        <v>735</v>
      </c>
      <c r="CQ26" s="180"/>
      <c r="CR26" s="195">
        <v>0.05</v>
      </c>
      <c r="CS26" s="196"/>
      <c r="CT26" s="197" t="s">
        <v>729</v>
      </c>
      <c r="CU26" s="198" t="s">
        <v>735</v>
      </c>
      <c r="CV26" s="180"/>
      <c r="CW26" s="195">
        <v>0.05</v>
      </c>
      <c r="CX26" s="196"/>
      <c r="CY26" s="197" t="s">
        <v>333</v>
      </c>
      <c r="CZ26" s="198" t="s">
        <v>735</v>
      </c>
      <c r="DA26" s="180"/>
      <c r="DB26" s="195">
        <v>0.05</v>
      </c>
      <c r="DC26" s="196"/>
      <c r="DD26" s="197" t="s">
        <v>703</v>
      </c>
      <c r="DE26" s="198" t="s">
        <v>735</v>
      </c>
      <c r="DF26" s="180"/>
      <c r="DG26" s="195">
        <v>0.05</v>
      </c>
      <c r="DH26" s="196"/>
      <c r="DI26" s="197" t="s">
        <v>729</v>
      </c>
      <c r="DJ26" s="198" t="s">
        <v>735</v>
      </c>
      <c r="DK26" s="180"/>
      <c r="DL26" s="195">
        <v>0.05</v>
      </c>
      <c r="DM26" s="196"/>
      <c r="DN26" s="197" t="s">
        <v>333</v>
      </c>
      <c r="DO26" s="198" t="s">
        <v>735</v>
      </c>
      <c r="DP26" s="181"/>
      <c r="DQ26" s="195">
        <v>0.05</v>
      </c>
      <c r="DR26" s="196"/>
      <c r="DS26" s="197" t="s">
        <v>725</v>
      </c>
      <c r="DT26" s="198" t="s">
        <v>735</v>
      </c>
      <c r="DU26" s="180"/>
      <c r="DV26" s="195">
        <v>0.05</v>
      </c>
      <c r="DW26" s="196"/>
      <c r="DX26" s="197" t="s">
        <v>657</v>
      </c>
      <c r="DY26" s="198" t="s">
        <v>735</v>
      </c>
      <c r="DZ26" s="180"/>
      <c r="EA26" s="51"/>
      <c r="EB26" s="180"/>
      <c r="EC26" s="195">
        <v>0.05</v>
      </c>
      <c r="ED26" s="196"/>
      <c r="EE26" s="197" t="s">
        <v>740</v>
      </c>
      <c r="EF26" s="198" t="s">
        <v>735</v>
      </c>
      <c r="EG26" s="180"/>
      <c r="EH26" s="195">
        <v>0.05</v>
      </c>
      <c r="EI26" s="196"/>
      <c r="EJ26" s="197" t="s">
        <v>742</v>
      </c>
      <c r="EK26" s="198" t="s">
        <v>150</v>
      </c>
      <c r="EL26" s="180"/>
      <c r="EM26" s="195">
        <v>0.05</v>
      </c>
      <c r="EN26" s="196"/>
      <c r="EO26" s="197" t="s">
        <v>743</v>
      </c>
      <c r="EP26" s="198" t="s">
        <v>150</v>
      </c>
      <c r="EQ26" s="180"/>
      <c r="ER26" s="195">
        <v>0.05</v>
      </c>
      <c r="ES26" s="196"/>
      <c r="ET26" s="197" t="s">
        <v>744</v>
      </c>
      <c r="EU26" s="198" t="s">
        <v>735</v>
      </c>
      <c r="EV26" s="180"/>
      <c r="EW26" s="195">
        <v>0.05</v>
      </c>
      <c r="EX26" s="196"/>
      <c r="EY26" s="197" t="s">
        <v>740</v>
      </c>
      <c r="EZ26" s="198" t="s">
        <v>150</v>
      </c>
      <c r="FA26" s="210"/>
      <c r="FB26" s="211"/>
    </row>
    <row r="27" ht="23.25" customHeight="1">
      <c r="A27" s="23"/>
      <c r="B27" s="146"/>
      <c r="C27" s="103"/>
      <c r="D27" s="103"/>
      <c r="E27" s="148"/>
      <c r="F27" s="182">
        <v>0.04</v>
      </c>
      <c r="G27" s="199"/>
      <c r="H27" s="200" t="s">
        <v>736</v>
      </c>
      <c r="I27" s="201" t="s">
        <v>735</v>
      </c>
      <c r="J27" s="180"/>
      <c r="K27" s="182">
        <v>0.04</v>
      </c>
      <c r="L27" s="199"/>
      <c r="M27" s="200" t="s">
        <v>720</v>
      </c>
      <c r="N27" s="201" t="s">
        <v>735</v>
      </c>
      <c r="O27" s="180"/>
      <c r="P27" s="182">
        <v>0.04</v>
      </c>
      <c r="Q27" s="199"/>
      <c r="R27" s="200" t="s">
        <v>719</v>
      </c>
      <c r="S27" s="201" t="s">
        <v>735</v>
      </c>
      <c r="T27" s="180"/>
      <c r="U27" s="182">
        <v>0.04</v>
      </c>
      <c r="V27" s="199"/>
      <c r="W27" s="200" t="s">
        <v>740</v>
      </c>
      <c r="X27" s="201" t="s">
        <v>735</v>
      </c>
      <c r="Y27" s="180"/>
      <c r="Z27" s="182">
        <v>0.04</v>
      </c>
      <c r="AA27" s="199"/>
      <c r="AB27" s="200" t="s">
        <v>714</v>
      </c>
      <c r="AC27" s="201" t="s">
        <v>735</v>
      </c>
      <c r="AD27" s="180"/>
      <c r="AE27" s="182">
        <v>0.04</v>
      </c>
      <c r="AF27" s="199"/>
      <c r="AG27" s="200" t="s">
        <v>600</v>
      </c>
      <c r="AH27" s="201" t="s">
        <v>735</v>
      </c>
      <c r="AI27" s="180"/>
      <c r="AJ27" s="182">
        <v>0.04</v>
      </c>
      <c r="AK27" s="199"/>
      <c r="AL27" s="200" t="s">
        <v>657</v>
      </c>
      <c r="AM27" s="201" t="s">
        <v>735</v>
      </c>
      <c r="AN27" s="180"/>
      <c r="AO27" s="182">
        <v>0.04</v>
      </c>
      <c r="AP27" s="199"/>
      <c r="AQ27" s="200" t="s">
        <v>657</v>
      </c>
      <c r="AR27" s="201" t="s">
        <v>735</v>
      </c>
      <c r="AS27" s="180"/>
      <c r="AT27" s="182">
        <v>0.04</v>
      </c>
      <c r="AU27" s="199"/>
      <c r="AV27" s="200" t="s">
        <v>740</v>
      </c>
      <c r="AW27" s="201" t="s">
        <v>735</v>
      </c>
      <c r="AX27" s="180"/>
      <c r="AY27" s="182">
        <v>0.04</v>
      </c>
      <c r="AZ27" s="199"/>
      <c r="BA27" s="200" t="s">
        <v>656</v>
      </c>
      <c r="BB27" s="201" t="s">
        <v>745</v>
      </c>
      <c r="BC27" s="180"/>
      <c r="BD27" s="182">
        <v>0.04</v>
      </c>
      <c r="BE27" s="199"/>
      <c r="BF27" s="200" t="s">
        <v>705</v>
      </c>
      <c r="BG27" s="201" t="s">
        <v>735</v>
      </c>
      <c r="BH27" s="180"/>
      <c r="BI27" s="182">
        <v>0.04</v>
      </c>
      <c r="BJ27" s="199"/>
      <c r="BK27" s="200" t="s">
        <v>387</v>
      </c>
      <c r="BL27" s="201" t="s">
        <v>735</v>
      </c>
      <c r="BM27" s="180"/>
      <c r="BN27" s="182">
        <v>0.04</v>
      </c>
      <c r="BO27" s="199"/>
      <c r="BP27" s="200" t="s">
        <v>673</v>
      </c>
      <c r="BQ27" s="201" t="s">
        <v>735</v>
      </c>
      <c r="BR27" s="180"/>
      <c r="BS27" s="182">
        <v>0.04</v>
      </c>
      <c r="BT27" s="199"/>
      <c r="BU27" s="200" t="s">
        <v>719</v>
      </c>
      <c r="BV27" s="201" t="s">
        <v>735</v>
      </c>
      <c r="BW27" s="180"/>
      <c r="BX27" s="182">
        <v>0.04</v>
      </c>
      <c r="BY27" s="199"/>
      <c r="BZ27" s="200" t="s">
        <v>611</v>
      </c>
      <c r="CA27" s="201" t="s">
        <v>735</v>
      </c>
      <c r="CB27" s="180"/>
      <c r="CC27" s="182">
        <v>0.04</v>
      </c>
      <c r="CD27" s="199"/>
      <c r="CE27" s="200" t="s">
        <v>657</v>
      </c>
      <c r="CF27" s="201" t="s">
        <v>735</v>
      </c>
      <c r="CG27" s="180"/>
      <c r="CH27" s="182">
        <v>0.04</v>
      </c>
      <c r="CI27" s="199"/>
      <c r="CJ27" s="200" t="s">
        <v>695</v>
      </c>
      <c r="CK27" s="201" t="s">
        <v>735</v>
      </c>
      <c r="CL27" s="180"/>
      <c r="CM27" s="182">
        <v>0.04</v>
      </c>
      <c r="CN27" s="199"/>
      <c r="CO27" s="200" t="s">
        <v>720</v>
      </c>
      <c r="CP27" s="201" t="s">
        <v>735</v>
      </c>
      <c r="CQ27" s="180"/>
      <c r="CR27" s="182">
        <v>0.04</v>
      </c>
      <c r="CS27" s="199"/>
      <c r="CT27" s="200" t="s">
        <v>738</v>
      </c>
      <c r="CU27" s="201" t="s">
        <v>735</v>
      </c>
      <c r="CV27" s="180"/>
      <c r="CW27" s="182">
        <v>0.04</v>
      </c>
      <c r="CX27" s="199"/>
      <c r="CY27" s="200" t="s">
        <v>333</v>
      </c>
      <c r="CZ27" s="201" t="s">
        <v>735</v>
      </c>
      <c r="DA27" s="180"/>
      <c r="DB27" s="182">
        <v>0.04</v>
      </c>
      <c r="DC27" s="199"/>
      <c r="DD27" s="200" t="s">
        <v>703</v>
      </c>
      <c r="DE27" s="201" t="s">
        <v>735</v>
      </c>
      <c r="DF27" s="180"/>
      <c r="DG27" s="182">
        <v>0.04</v>
      </c>
      <c r="DH27" s="199"/>
      <c r="DI27" s="200" t="s">
        <v>740</v>
      </c>
      <c r="DJ27" s="201" t="s">
        <v>735</v>
      </c>
      <c r="DK27" s="180"/>
      <c r="DL27" s="182">
        <v>0.04</v>
      </c>
      <c r="DM27" s="199"/>
      <c r="DN27" s="200" t="s">
        <v>476</v>
      </c>
      <c r="DO27" s="201" t="s">
        <v>735</v>
      </c>
      <c r="DP27" s="181"/>
      <c r="DQ27" s="182">
        <v>0.04</v>
      </c>
      <c r="DR27" s="199"/>
      <c r="DS27" s="200" t="s">
        <v>725</v>
      </c>
      <c r="DT27" s="201" t="s">
        <v>735</v>
      </c>
      <c r="DU27" s="180"/>
      <c r="DV27" s="182">
        <v>0.04</v>
      </c>
      <c r="DW27" s="199"/>
      <c r="DX27" s="200" t="s">
        <v>657</v>
      </c>
      <c r="DY27" s="201" t="s">
        <v>735</v>
      </c>
      <c r="DZ27" s="180"/>
      <c r="EA27" s="51"/>
      <c r="EB27" s="180"/>
      <c r="EC27" s="182">
        <v>0.04</v>
      </c>
      <c r="ED27" s="199"/>
      <c r="EE27" s="200" t="s">
        <v>743</v>
      </c>
      <c r="EF27" s="201" t="s">
        <v>735</v>
      </c>
      <c r="EG27" s="180"/>
      <c r="EH27" s="182">
        <v>0.04</v>
      </c>
      <c r="EI27" s="199"/>
      <c r="EJ27" s="200" t="s">
        <v>743</v>
      </c>
      <c r="EK27" s="201" t="s">
        <v>150</v>
      </c>
      <c r="EL27" s="180"/>
      <c r="EM27" s="182">
        <v>0.04</v>
      </c>
      <c r="EN27" s="199"/>
      <c r="EO27" s="200" t="s">
        <v>746</v>
      </c>
      <c r="EP27" s="201" t="s">
        <v>150</v>
      </c>
      <c r="EQ27" s="180"/>
      <c r="ER27" s="182">
        <v>0.04</v>
      </c>
      <c r="ES27" s="199"/>
      <c r="ET27" s="200" t="s">
        <v>744</v>
      </c>
      <c r="EU27" s="201" t="s">
        <v>735</v>
      </c>
      <c r="EV27" s="180"/>
      <c r="EW27" s="182">
        <v>0.04</v>
      </c>
      <c r="EX27" s="199"/>
      <c r="EY27" s="200" t="s">
        <v>747</v>
      </c>
      <c r="EZ27" s="201" t="s">
        <v>150</v>
      </c>
      <c r="FA27" s="210"/>
      <c r="FB27" s="211"/>
    </row>
    <row r="28" ht="23.25" customHeight="1">
      <c r="A28" s="23"/>
      <c r="B28" s="146"/>
      <c r="C28" s="103"/>
      <c r="D28" s="103"/>
      <c r="E28" s="148"/>
      <c r="F28" s="202">
        <v>0.01</v>
      </c>
      <c r="G28" s="203"/>
      <c r="H28" s="204" t="s">
        <v>736</v>
      </c>
      <c r="I28" s="205" t="s">
        <v>735</v>
      </c>
      <c r="J28" s="180"/>
      <c r="K28" s="202">
        <v>0.01</v>
      </c>
      <c r="L28" s="203"/>
      <c r="M28" s="204" t="s">
        <v>720</v>
      </c>
      <c r="N28" s="205" t="s">
        <v>735</v>
      </c>
      <c r="O28" s="180"/>
      <c r="P28" s="202">
        <v>0.01</v>
      </c>
      <c r="Q28" s="203"/>
      <c r="R28" s="204" t="s">
        <v>719</v>
      </c>
      <c r="S28" s="205" t="s">
        <v>735</v>
      </c>
      <c r="T28" s="180"/>
      <c r="U28" s="202">
        <v>0.01</v>
      </c>
      <c r="V28" s="203"/>
      <c r="W28" s="204" t="s">
        <v>740</v>
      </c>
      <c r="X28" s="205" t="s">
        <v>735</v>
      </c>
      <c r="Y28" s="180"/>
      <c r="Z28" s="202">
        <v>0.01</v>
      </c>
      <c r="AA28" s="203"/>
      <c r="AB28" s="204" t="s">
        <v>714</v>
      </c>
      <c r="AC28" s="205" t="s">
        <v>735</v>
      </c>
      <c r="AD28" s="180"/>
      <c r="AE28" s="202">
        <v>0.01</v>
      </c>
      <c r="AF28" s="203"/>
      <c r="AG28" s="204" t="s">
        <v>600</v>
      </c>
      <c r="AH28" s="205" t="s">
        <v>735</v>
      </c>
      <c r="AI28" s="180"/>
      <c r="AJ28" s="202">
        <v>0.01</v>
      </c>
      <c r="AK28" s="203"/>
      <c r="AL28" s="204" t="s">
        <v>657</v>
      </c>
      <c r="AM28" s="205" t="s">
        <v>735</v>
      </c>
      <c r="AN28" s="180"/>
      <c r="AO28" s="202">
        <v>0.01</v>
      </c>
      <c r="AP28" s="203"/>
      <c r="AQ28" s="204" t="s">
        <v>657</v>
      </c>
      <c r="AR28" s="205" t="s">
        <v>735</v>
      </c>
      <c r="AS28" s="180"/>
      <c r="AT28" s="202">
        <v>0.01</v>
      </c>
      <c r="AU28" s="203"/>
      <c r="AV28" s="204" t="s">
        <v>740</v>
      </c>
      <c r="AW28" s="205" t="s">
        <v>735</v>
      </c>
      <c r="AX28" s="180"/>
      <c r="AY28" s="202">
        <v>0.01</v>
      </c>
      <c r="AZ28" s="203"/>
      <c r="BA28" s="204" t="s">
        <v>656</v>
      </c>
      <c r="BB28" s="205" t="s">
        <v>748</v>
      </c>
      <c r="BC28" s="180"/>
      <c r="BD28" s="202">
        <v>0.01</v>
      </c>
      <c r="BE28" s="203"/>
      <c r="BF28" s="204" t="s">
        <v>705</v>
      </c>
      <c r="BG28" s="205" t="s">
        <v>735</v>
      </c>
      <c r="BH28" s="180"/>
      <c r="BI28" s="202">
        <v>0.01</v>
      </c>
      <c r="BJ28" s="203"/>
      <c r="BK28" s="204" t="s">
        <v>387</v>
      </c>
      <c r="BL28" s="205" t="s">
        <v>735</v>
      </c>
      <c r="BM28" s="180"/>
      <c r="BN28" s="202">
        <v>0.01</v>
      </c>
      <c r="BO28" s="203"/>
      <c r="BP28" s="204" t="s">
        <v>673</v>
      </c>
      <c r="BQ28" s="205" t="s">
        <v>735</v>
      </c>
      <c r="BR28" s="180"/>
      <c r="BS28" s="202">
        <v>0.01</v>
      </c>
      <c r="BT28" s="203"/>
      <c r="BU28" s="204" t="s">
        <v>719</v>
      </c>
      <c r="BV28" s="205" t="s">
        <v>735</v>
      </c>
      <c r="BW28" s="180"/>
      <c r="BX28" s="202">
        <v>0.01</v>
      </c>
      <c r="BY28" s="203"/>
      <c r="BZ28" s="204" t="s">
        <v>611</v>
      </c>
      <c r="CA28" s="205" t="s">
        <v>735</v>
      </c>
      <c r="CB28" s="180"/>
      <c r="CC28" s="202">
        <v>0.01</v>
      </c>
      <c r="CD28" s="203"/>
      <c r="CE28" s="204" t="s">
        <v>657</v>
      </c>
      <c r="CF28" s="205" t="s">
        <v>735</v>
      </c>
      <c r="CG28" s="180"/>
      <c r="CH28" s="202">
        <v>0.01</v>
      </c>
      <c r="CI28" s="203"/>
      <c r="CJ28" s="204" t="s">
        <v>695</v>
      </c>
      <c r="CK28" s="205" t="s">
        <v>735</v>
      </c>
      <c r="CL28" s="180"/>
      <c r="CM28" s="202">
        <v>0.01</v>
      </c>
      <c r="CN28" s="203"/>
      <c r="CO28" s="204" t="s">
        <v>720</v>
      </c>
      <c r="CP28" s="205" t="s">
        <v>735</v>
      </c>
      <c r="CQ28" s="180"/>
      <c r="CR28" s="202">
        <v>0.01</v>
      </c>
      <c r="CS28" s="203"/>
      <c r="CT28" s="204" t="s">
        <v>738</v>
      </c>
      <c r="CU28" s="205" t="s">
        <v>735</v>
      </c>
      <c r="CV28" s="180"/>
      <c r="CW28" s="202">
        <v>0.01</v>
      </c>
      <c r="CX28" s="203"/>
      <c r="CY28" s="204" t="s">
        <v>333</v>
      </c>
      <c r="CZ28" s="205" t="s">
        <v>735</v>
      </c>
      <c r="DA28" s="180"/>
      <c r="DB28" s="202">
        <v>0.01</v>
      </c>
      <c r="DC28" s="203"/>
      <c r="DD28" s="204" t="s">
        <v>703</v>
      </c>
      <c r="DE28" s="205" t="s">
        <v>735</v>
      </c>
      <c r="DF28" s="180"/>
      <c r="DG28" s="202">
        <v>0.01</v>
      </c>
      <c r="DH28" s="203"/>
      <c r="DI28" s="204" t="s">
        <v>740</v>
      </c>
      <c r="DJ28" s="205" t="s">
        <v>735</v>
      </c>
      <c r="DK28" s="180"/>
      <c r="DL28" s="202">
        <v>0.01</v>
      </c>
      <c r="DM28" s="203"/>
      <c r="DN28" s="204" t="s">
        <v>476</v>
      </c>
      <c r="DO28" s="205" t="s">
        <v>735</v>
      </c>
      <c r="DP28" s="181"/>
      <c r="DQ28" s="202">
        <v>0.01</v>
      </c>
      <c r="DR28" s="203"/>
      <c r="DS28" s="204" t="s">
        <v>749</v>
      </c>
      <c r="DT28" s="205" t="s">
        <v>735</v>
      </c>
      <c r="DU28" s="180"/>
      <c r="DV28" s="202">
        <v>0.01</v>
      </c>
      <c r="DW28" s="203"/>
      <c r="DX28" s="204" t="s">
        <v>657</v>
      </c>
      <c r="DY28" s="205" t="s">
        <v>735</v>
      </c>
      <c r="DZ28" s="180"/>
      <c r="EA28" s="107"/>
      <c r="EB28" s="180"/>
      <c r="EC28" s="202">
        <v>0.01</v>
      </c>
      <c r="ED28" s="203"/>
      <c r="EE28" s="204" t="s">
        <v>743</v>
      </c>
      <c r="EF28" s="205" t="s">
        <v>735</v>
      </c>
      <c r="EG28" s="180"/>
      <c r="EH28" s="202">
        <v>0.01</v>
      </c>
      <c r="EI28" s="203"/>
      <c r="EJ28" s="204" t="s">
        <v>743</v>
      </c>
      <c r="EK28" s="205" t="s">
        <v>150</v>
      </c>
      <c r="EL28" s="180"/>
      <c r="EM28" s="202">
        <v>0.01</v>
      </c>
      <c r="EN28" s="203"/>
      <c r="EO28" s="204" t="s">
        <v>746</v>
      </c>
      <c r="EP28" s="205" t="s">
        <v>150</v>
      </c>
      <c r="EQ28" s="180"/>
      <c r="ER28" s="202">
        <v>0.01</v>
      </c>
      <c r="ES28" s="203"/>
      <c r="ET28" s="204" t="s">
        <v>736</v>
      </c>
      <c r="EU28" s="205" t="s">
        <v>735</v>
      </c>
      <c r="EV28" s="180"/>
      <c r="EW28" s="202">
        <v>0.01</v>
      </c>
      <c r="EX28" s="203"/>
      <c r="EY28" s="204" t="s">
        <v>747</v>
      </c>
      <c r="EZ28" s="205" t="s">
        <v>150</v>
      </c>
      <c r="FA28" s="210"/>
      <c r="FB28" s="211"/>
    </row>
    <row r="29" ht="7.5" customHeight="1">
      <c r="A29" s="23"/>
      <c r="B29" s="217"/>
      <c r="C29" s="218"/>
      <c r="D29" s="218"/>
      <c r="E29" s="218"/>
      <c r="F29" s="219"/>
      <c r="G29" s="220"/>
      <c r="H29" s="220"/>
      <c r="I29" s="220"/>
      <c r="J29" s="218"/>
      <c r="K29" s="219"/>
      <c r="L29" s="220"/>
      <c r="M29" s="220"/>
      <c r="N29" s="220"/>
      <c r="O29" s="218"/>
      <c r="P29" s="219"/>
      <c r="Q29" s="220"/>
      <c r="R29" s="220"/>
      <c r="S29" s="220"/>
      <c r="T29" s="218"/>
      <c r="U29" s="219"/>
      <c r="V29" s="220"/>
      <c r="W29" s="220"/>
      <c r="X29" s="220"/>
      <c r="Y29" s="218"/>
      <c r="Z29" s="219"/>
      <c r="AA29" s="220"/>
      <c r="AB29" s="220"/>
      <c r="AC29" s="220"/>
      <c r="AD29" s="218"/>
      <c r="AE29" s="219"/>
      <c r="AF29" s="220"/>
      <c r="AG29" s="220"/>
      <c r="AH29" s="220"/>
      <c r="AI29" s="218"/>
      <c r="AJ29" s="219"/>
      <c r="AK29" s="220"/>
      <c r="AL29" s="220"/>
      <c r="AM29" s="220"/>
      <c r="AN29" s="218"/>
      <c r="AO29" s="219"/>
      <c r="AP29" s="220"/>
      <c r="AQ29" s="220"/>
      <c r="AR29" s="220"/>
      <c r="AS29" s="218"/>
      <c r="AT29" s="219"/>
      <c r="AU29" s="220"/>
      <c r="AV29" s="220"/>
      <c r="AW29" s="220"/>
      <c r="AX29" s="218"/>
      <c r="AY29" s="219"/>
      <c r="AZ29" s="220"/>
      <c r="BA29" s="220"/>
      <c r="BB29" s="220"/>
      <c r="BC29" s="218"/>
      <c r="BD29" s="219"/>
      <c r="BE29" s="220"/>
      <c r="BF29" s="220"/>
      <c r="BG29" s="220"/>
      <c r="BH29" s="218"/>
      <c r="BI29" s="219"/>
      <c r="BJ29" s="220"/>
      <c r="BK29" s="220"/>
      <c r="BL29" s="220"/>
      <c r="BM29" s="218"/>
      <c r="BN29" s="219"/>
      <c r="BO29" s="220"/>
      <c r="BP29" s="220"/>
      <c r="BQ29" s="220"/>
      <c r="BR29" s="218"/>
      <c r="BS29" s="219"/>
      <c r="BT29" s="220"/>
      <c r="BU29" s="220"/>
      <c r="BV29" s="220"/>
      <c r="BW29" s="218"/>
      <c r="BX29" s="219"/>
      <c r="BY29" s="220"/>
      <c r="BZ29" s="220"/>
      <c r="CA29" s="220"/>
      <c r="CB29" s="218"/>
      <c r="CC29" s="219"/>
      <c r="CD29" s="220"/>
      <c r="CE29" s="220"/>
      <c r="CF29" s="220"/>
      <c r="CG29" s="218"/>
      <c r="CH29" s="219"/>
      <c r="CI29" s="220"/>
      <c r="CJ29" s="220"/>
      <c r="CK29" s="220"/>
      <c r="CL29" s="218"/>
      <c r="CM29" s="219"/>
      <c r="CN29" s="220"/>
      <c r="CO29" s="220"/>
      <c r="CP29" s="220"/>
      <c r="CQ29" s="218"/>
      <c r="CR29" s="219"/>
      <c r="CS29" s="220"/>
      <c r="CT29" s="220"/>
      <c r="CU29" s="220"/>
      <c r="CV29" s="218"/>
      <c r="CW29" s="219"/>
      <c r="CX29" s="220"/>
      <c r="CY29" s="220"/>
      <c r="CZ29" s="220"/>
      <c r="DA29" s="218"/>
      <c r="DB29" s="219"/>
      <c r="DC29" s="220"/>
      <c r="DD29" s="220"/>
      <c r="DE29" s="220"/>
      <c r="DF29" s="218"/>
      <c r="DG29" s="219"/>
      <c r="DH29" s="220"/>
      <c r="DI29" s="220"/>
      <c r="DJ29" s="220"/>
      <c r="DK29" s="218"/>
      <c r="DL29" s="219"/>
      <c r="DM29" s="220"/>
      <c r="DN29" s="220"/>
      <c r="DO29" s="220"/>
      <c r="DP29" s="221"/>
      <c r="DQ29" s="219"/>
      <c r="DR29" s="220"/>
      <c r="DS29" s="220"/>
      <c r="DT29" s="220"/>
      <c r="DU29" s="218"/>
      <c r="DV29" s="219"/>
      <c r="DW29" s="220"/>
      <c r="DX29" s="220"/>
      <c r="DY29" s="220"/>
      <c r="DZ29" s="218"/>
      <c r="EA29" s="220"/>
      <c r="EB29" s="218"/>
      <c r="EC29" s="220"/>
      <c r="ED29" s="220"/>
      <c r="EE29" s="220"/>
      <c r="EF29" s="220"/>
      <c r="EG29" s="218"/>
      <c r="EH29" s="219"/>
      <c r="EI29" s="220"/>
      <c r="EJ29" s="220"/>
      <c r="EK29" s="220"/>
      <c r="EL29" s="218"/>
      <c r="EM29" s="219"/>
      <c r="EN29" s="220"/>
      <c r="EO29" s="220"/>
      <c r="EP29" s="220"/>
      <c r="EQ29" s="218"/>
      <c r="ER29" s="219"/>
      <c r="ES29" s="220"/>
      <c r="ET29" s="220"/>
      <c r="EU29" s="220"/>
      <c r="EV29" s="218"/>
      <c r="EW29" s="219"/>
      <c r="EX29" s="220"/>
      <c r="EY29" s="220"/>
      <c r="EZ29" s="220"/>
      <c r="FA29" s="222"/>
      <c r="FB29" s="29"/>
    </row>
    <row r="30" ht="7.5" customHeight="1">
      <c r="A30" s="19"/>
      <c r="B30" s="114"/>
      <c r="C30" s="114"/>
      <c r="D30" s="114"/>
      <c r="E30" s="114"/>
      <c r="F30" s="223"/>
      <c r="G30" s="114"/>
      <c r="H30" s="114"/>
      <c r="I30" s="114"/>
      <c r="J30" s="114"/>
      <c r="K30" s="223"/>
      <c r="L30" s="114"/>
      <c r="M30" s="114"/>
      <c r="N30" s="114"/>
      <c r="O30" s="114"/>
      <c r="P30" s="223"/>
      <c r="Q30" s="114"/>
      <c r="R30" s="114"/>
      <c r="S30" s="114"/>
      <c r="T30" s="114"/>
      <c r="U30" s="223"/>
      <c r="V30" s="114"/>
      <c r="W30" s="114"/>
      <c r="X30" s="114"/>
      <c r="Y30" s="114"/>
      <c r="Z30" s="223"/>
      <c r="AA30" s="114"/>
      <c r="AB30" s="114"/>
      <c r="AC30" s="114"/>
      <c r="AD30" s="114"/>
      <c r="AE30" s="223"/>
      <c r="AF30" s="114"/>
      <c r="AG30" s="114"/>
      <c r="AH30" s="114"/>
      <c r="AI30" s="114"/>
      <c r="AJ30" s="223"/>
      <c r="AK30" s="114"/>
      <c r="AL30" s="114"/>
      <c r="AM30" s="114"/>
      <c r="AN30" s="114"/>
      <c r="AO30" s="223"/>
      <c r="AP30" s="114"/>
      <c r="AQ30" s="114"/>
      <c r="AR30" s="114"/>
      <c r="AS30" s="114"/>
      <c r="AT30" s="223"/>
      <c r="AU30" s="114"/>
      <c r="AV30" s="114"/>
      <c r="AW30" s="114"/>
      <c r="AX30" s="114"/>
      <c r="AY30" s="223"/>
      <c r="AZ30" s="114"/>
      <c r="BA30" s="114"/>
      <c r="BB30" s="114"/>
      <c r="BC30" s="114"/>
      <c r="BD30" s="223"/>
      <c r="BE30" s="114"/>
      <c r="BF30" s="114"/>
      <c r="BG30" s="114"/>
      <c r="BH30" s="114"/>
      <c r="BI30" s="223"/>
      <c r="BJ30" s="114"/>
      <c r="BK30" s="114"/>
      <c r="BL30" s="114"/>
      <c r="BM30" s="114"/>
      <c r="BN30" s="223"/>
      <c r="BO30" s="114"/>
      <c r="BP30" s="114"/>
      <c r="BQ30" s="114"/>
      <c r="BR30" s="114"/>
      <c r="BS30" s="223"/>
      <c r="BT30" s="114"/>
      <c r="BU30" s="114"/>
      <c r="BV30" s="114"/>
      <c r="BW30" s="114"/>
      <c r="BX30" s="223"/>
      <c r="BY30" s="114"/>
      <c r="BZ30" s="114"/>
      <c r="CA30" s="114"/>
      <c r="CB30" s="114"/>
      <c r="CC30" s="223"/>
      <c r="CD30" s="114"/>
      <c r="CE30" s="114"/>
      <c r="CF30" s="114"/>
      <c r="CG30" s="114"/>
      <c r="CH30" s="223"/>
      <c r="CI30" s="114"/>
      <c r="CJ30" s="114"/>
      <c r="CK30" s="114"/>
      <c r="CL30" s="114"/>
      <c r="CM30" s="223"/>
      <c r="CN30" s="114"/>
      <c r="CO30" s="114"/>
      <c r="CP30" s="114"/>
      <c r="CQ30" s="114"/>
      <c r="CR30" s="223"/>
      <c r="CS30" s="114"/>
      <c r="CT30" s="114"/>
      <c r="CU30" s="114"/>
      <c r="CV30" s="114"/>
      <c r="CW30" s="223"/>
      <c r="CX30" s="114"/>
      <c r="CY30" s="114"/>
      <c r="CZ30" s="114"/>
      <c r="DA30" s="114"/>
      <c r="DB30" s="223"/>
      <c r="DC30" s="114"/>
      <c r="DD30" s="114"/>
      <c r="DE30" s="114"/>
      <c r="DF30" s="114"/>
      <c r="DG30" s="223"/>
      <c r="DH30" s="114"/>
      <c r="DI30" s="114"/>
      <c r="DJ30" s="114"/>
      <c r="DK30" s="114"/>
      <c r="DL30" s="223"/>
      <c r="DM30" s="114"/>
      <c r="DN30" s="114"/>
      <c r="DO30" s="114"/>
      <c r="DP30" s="114"/>
      <c r="DQ30" s="223"/>
      <c r="DR30" s="114"/>
      <c r="DS30" s="114"/>
      <c r="DT30" s="114"/>
      <c r="DU30" s="114"/>
      <c r="DV30" s="223"/>
      <c r="DW30" s="114"/>
      <c r="DX30" s="114"/>
      <c r="DY30" s="114"/>
      <c r="DZ30" s="114"/>
      <c r="EA30" s="114"/>
      <c r="EB30" s="114"/>
      <c r="EC30" s="114"/>
      <c r="ED30" s="114"/>
      <c r="EE30" s="114"/>
      <c r="EF30" s="114"/>
      <c r="EG30" s="114"/>
      <c r="EH30" s="223"/>
      <c r="EI30" s="114"/>
      <c r="EJ30" s="114"/>
      <c r="EK30" s="114"/>
      <c r="EL30" s="114"/>
      <c r="EM30" s="223"/>
      <c r="EN30" s="114"/>
      <c r="EO30" s="114"/>
      <c r="EP30" s="114"/>
      <c r="EQ30" s="114"/>
      <c r="ER30" s="223"/>
      <c r="ES30" s="114"/>
      <c r="ET30" s="114"/>
      <c r="EU30" s="114"/>
      <c r="EV30" s="114"/>
      <c r="EW30" s="223"/>
      <c r="EX30" s="114"/>
      <c r="EY30" s="114"/>
      <c r="EZ30" s="114"/>
      <c r="FA30" s="114"/>
      <c r="FB30" s="19"/>
    </row>
  </sheetData>
  <mergeCells count="245">
    <mergeCell ref="L3:N3"/>
    <mergeCell ref="V3:X3"/>
    <mergeCell ref="AF3:AH3"/>
    <mergeCell ref="C4:D4"/>
    <mergeCell ref="L4:M4"/>
    <mergeCell ref="V4:W4"/>
    <mergeCell ref="AF4:AG4"/>
    <mergeCell ref="CX14:CZ14"/>
    <mergeCell ref="DC14:DE14"/>
    <mergeCell ref="BO14:BQ14"/>
    <mergeCell ref="BT14:BV14"/>
    <mergeCell ref="BY14:CA14"/>
    <mergeCell ref="CD14:CF14"/>
    <mergeCell ref="CI14:CK14"/>
    <mergeCell ref="CN14:CP14"/>
    <mergeCell ref="CS14:CU14"/>
    <mergeCell ref="G14:I14"/>
    <mergeCell ref="G15:H15"/>
    <mergeCell ref="Q14:S14"/>
    <mergeCell ref="Q15:R15"/>
    <mergeCell ref="AA3:AC3"/>
    <mergeCell ref="AA4:AB4"/>
    <mergeCell ref="L14:N14"/>
    <mergeCell ref="V14:X14"/>
    <mergeCell ref="C15:D15"/>
    <mergeCell ref="L15:M15"/>
    <mergeCell ref="V15:W15"/>
    <mergeCell ref="CN15:CO15"/>
    <mergeCell ref="CS15:CT15"/>
    <mergeCell ref="CX15:CY15"/>
    <mergeCell ref="DC15:DD15"/>
    <mergeCell ref="BE15:BF15"/>
    <mergeCell ref="BJ15:BK15"/>
    <mergeCell ref="BO15:BP15"/>
    <mergeCell ref="BT15:BU15"/>
    <mergeCell ref="BY15:BZ15"/>
    <mergeCell ref="CD15:CE15"/>
    <mergeCell ref="CI15:CJ15"/>
    <mergeCell ref="CX23:CY23"/>
    <mergeCell ref="DC23:DD23"/>
    <mergeCell ref="BO23:BP23"/>
    <mergeCell ref="BT23:BU23"/>
    <mergeCell ref="BY23:BZ23"/>
    <mergeCell ref="CD23:CE23"/>
    <mergeCell ref="CI23:CJ23"/>
    <mergeCell ref="CN23:CO23"/>
    <mergeCell ref="CS23:CT23"/>
    <mergeCell ref="AF14:AH14"/>
    <mergeCell ref="AK14:AM14"/>
    <mergeCell ref="AP14:AR14"/>
    <mergeCell ref="AU14:AW14"/>
    <mergeCell ref="AZ14:BB14"/>
    <mergeCell ref="BE14:BG14"/>
    <mergeCell ref="BJ14:BL14"/>
    <mergeCell ref="AA14:AC14"/>
    <mergeCell ref="AA15:AB15"/>
    <mergeCell ref="AF15:AG15"/>
    <mergeCell ref="AK15:AL15"/>
    <mergeCell ref="AP15:AQ15"/>
    <mergeCell ref="AU15:AV15"/>
    <mergeCell ref="AZ15:BA15"/>
    <mergeCell ref="BY22:CA22"/>
    <mergeCell ref="CD22:CF22"/>
    <mergeCell ref="CI22:CK22"/>
    <mergeCell ref="CN22:CP22"/>
    <mergeCell ref="CS22:CU22"/>
    <mergeCell ref="CX22:CZ22"/>
    <mergeCell ref="DC22:DE22"/>
    <mergeCell ref="AP22:AR22"/>
    <mergeCell ref="AU22:AW22"/>
    <mergeCell ref="AZ22:BB22"/>
    <mergeCell ref="BE22:BG22"/>
    <mergeCell ref="BJ22:BL22"/>
    <mergeCell ref="BO22:BQ22"/>
    <mergeCell ref="BT22:BV22"/>
    <mergeCell ref="G22:I22"/>
    <mergeCell ref="G23:H23"/>
    <mergeCell ref="Q22:S22"/>
    <mergeCell ref="Q23:R23"/>
    <mergeCell ref="AK22:AM22"/>
    <mergeCell ref="AK23:AL23"/>
    <mergeCell ref="AP23:AQ23"/>
    <mergeCell ref="AU23:AV23"/>
    <mergeCell ref="AZ23:BA23"/>
    <mergeCell ref="BE23:BF23"/>
    <mergeCell ref="BJ23:BK23"/>
    <mergeCell ref="CX4:CY4"/>
    <mergeCell ref="DC4:DD4"/>
    <mergeCell ref="BO4:BP4"/>
    <mergeCell ref="BT4:BU4"/>
    <mergeCell ref="BY4:BZ4"/>
    <mergeCell ref="CD4:CE4"/>
    <mergeCell ref="CI4:CJ4"/>
    <mergeCell ref="CN4:CO4"/>
    <mergeCell ref="CS4:CT4"/>
    <mergeCell ref="G3:I3"/>
    <mergeCell ref="G4:H4"/>
    <mergeCell ref="G8:I8"/>
    <mergeCell ref="L8:N8"/>
    <mergeCell ref="C9:D9"/>
    <mergeCell ref="G9:H9"/>
    <mergeCell ref="L9:M9"/>
    <mergeCell ref="V8:X8"/>
    <mergeCell ref="V9:W9"/>
    <mergeCell ref="Q3:S3"/>
    <mergeCell ref="Q4:R4"/>
    <mergeCell ref="Q8:S8"/>
    <mergeCell ref="AA8:AC8"/>
    <mergeCell ref="AK8:AM8"/>
    <mergeCell ref="Q9:R9"/>
    <mergeCell ref="AA9:AB9"/>
    <mergeCell ref="AK9:AL9"/>
    <mergeCell ref="AF8:AH8"/>
    <mergeCell ref="AF9:AG9"/>
    <mergeCell ref="AP9:AQ9"/>
    <mergeCell ref="AU9:AV9"/>
    <mergeCell ref="AZ9:BA9"/>
    <mergeCell ref="BE9:BF9"/>
    <mergeCell ref="BJ9:BK9"/>
    <mergeCell ref="CX9:CY9"/>
    <mergeCell ref="DC9:DD9"/>
    <mergeCell ref="BO9:BP9"/>
    <mergeCell ref="BT9:BU9"/>
    <mergeCell ref="BY9:BZ9"/>
    <mergeCell ref="CD9:CE9"/>
    <mergeCell ref="CI9:CJ9"/>
    <mergeCell ref="CN9:CO9"/>
    <mergeCell ref="CS9:CT9"/>
    <mergeCell ref="EX8:EZ8"/>
    <mergeCell ref="EX9:EY9"/>
    <mergeCell ref="EI14:EK14"/>
    <mergeCell ref="EN14:EP14"/>
    <mergeCell ref="ES14:EU14"/>
    <mergeCell ref="EX14:EZ14"/>
    <mergeCell ref="EI15:EJ15"/>
    <mergeCell ref="EN15:EO15"/>
    <mergeCell ref="ES15:ET15"/>
    <mergeCell ref="EX15:EY15"/>
    <mergeCell ref="ED8:EF8"/>
    <mergeCell ref="EI8:EK8"/>
    <mergeCell ref="EN8:EP8"/>
    <mergeCell ref="ES8:EU8"/>
    <mergeCell ref="EI9:EJ9"/>
    <mergeCell ref="EN9:EO9"/>
    <mergeCell ref="ES9:ET9"/>
    <mergeCell ref="AP3:AR3"/>
    <mergeCell ref="AU3:AW3"/>
    <mergeCell ref="AZ3:BB3"/>
    <mergeCell ref="BE3:BG3"/>
    <mergeCell ref="BJ3:BL3"/>
    <mergeCell ref="BO3:BQ3"/>
    <mergeCell ref="BT3:BV3"/>
    <mergeCell ref="ED3:EF3"/>
    <mergeCell ref="EI3:EK3"/>
    <mergeCell ref="EN3:EP3"/>
    <mergeCell ref="ES3:EU3"/>
    <mergeCell ref="EX3:EZ3"/>
    <mergeCell ref="BY3:CA3"/>
    <mergeCell ref="CD3:CF3"/>
    <mergeCell ref="CI3:CK3"/>
    <mergeCell ref="CN3:CP3"/>
    <mergeCell ref="CS3:CU3"/>
    <mergeCell ref="CX3:CZ3"/>
    <mergeCell ref="DC3:DE3"/>
    <mergeCell ref="AK3:AM3"/>
    <mergeCell ref="AK4:AL4"/>
    <mergeCell ref="AP4:AQ4"/>
    <mergeCell ref="AU4:AV4"/>
    <mergeCell ref="AZ4:BA4"/>
    <mergeCell ref="BE4:BF4"/>
    <mergeCell ref="BJ4:BK4"/>
    <mergeCell ref="DW3:DY3"/>
    <mergeCell ref="DW4:DX4"/>
    <mergeCell ref="ED4:EE4"/>
    <mergeCell ref="EI4:EJ4"/>
    <mergeCell ref="EN4:EO4"/>
    <mergeCell ref="ES4:ET4"/>
    <mergeCell ref="EX4:EY4"/>
    <mergeCell ref="AP8:AR8"/>
    <mergeCell ref="AU8:AW8"/>
    <mergeCell ref="AZ8:BB8"/>
    <mergeCell ref="BE8:BG8"/>
    <mergeCell ref="BJ8:BL8"/>
    <mergeCell ref="BO8:BQ8"/>
    <mergeCell ref="BT8:BV8"/>
    <mergeCell ref="BY8:CA8"/>
    <mergeCell ref="CD8:CF8"/>
    <mergeCell ref="CI8:CK8"/>
    <mergeCell ref="CN8:CP8"/>
    <mergeCell ref="CS8:CU8"/>
    <mergeCell ref="CX8:CZ8"/>
    <mergeCell ref="DC8:DE8"/>
    <mergeCell ref="DH14:DJ14"/>
    <mergeCell ref="DM14:DO14"/>
    <mergeCell ref="DH22:DJ22"/>
    <mergeCell ref="DM22:DO22"/>
    <mergeCell ref="DR22:DT22"/>
    <mergeCell ref="DW22:DY22"/>
    <mergeCell ref="ED22:EF22"/>
    <mergeCell ref="EI22:EK22"/>
    <mergeCell ref="EN22:EP22"/>
    <mergeCell ref="ES22:EU22"/>
    <mergeCell ref="EX22:EZ22"/>
    <mergeCell ref="DH23:DI23"/>
    <mergeCell ref="DM23:DN23"/>
    <mergeCell ref="DR23:DS23"/>
    <mergeCell ref="DW23:DX23"/>
    <mergeCell ref="ED23:EE23"/>
    <mergeCell ref="EI23:EJ23"/>
    <mergeCell ref="EN23:EO23"/>
    <mergeCell ref="ES23:ET23"/>
    <mergeCell ref="EX23:EY23"/>
    <mergeCell ref="DH3:DJ3"/>
    <mergeCell ref="DM3:DO3"/>
    <mergeCell ref="DR3:DT3"/>
    <mergeCell ref="EA3:EA28"/>
    <mergeCell ref="DH4:DI4"/>
    <mergeCell ref="DM4:DN4"/>
    <mergeCell ref="DR4:DS4"/>
    <mergeCell ref="DH8:DJ8"/>
    <mergeCell ref="DM8:DO8"/>
    <mergeCell ref="DR8:DT8"/>
    <mergeCell ref="DW8:DY8"/>
    <mergeCell ref="DH9:DI9"/>
    <mergeCell ref="DM9:DN9"/>
    <mergeCell ref="DR9:DS9"/>
    <mergeCell ref="DW9:DX9"/>
    <mergeCell ref="ED9:EE9"/>
    <mergeCell ref="DR14:DT14"/>
    <mergeCell ref="DW14:DY14"/>
    <mergeCell ref="ED14:EF14"/>
    <mergeCell ref="DH15:DI15"/>
    <mergeCell ref="DM15:DN15"/>
    <mergeCell ref="DR15:DS15"/>
    <mergeCell ref="DW15:DX15"/>
    <mergeCell ref="ED15:EE15"/>
    <mergeCell ref="AA22:AC22"/>
    <mergeCell ref="AA23:AB23"/>
    <mergeCell ref="L22:N22"/>
    <mergeCell ref="V22:X22"/>
    <mergeCell ref="AF22:AH22"/>
    <mergeCell ref="C23:D23"/>
    <mergeCell ref="L23:M23"/>
    <mergeCell ref="V23:W23"/>
    <mergeCell ref="AF23:AG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2" width="1.38"/>
    <col customWidth="1" min="3" max="3" width="6.38"/>
    <col customWidth="1" min="4" max="4" width="5.13"/>
    <col customWidth="1" min="5" max="5" width="15.13"/>
    <col customWidth="1" min="6" max="6" width="6.38"/>
    <col customWidth="1" min="7" max="7" width="1.38"/>
    <col customWidth="1" min="8" max="8" width="6.38"/>
    <col customWidth="1" min="9" max="9" width="5.13"/>
    <col customWidth="1" min="10" max="10" width="15.13"/>
    <col customWidth="1" min="11" max="11" width="6.38"/>
    <col customWidth="1" min="12" max="12" width="1.38"/>
    <col customWidth="1" min="13" max="13" width="6.38"/>
    <col customWidth="1" min="14" max="14" width="5.13"/>
    <col customWidth="1" min="15" max="15" width="15.13"/>
    <col customWidth="1" min="16" max="16" width="6.38"/>
    <col customWidth="1" min="17" max="17" width="1.38"/>
    <col customWidth="1" min="18" max="18" width="6.38"/>
    <col customWidth="1" min="19" max="19" width="5.13"/>
    <col customWidth="1" min="20" max="20" width="15.13"/>
    <col customWidth="1" min="21" max="21" width="6.38"/>
    <col customWidth="1" min="22" max="22" width="1.38"/>
    <col customWidth="1" min="23" max="23" width="6.38"/>
    <col customWidth="1" min="24" max="24" width="5.13"/>
    <col customWidth="1" min="25" max="25" width="15.13"/>
    <col customWidth="1" min="26" max="26" width="6.38"/>
    <col customWidth="1" min="27" max="27" width="1.38"/>
    <col customWidth="1" min="28" max="28" width="6.38"/>
    <col customWidth="1" min="29" max="29" width="5.13"/>
    <col customWidth="1" min="30" max="30" width="15.13"/>
    <col customWidth="1" min="31" max="31" width="6.38"/>
    <col customWidth="1" min="32" max="33" width="1.38"/>
  </cols>
  <sheetData>
    <row r="1" ht="7.5" customHeight="1">
      <c r="A1" s="19"/>
      <c r="B1" s="20"/>
      <c r="C1" s="20"/>
      <c r="D1" s="20"/>
      <c r="E1" s="20"/>
      <c r="F1" s="20"/>
      <c r="G1" s="224"/>
      <c r="H1" s="20"/>
      <c r="I1" s="20"/>
      <c r="J1" s="20"/>
      <c r="K1" s="20"/>
      <c r="L1" s="224"/>
      <c r="M1" s="20"/>
      <c r="N1" s="20"/>
      <c r="O1" s="20"/>
      <c r="P1" s="20"/>
      <c r="Q1" s="224"/>
      <c r="R1" s="20"/>
      <c r="S1" s="20"/>
      <c r="T1" s="20"/>
      <c r="U1" s="20"/>
      <c r="V1" s="224"/>
      <c r="W1" s="20"/>
      <c r="X1" s="20"/>
      <c r="Y1" s="20"/>
      <c r="Z1" s="20"/>
      <c r="AA1" s="224"/>
      <c r="AB1" s="20"/>
      <c r="AC1" s="20"/>
      <c r="AD1" s="20"/>
      <c r="AE1" s="20"/>
      <c r="AF1" s="20"/>
      <c r="AG1" s="19"/>
    </row>
    <row r="2">
      <c r="A2" s="225"/>
      <c r="B2" s="226"/>
      <c r="C2" s="227" t="s">
        <v>750</v>
      </c>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9"/>
      <c r="AF2" s="230"/>
      <c r="AG2" s="231"/>
    </row>
    <row r="3" ht="26.25" customHeight="1">
      <c r="A3" s="30"/>
      <c r="B3" s="232"/>
      <c r="C3" s="166" t="str">
        <f>Source!$C5</f>
        <v/>
      </c>
      <c r="D3" s="167" t="s">
        <v>751</v>
      </c>
      <c r="E3" s="168"/>
      <c r="F3" s="169"/>
      <c r="G3" s="233"/>
      <c r="H3" s="166" t="str">
        <f>Source!$C9</f>
        <v/>
      </c>
      <c r="I3" s="167" t="s">
        <v>752</v>
      </c>
      <c r="J3" s="168"/>
      <c r="K3" s="169"/>
      <c r="L3" s="234"/>
      <c r="M3" s="166" t="str">
        <f>Source!$C17</f>
        <v/>
      </c>
      <c r="N3" s="167" t="s">
        <v>643</v>
      </c>
      <c r="O3" s="168"/>
      <c r="P3" s="169"/>
      <c r="Q3" s="234"/>
      <c r="R3" s="166" t="str">
        <f>Source!$C21</f>
        <v/>
      </c>
      <c r="S3" s="167" t="s">
        <v>682</v>
      </c>
      <c r="T3" s="168"/>
      <c r="U3" s="169"/>
      <c r="V3" s="234"/>
      <c r="W3" s="166" t="str">
        <f>Source!$C25</f>
        <v/>
      </c>
      <c r="X3" s="167" t="s">
        <v>708</v>
      </c>
      <c r="Y3" s="168"/>
      <c r="Z3" s="169"/>
      <c r="AA3" s="234"/>
      <c r="AB3" s="166" t="str">
        <f>Source!$C29</f>
        <v/>
      </c>
      <c r="AC3" s="167" t="s">
        <v>733</v>
      </c>
      <c r="AD3" s="168"/>
      <c r="AE3" s="169"/>
      <c r="AF3" s="235"/>
      <c r="AG3" s="43"/>
    </row>
    <row r="4" ht="15.0" customHeight="1">
      <c r="A4" s="134"/>
      <c r="B4" s="236"/>
      <c r="C4" s="174" t="s">
        <v>80</v>
      </c>
      <c r="D4" s="140" t="s">
        <v>81</v>
      </c>
      <c r="E4" s="48"/>
      <c r="F4" s="175" t="s">
        <v>82</v>
      </c>
      <c r="G4" s="237"/>
      <c r="H4" s="174" t="s">
        <v>80</v>
      </c>
      <c r="I4" s="140" t="s">
        <v>81</v>
      </c>
      <c r="J4" s="48"/>
      <c r="K4" s="175" t="s">
        <v>82</v>
      </c>
      <c r="L4" s="138"/>
      <c r="M4" s="174" t="s">
        <v>80</v>
      </c>
      <c r="N4" s="140" t="s">
        <v>81</v>
      </c>
      <c r="O4" s="48"/>
      <c r="P4" s="175" t="s">
        <v>82</v>
      </c>
      <c r="Q4" s="138"/>
      <c r="R4" s="174" t="s">
        <v>80</v>
      </c>
      <c r="S4" s="140" t="s">
        <v>81</v>
      </c>
      <c r="T4" s="48"/>
      <c r="U4" s="175" t="s">
        <v>82</v>
      </c>
      <c r="V4" s="138"/>
      <c r="W4" s="174" t="s">
        <v>80</v>
      </c>
      <c r="X4" s="140" t="s">
        <v>81</v>
      </c>
      <c r="Y4" s="48"/>
      <c r="Z4" s="175" t="s">
        <v>82</v>
      </c>
      <c r="AA4" s="138"/>
      <c r="AB4" s="174" t="s">
        <v>80</v>
      </c>
      <c r="AC4" s="140" t="s">
        <v>81</v>
      </c>
      <c r="AD4" s="48"/>
      <c r="AE4" s="175" t="s">
        <v>82</v>
      </c>
      <c r="AF4" s="238"/>
      <c r="AG4" s="239"/>
    </row>
    <row r="5" ht="23.25" customHeight="1">
      <c r="A5" s="23"/>
      <c r="B5" s="240"/>
      <c r="C5" s="241">
        <v>0.2</v>
      </c>
      <c r="D5" s="56" t="str">
        <f t="array" ref="D5:D16">IFERROR(VLOOKUP(E5:E16,Dex!$B$3:$N86,2,FALSE),"")</f>
        <v/>
      </c>
      <c r="E5" s="57" t="s">
        <v>753</v>
      </c>
      <c r="F5" s="242" t="s">
        <v>125</v>
      </c>
      <c r="G5" s="243"/>
      <c r="H5" s="241">
        <v>0.2</v>
      </c>
      <c r="I5" s="56" t="str">
        <f t="array" ref="I5:I16">IFERROR(VLOOKUP(J5:J16,Dex!$B$3:$N86,2,FALSE),"")</f>
        <v/>
      </c>
      <c r="J5" s="57" t="s">
        <v>753</v>
      </c>
      <c r="K5" s="242" t="s">
        <v>125</v>
      </c>
      <c r="L5" s="244"/>
      <c r="M5" s="178">
        <v>0.7</v>
      </c>
      <c r="N5" s="150" t="str">
        <f t="array" ref="N5:N6">IFERROR(VLOOKUP(O5:O6,Dex!$B$3:$N86,2,FALSE),"")</f>
        <v/>
      </c>
      <c r="O5" s="151" t="s">
        <v>658</v>
      </c>
      <c r="P5" s="179">
        <v>44231.0</v>
      </c>
      <c r="Q5" s="244"/>
      <c r="R5" s="245">
        <v>0.6</v>
      </c>
      <c r="S5" s="150" t="str">
        <f t="array" ref="S5:S7">IFERROR(VLOOKUP(T5:T7,Dex!$B$3:$N86,2,FALSE),"")</f>
        <v/>
      </c>
      <c r="T5" s="151" t="s">
        <v>697</v>
      </c>
      <c r="U5" s="179" t="s">
        <v>108</v>
      </c>
      <c r="V5" s="244"/>
      <c r="W5" s="190">
        <v>0.4</v>
      </c>
      <c r="X5" s="80" t="str">
        <f t="array" ref="X5:X9">IFERROR(VLOOKUP(Y5:Y9,Dex!$B$3:$N86,2,FALSE),"")</f>
        <v/>
      </c>
      <c r="Y5" s="57" t="s">
        <v>717</v>
      </c>
      <c r="Z5" s="242" t="s">
        <v>711</v>
      </c>
      <c r="AA5" s="244"/>
      <c r="AB5" s="190">
        <v>0.6</v>
      </c>
      <c r="AC5" s="206" t="str">
        <f t="array" ref="AC5:AC9">IFERROR(VLOOKUP(AD5:AD9,Dex!$B$3:$N86,2,FALSE),"")</f>
        <v/>
      </c>
      <c r="AD5" s="246" t="s">
        <v>689</v>
      </c>
      <c r="AE5" s="247" t="s">
        <v>735</v>
      </c>
      <c r="AF5" s="248"/>
      <c r="AG5" s="29"/>
    </row>
    <row r="6" ht="23.25" customHeight="1">
      <c r="A6" s="23"/>
      <c r="B6" s="240"/>
      <c r="C6" s="190">
        <v>0.2</v>
      </c>
      <c r="D6" s="63"/>
      <c r="E6" s="64" t="s">
        <v>754</v>
      </c>
      <c r="F6" s="249" t="s">
        <v>125</v>
      </c>
      <c r="G6" s="243"/>
      <c r="H6" s="190">
        <v>0.2</v>
      </c>
      <c r="I6" s="63"/>
      <c r="J6" s="64" t="s">
        <v>754</v>
      </c>
      <c r="K6" s="249" t="s">
        <v>125</v>
      </c>
      <c r="L6" s="244"/>
      <c r="M6" s="250">
        <v>0.3</v>
      </c>
      <c r="N6" s="158"/>
      <c r="O6" s="159" t="s">
        <v>662</v>
      </c>
      <c r="P6" s="251">
        <v>44231.0</v>
      </c>
      <c r="Q6" s="244"/>
      <c r="R6" s="252">
        <v>0.2</v>
      </c>
      <c r="S6" s="183"/>
      <c r="T6" s="253" t="s">
        <v>681</v>
      </c>
      <c r="U6" s="254" t="s">
        <v>108</v>
      </c>
      <c r="V6" s="244"/>
      <c r="W6" s="190">
        <v>0.4</v>
      </c>
      <c r="X6" s="63"/>
      <c r="Y6" s="255" t="s">
        <v>706</v>
      </c>
      <c r="Z6" s="249" t="s">
        <v>711</v>
      </c>
      <c r="AA6" s="244"/>
      <c r="AB6" s="256">
        <v>0.3</v>
      </c>
      <c r="AC6" s="257"/>
      <c r="AD6" s="258" t="s">
        <v>600</v>
      </c>
      <c r="AE6" s="259" t="s">
        <v>735</v>
      </c>
      <c r="AF6" s="248"/>
      <c r="AG6" s="29"/>
    </row>
    <row r="7" ht="23.25" customHeight="1">
      <c r="A7" s="23"/>
      <c r="B7" s="240"/>
      <c r="C7" s="260">
        <v>0.1</v>
      </c>
      <c r="D7" s="69"/>
      <c r="E7" s="70" t="s">
        <v>755</v>
      </c>
      <c r="F7" s="261" t="s">
        <v>125</v>
      </c>
      <c r="G7" s="243"/>
      <c r="H7" s="260">
        <v>0.1</v>
      </c>
      <c r="I7" s="69"/>
      <c r="J7" s="70" t="s">
        <v>756</v>
      </c>
      <c r="K7" s="261" t="s">
        <v>125</v>
      </c>
      <c r="L7" s="262"/>
      <c r="M7" s="263"/>
      <c r="N7" s="147"/>
      <c r="O7" s="147"/>
      <c r="P7" s="147"/>
      <c r="Q7" s="264"/>
      <c r="R7" s="186">
        <v>0.2</v>
      </c>
      <c r="S7" s="187"/>
      <c r="T7" s="265" t="s">
        <v>696</v>
      </c>
      <c r="U7" s="266" t="s">
        <v>108</v>
      </c>
      <c r="V7" s="244"/>
      <c r="W7" s="195">
        <v>0.15</v>
      </c>
      <c r="X7" s="196"/>
      <c r="Y7" s="267" t="s">
        <v>703</v>
      </c>
      <c r="Z7" s="268" t="s">
        <v>711</v>
      </c>
      <c r="AA7" s="244"/>
      <c r="AB7" s="269">
        <v>0.05</v>
      </c>
      <c r="AC7" s="206"/>
      <c r="AD7" s="246" t="s">
        <v>738</v>
      </c>
      <c r="AE7" s="247" t="s">
        <v>735</v>
      </c>
      <c r="AF7" s="248"/>
      <c r="AG7" s="29"/>
    </row>
    <row r="8" ht="23.25" customHeight="1">
      <c r="A8" s="23"/>
      <c r="B8" s="240"/>
      <c r="C8" s="270">
        <v>0.1</v>
      </c>
      <c r="D8" s="75"/>
      <c r="E8" s="76" t="s">
        <v>755</v>
      </c>
      <c r="F8" s="271" t="s">
        <v>125</v>
      </c>
      <c r="G8" s="243"/>
      <c r="H8" s="270">
        <v>0.1</v>
      </c>
      <c r="I8" s="75"/>
      <c r="J8" s="76" t="s">
        <v>756</v>
      </c>
      <c r="K8" s="271" t="s">
        <v>125</v>
      </c>
      <c r="L8" s="262"/>
      <c r="M8" s="272"/>
      <c r="N8" s="273"/>
      <c r="O8" s="274"/>
      <c r="P8" s="275"/>
      <c r="Q8" s="276"/>
      <c r="R8" s="263"/>
      <c r="S8" s="277"/>
      <c r="T8" s="278"/>
      <c r="U8" s="279"/>
      <c r="V8" s="264"/>
      <c r="W8" s="280">
        <v>0.04</v>
      </c>
      <c r="X8" s="281"/>
      <c r="Y8" s="282" t="s">
        <v>667</v>
      </c>
      <c r="Z8" s="283" t="s">
        <v>711</v>
      </c>
      <c r="AA8" s="244"/>
      <c r="AB8" s="284">
        <v>0.04</v>
      </c>
      <c r="AC8" s="257"/>
      <c r="AD8" s="258" t="s">
        <v>600</v>
      </c>
      <c r="AE8" s="259" t="s">
        <v>735</v>
      </c>
      <c r="AF8" s="248"/>
      <c r="AG8" s="29"/>
    </row>
    <row r="9" ht="23.25" customHeight="1">
      <c r="A9" s="23"/>
      <c r="B9" s="240"/>
      <c r="C9" s="270">
        <v>0.1</v>
      </c>
      <c r="D9" s="80"/>
      <c r="E9" s="81" t="s">
        <v>520</v>
      </c>
      <c r="F9" s="285" t="s">
        <v>125</v>
      </c>
      <c r="G9" s="243"/>
      <c r="H9" s="270">
        <v>0.1</v>
      </c>
      <c r="I9" s="80"/>
      <c r="J9" s="81" t="s">
        <v>520</v>
      </c>
      <c r="K9" s="285" t="s">
        <v>125</v>
      </c>
      <c r="L9" s="262"/>
      <c r="M9" s="286"/>
      <c r="N9" s="287"/>
      <c r="O9" s="275"/>
      <c r="P9" s="286"/>
      <c r="Q9" s="276"/>
      <c r="R9" s="286"/>
      <c r="S9" s="287"/>
      <c r="T9" s="275"/>
      <c r="U9" s="286"/>
      <c r="V9" s="264"/>
      <c r="W9" s="288">
        <v>0.01</v>
      </c>
      <c r="X9" s="289"/>
      <c r="Y9" s="290" t="s">
        <v>667</v>
      </c>
      <c r="Z9" s="291" t="s">
        <v>711</v>
      </c>
      <c r="AA9" s="244"/>
      <c r="AB9" s="288">
        <v>0.01</v>
      </c>
      <c r="AC9" s="289"/>
      <c r="AD9" s="292" t="s">
        <v>600</v>
      </c>
      <c r="AE9" s="291" t="s">
        <v>735</v>
      </c>
      <c r="AF9" s="248"/>
      <c r="AG9" s="29"/>
    </row>
    <row r="10" ht="23.25" customHeight="1">
      <c r="A10" s="23"/>
      <c r="B10" s="240"/>
      <c r="C10" s="293">
        <v>0.1</v>
      </c>
      <c r="D10" s="85"/>
      <c r="E10" s="86" t="s">
        <v>520</v>
      </c>
      <c r="F10" s="294" t="s">
        <v>125</v>
      </c>
      <c r="G10" s="243"/>
      <c r="H10" s="293">
        <v>0.1</v>
      </c>
      <c r="I10" s="85"/>
      <c r="J10" s="86" t="s">
        <v>520</v>
      </c>
      <c r="K10" s="294" t="s">
        <v>125</v>
      </c>
      <c r="L10" s="262"/>
      <c r="M10" s="295"/>
      <c r="N10" s="272"/>
      <c r="O10" s="296"/>
      <c r="P10" s="297"/>
      <c r="Q10" s="276"/>
      <c r="R10" s="295"/>
      <c r="S10" s="272"/>
      <c r="T10" s="296"/>
      <c r="U10" s="297"/>
      <c r="V10" s="276"/>
      <c r="W10" s="298"/>
      <c r="X10" s="263"/>
      <c r="Y10" s="299"/>
      <c r="Z10" s="300"/>
      <c r="AA10" s="262"/>
      <c r="AB10" s="298"/>
      <c r="AC10" s="263"/>
      <c r="AD10" s="299"/>
      <c r="AE10" s="300"/>
      <c r="AF10" s="301"/>
      <c r="AG10" s="29"/>
    </row>
    <row r="11" ht="23.25" customHeight="1">
      <c r="A11" s="23"/>
      <c r="B11" s="240"/>
      <c r="C11" s="302">
        <v>0.05</v>
      </c>
      <c r="D11" s="56"/>
      <c r="E11" s="57" t="s">
        <v>505</v>
      </c>
      <c r="F11" s="242" t="s">
        <v>125</v>
      </c>
      <c r="G11" s="243"/>
      <c r="H11" s="302">
        <v>0.05</v>
      </c>
      <c r="I11" s="56"/>
      <c r="J11" s="57" t="s">
        <v>505</v>
      </c>
      <c r="K11" s="242" t="s">
        <v>125</v>
      </c>
      <c r="L11" s="303"/>
      <c r="M11" s="304"/>
      <c r="N11" s="304"/>
      <c r="O11" s="304"/>
      <c r="P11" s="304"/>
      <c r="Q11" s="303"/>
      <c r="R11" s="304"/>
      <c r="S11" s="304"/>
      <c r="T11" s="304"/>
      <c r="U11" s="304"/>
      <c r="V11" s="303"/>
      <c r="W11" s="304"/>
      <c r="X11" s="304"/>
      <c r="Y11" s="304"/>
      <c r="Z11" s="304"/>
      <c r="AA11" s="303"/>
      <c r="AB11" s="304"/>
      <c r="AC11" s="304"/>
      <c r="AD11" s="304"/>
      <c r="AE11" s="304"/>
      <c r="AF11" s="301"/>
      <c r="AG11" s="29"/>
    </row>
    <row r="12" ht="23.25" customHeight="1">
      <c r="A12" s="23"/>
      <c r="B12" s="240"/>
      <c r="C12" s="305">
        <v>0.05</v>
      </c>
      <c r="D12" s="63"/>
      <c r="E12" s="64" t="s">
        <v>505</v>
      </c>
      <c r="F12" s="249" t="s">
        <v>125</v>
      </c>
      <c r="G12" s="243"/>
      <c r="H12" s="305">
        <v>0.05</v>
      </c>
      <c r="I12" s="63"/>
      <c r="J12" s="64" t="s">
        <v>505</v>
      </c>
      <c r="K12" s="249" t="s">
        <v>125</v>
      </c>
      <c r="L12" s="303"/>
      <c r="M12" s="304"/>
      <c r="N12" s="304"/>
      <c r="O12" s="304"/>
      <c r="P12" s="304"/>
      <c r="Q12" s="303"/>
      <c r="R12" s="304"/>
      <c r="S12" s="304"/>
      <c r="T12" s="304"/>
      <c r="U12" s="304"/>
      <c r="V12" s="303"/>
      <c r="W12" s="304"/>
      <c r="X12" s="304"/>
      <c r="Y12" s="304"/>
      <c r="Z12" s="304"/>
      <c r="AA12" s="303"/>
      <c r="AB12" s="304"/>
      <c r="AC12" s="304"/>
      <c r="AD12" s="304"/>
      <c r="AE12" s="304"/>
      <c r="AF12" s="301"/>
      <c r="AG12" s="29"/>
    </row>
    <row r="13" ht="23.25" customHeight="1">
      <c r="A13" s="23"/>
      <c r="B13" s="240"/>
      <c r="C13" s="306">
        <v>0.04</v>
      </c>
      <c r="D13" s="69"/>
      <c r="E13" s="70" t="s">
        <v>521</v>
      </c>
      <c r="F13" s="261" t="s">
        <v>125</v>
      </c>
      <c r="G13" s="243"/>
      <c r="H13" s="306">
        <v>0.04</v>
      </c>
      <c r="I13" s="69"/>
      <c r="J13" s="70" t="s">
        <v>119</v>
      </c>
      <c r="K13" s="261" t="s">
        <v>125</v>
      </c>
      <c r="L13" s="303"/>
      <c r="M13" s="304"/>
      <c r="N13" s="304"/>
      <c r="O13" s="304"/>
      <c r="P13" s="304"/>
      <c r="Q13" s="303"/>
      <c r="R13" s="304"/>
      <c r="S13" s="304"/>
      <c r="T13" s="304"/>
      <c r="U13" s="304"/>
      <c r="V13" s="303"/>
      <c r="W13" s="304"/>
      <c r="X13" s="304"/>
      <c r="Y13" s="304"/>
      <c r="Z13" s="304"/>
      <c r="AA13" s="303"/>
      <c r="AB13" s="304"/>
      <c r="AC13" s="304"/>
      <c r="AD13" s="304"/>
      <c r="AE13" s="304"/>
      <c r="AF13" s="301"/>
      <c r="AG13" s="29"/>
    </row>
    <row r="14" ht="23.25" customHeight="1">
      <c r="A14" s="23"/>
      <c r="B14" s="240"/>
      <c r="C14" s="307">
        <v>0.04</v>
      </c>
      <c r="D14" s="85"/>
      <c r="E14" s="86" t="s">
        <v>521</v>
      </c>
      <c r="F14" s="294" t="s">
        <v>125</v>
      </c>
      <c r="G14" s="243"/>
      <c r="H14" s="307">
        <v>0.04</v>
      </c>
      <c r="I14" s="85"/>
      <c r="J14" s="86" t="s">
        <v>119</v>
      </c>
      <c r="K14" s="294" t="s">
        <v>125</v>
      </c>
      <c r="L14" s="303"/>
      <c r="M14" s="304"/>
      <c r="N14" s="304"/>
      <c r="O14" s="304"/>
      <c r="P14" s="304"/>
      <c r="Q14" s="303"/>
      <c r="R14" s="304"/>
      <c r="S14" s="304"/>
      <c r="T14" s="304"/>
      <c r="U14" s="304"/>
      <c r="V14" s="303"/>
      <c r="W14" s="304"/>
      <c r="X14" s="304"/>
      <c r="Y14" s="304"/>
      <c r="Z14" s="304"/>
      <c r="AA14" s="303"/>
      <c r="AB14" s="304"/>
      <c r="AC14" s="304"/>
      <c r="AD14" s="304"/>
      <c r="AE14" s="304"/>
      <c r="AF14" s="301"/>
      <c r="AG14" s="29"/>
    </row>
    <row r="15" ht="23.25" customHeight="1">
      <c r="A15" s="23"/>
      <c r="B15" s="240"/>
      <c r="C15" s="308">
        <v>0.01</v>
      </c>
      <c r="D15" s="56"/>
      <c r="E15" s="57" t="s">
        <v>757</v>
      </c>
      <c r="F15" s="242" t="s">
        <v>125</v>
      </c>
      <c r="G15" s="243"/>
      <c r="H15" s="308">
        <v>0.01</v>
      </c>
      <c r="I15" s="56"/>
      <c r="J15" s="57" t="s">
        <v>757</v>
      </c>
      <c r="K15" s="242" t="s">
        <v>125</v>
      </c>
      <c r="L15" s="303"/>
      <c r="M15" s="304"/>
      <c r="N15" s="304"/>
      <c r="O15" s="304"/>
      <c r="P15" s="304"/>
      <c r="Q15" s="303"/>
      <c r="R15" s="304"/>
      <c r="S15" s="304"/>
      <c r="T15" s="304"/>
      <c r="U15" s="304"/>
      <c r="V15" s="303"/>
      <c r="W15" s="304"/>
      <c r="X15" s="304"/>
      <c r="Y15" s="304"/>
      <c r="Z15" s="304"/>
      <c r="AA15" s="303"/>
      <c r="AB15" s="304"/>
      <c r="AC15" s="304"/>
      <c r="AD15" s="304"/>
      <c r="AE15" s="304"/>
      <c r="AF15" s="301"/>
      <c r="AG15" s="29"/>
    </row>
    <row r="16" ht="24.0" customHeight="1">
      <c r="A16" s="23"/>
      <c r="B16" s="240"/>
      <c r="C16" s="309">
        <v>0.01</v>
      </c>
      <c r="D16" s="310"/>
      <c r="E16" s="311" t="s">
        <v>757</v>
      </c>
      <c r="F16" s="312" t="s">
        <v>125</v>
      </c>
      <c r="G16" s="243"/>
      <c r="H16" s="309">
        <v>0.01</v>
      </c>
      <c r="I16" s="310"/>
      <c r="J16" s="311" t="s">
        <v>757</v>
      </c>
      <c r="K16" s="312" t="s">
        <v>125</v>
      </c>
      <c r="L16" s="303"/>
      <c r="M16" s="304"/>
      <c r="N16" s="304"/>
      <c r="O16" s="304"/>
      <c r="P16" s="304"/>
      <c r="Q16" s="303"/>
      <c r="R16" s="304"/>
      <c r="S16" s="304"/>
      <c r="T16" s="304"/>
      <c r="U16" s="304"/>
      <c r="V16" s="303"/>
      <c r="W16" s="304"/>
      <c r="X16" s="304"/>
      <c r="Y16" s="304"/>
      <c r="Z16" s="304"/>
      <c r="AA16" s="303"/>
      <c r="AB16" s="304"/>
      <c r="AC16" s="304"/>
      <c r="AD16" s="304"/>
      <c r="AE16" s="304"/>
      <c r="AF16" s="301"/>
      <c r="AG16" s="29"/>
    </row>
    <row r="17" ht="7.5" customHeight="1">
      <c r="A17" s="23"/>
      <c r="B17" s="313"/>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314"/>
      <c r="AG17" s="29"/>
    </row>
    <row r="18" ht="7.5" customHeight="1">
      <c r="A18" s="23"/>
      <c r="B18" s="315"/>
      <c r="C18" s="315"/>
      <c r="D18" s="315"/>
      <c r="E18" s="315"/>
      <c r="F18" s="315"/>
      <c r="G18" s="315"/>
      <c r="H18" s="315"/>
      <c r="I18" s="315"/>
      <c r="J18" s="315"/>
      <c r="K18" s="315"/>
      <c r="L18" s="315"/>
      <c r="M18" s="315"/>
      <c r="N18" s="315"/>
      <c r="O18" s="315"/>
      <c r="P18" s="315"/>
      <c r="Q18" s="315"/>
      <c r="R18" s="315"/>
      <c r="S18" s="315"/>
      <c r="T18" s="315"/>
      <c r="U18" s="315"/>
      <c r="V18" s="315"/>
      <c r="W18" s="315"/>
      <c r="X18" s="315"/>
      <c r="Y18" s="315"/>
      <c r="Z18" s="315"/>
      <c r="AA18" s="315"/>
      <c r="AB18" s="315"/>
      <c r="AC18" s="315"/>
      <c r="AD18" s="315"/>
      <c r="AE18" s="315"/>
      <c r="AF18" s="315"/>
      <c r="AG18" s="23"/>
    </row>
    <row r="19">
      <c r="A19" s="225"/>
      <c r="B19" s="226"/>
      <c r="C19" s="227" t="s">
        <v>758</v>
      </c>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9"/>
      <c r="AF19" s="230"/>
      <c r="AG19" s="231"/>
    </row>
    <row r="20" ht="26.25" customHeight="1">
      <c r="A20" s="30"/>
      <c r="B20" s="232"/>
      <c r="C20" s="166" t="str">
        <f>Source!$C5</f>
        <v/>
      </c>
      <c r="D20" s="167" t="s">
        <v>751</v>
      </c>
      <c r="E20" s="168"/>
      <c r="F20" s="169"/>
      <c r="G20" s="233"/>
      <c r="H20" s="166" t="str">
        <f>Source!$C9</f>
        <v/>
      </c>
      <c r="I20" s="167" t="s">
        <v>752</v>
      </c>
      <c r="J20" s="168"/>
      <c r="K20" s="169"/>
      <c r="L20" s="234"/>
      <c r="M20" s="166" t="str">
        <f>Source!$C17</f>
        <v/>
      </c>
      <c r="N20" s="167" t="s">
        <v>643</v>
      </c>
      <c r="O20" s="168"/>
      <c r="P20" s="169"/>
      <c r="Q20" s="234"/>
      <c r="R20" s="166" t="str">
        <f>Source!$C21</f>
        <v/>
      </c>
      <c r="S20" s="167" t="s">
        <v>682</v>
      </c>
      <c r="T20" s="168"/>
      <c r="U20" s="169"/>
      <c r="V20" s="234"/>
      <c r="W20" s="166" t="str">
        <f>Source!$C25</f>
        <v/>
      </c>
      <c r="X20" s="167" t="s">
        <v>708</v>
      </c>
      <c r="Y20" s="168"/>
      <c r="Z20" s="169"/>
      <c r="AA20" s="234"/>
      <c r="AB20" s="166" t="str">
        <f>Source!$C29</f>
        <v/>
      </c>
      <c r="AC20" s="167" t="s">
        <v>733</v>
      </c>
      <c r="AD20" s="168"/>
      <c r="AE20" s="169"/>
      <c r="AF20" s="235"/>
      <c r="AG20" s="43"/>
    </row>
    <row r="21" ht="15.0" customHeight="1">
      <c r="A21" s="134"/>
      <c r="B21" s="236"/>
      <c r="C21" s="174" t="s">
        <v>80</v>
      </c>
      <c r="D21" s="140" t="s">
        <v>81</v>
      </c>
      <c r="E21" s="48"/>
      <c r="F21" s="175" t="s">
        <v>82</v>
      </c>
      <c r="G21" s="237"/>
      <c r="H21" s="174" t="s">
        <v>80</v>
      </c>
      <c r="I21" s="140" t="s">
        <v>81</v>
      </c>
      <c r="J21" s="48"/>
      <c r="K21" s="175" t="s">
        <v>82</v>
      </c>
      <c r="L21" s="138"/>
      <c r="M21" s="174" t="s">
        <v>80</v>
      </c>
      <c r="N21" s="140" t="s">
        <v>81</v>
      </c>
      <c r="O21" s="48"/>
      <c r="P21" s="175" t="s">
        <v>82</v>
      </c>
      <c r="Q21" s="138"/>
      <c r="R21" s="174" t="s">
        <v>80</v>
      </c>
      <c r="S21" s="140" t="s">
        <v>81</v>
      </c>
      <c r="T21" s="48"/>
      <c r="U21" s="175" t="s">
        <v>82</v>
      </c>
      <c r="V21" s="138"/>
      <c r="W21" s="174" t="s">
        <v>80</v>
      </c>
      <c r="X21" s="140" t="s">
        <v>81</v>
      </c>
      <c r="Y21" s="48"/>
      <c r="Z21" s="175" t="s">
        <v>82</v>
      </c>
      <c r="AA21" s="138"/>
      <c r="AB21" s="174" t="s">
        <v>80</v>
      </c>
      <c r="AC21" s="140" t="s">
        <v>81</v>
      </c>
      <c r="AD21" s="48"/>
      <c r="AE21" s="175" t="s">
        <v>82</v>
      </c>
      <c r="AF21" s="238"/>
      <c r="AG21" s="239"/>
    </row>
    <row r="22" ht="23.25" customHeight="1">
      <c r="A22" s="23"/>
      <c r="B22" s="240"/>
      <c r="C22" s="241">
        <v>0.2</v>
      </c>
      <c r="D22" s="56" t="str">
        <f t="array" ref="D22:D33">IFERROR(VLOOKUP(E22:E33,Dex!$B$3:$N86,2,FALSE),"")</f>
        <v/>
      </c>
      <c r="E22" s="57" t="s">
        <v>522</v>
      </c>
      <c r="F22" s="242" t="s">
        <v>125</v>
      </c>
      <c r="G22" s="243"/>
      <c r="H22" s="241">
        <v>0.2</v>
      </c>
      <c r="I22" s="56" t="str">
        <f t="array" ref="I22:I33">IFERROR(VLOOKUP(J22:J33,Dex!$B$3:$N86,2,FALSE),"")</f>
        <v/>
      </c>
      <c r="J22" s="57" t="s">
        <v>522</v>
      </c>
      <c r="K22" s="242" t="s">
        <v>125</v>
      </c>
      <c r="L22" s="244"/>
      <c r="M22" s="178">
        <v>0.7</v>
      </c>
      <c r="N22" s="150" t="str">
        <f t="array" ref="N22:N23">IFERROR(VLOOKUP(O22:O23,Dex!$B$3:$N86,2,FALSE),"")</f>
        <v/>
      </c>
      <c r="O22" s="151" t="s">
        <v>658</v>
      </c>
      <c r="P22" s="179">
        <v>44231.0</v>
      </c>
      <c r="Q22" s="244"/>
      <c r="R22" s="245">
        <v>0.6</v>
      </c>
      <c r="S22" s="150" t="str">
        <f t="array" ref="S22:S24">IFERROR(VLOOKUP(T22:T24,Dex!$B$3:$N86,2,FALSE),"")</f>
        <v/>
      </c>
      <c r="T22" s="151" t="s">
        <v>680</v>
      </c>
      <c r="U22" s="179" t="s">
        <v>108</v>
      </c>
      <c r="V22" s="244"/>
      <c r="W22" s="190">
        <v>0.4</v>
      </c>
      <c r="X22" s="80" t="str">
        <f t="array" ref="X22:X26">IFERROR(VLOOKUP(Y22:Y26,Dex!$B$3:$N86,2,FALSE),"")</f>
        <v/>
      </c>
      <c r="Y22" s="57" t="s">
        <v>726</v>
      </c>
      <c r="Z22" s="242" t="s">
        <v>711</v>
      </c>
      <c r="AA22" s="244"/>
      <c r="AB22" s="190">
        <v>0.6</v>
      </c>
      <c r="AC22" s="206" t="str">
        <f t="array" ref="AC22:AC26">IFERROR(VLOOKUP(AD22:AD26,Dex!$B$3:$N86,2,FALSE),"")</f>
        <v/>
      </c>
      <c r="AD22" s="246" t="s">
        <v>663</v>
      </c>
      <c r="AE22" s="247" t="s">
        <v>735</v>
      </c>
      <c r="AF22" s="248"/>
      <c r="AG22" s="29"/>
    </row>
    <row r="23" ht="23.25" customHeight="1">
      <c r="A23" s="23"/>
      <c r="B23" s="240"/>
      <c r="C23" s="190">
        <v>0.2</v>
      </c>
      <c r="D23" s="63"/>
      <c r="E23" s="64" t="s">
        <v>759</v>
      </c>
      <c r="F23" s="249" t="s">
        <v>125</v>
      </c>
      <c r="G23" s="243"/>
      <c r="H23" s="190">
        <v>0.2</v>
      </c>
      <c r="I23" s="63"/>
      <c r="J23" s="64" t="s">
        <v>759</v>
      </c>
      <c r="K23" s="249" t="s">
        <v>125</v>
      </c>
      <c r="L23" s="244"/>
      <c r="M23" s="250">
        <v>0.3</v>
      </c>
      <c r="N23" s="158"/>
      <c r="O23" s="159" t="s">
        <v>661</v>
      </c>
      <c r="P23" s="251">
        <v>44231.0</v>
      </c>
      <c r="Q23" s="244"/>
      <c r="R23" s="252">
        <v>0.2</v>
      </c>
      <c r="S23" s="183"/>
      <c r="T23" s="253" t="s">
        <v>716</v>
      </c>
      <c r="U23" s="254" t="s">
        <v>108</v>
      </c>
      <c r="V23" s="244"/>
      <c r="W23" s="190">
        <v>0.4</v>
      </c>
      <c r="X23" s="63"/>
      <c r="Y23" s="255" t="s">
        <v>722</v>
      </c>
      <c r="Z23" s="249" t="s">
        <v>711</v>
      </c>
      <c r="AA23" s="244"/>
      <c r="AB23" s="256">
        <v>0.3</v>
      </c>
      <c r="AC23" s="257"/>
      <c r="AD23" s="258" t="s">
        <v>720</v>
      </c>
      <c r="AE23" s="259" t="s">
        <v>735</v>
      </c>
      <c r="AF23" s="248"/>
      <c r="AG23" s="29"/>
    </row>
    <row r="24" ht="23.25" customHeight="1">
      <c r="A24" s="23"/>
      <c r="B24" s="240"/>
      <c r="C24" s="260">
        <v>0.1</v>
      </c>
      <c r="D24" s="69"/>
      <c r="E24" s="70" t="s">
        <v>760</v>
      </c>
      <c r="F24" s="261" t="s">
        <v>125</v>
      </c>
      <c r="G24" s="243"/>
      <c r="H24" s="260">
        <v>0.1</v>
      </c>
      <c r="I24" s="69"/>
      <c r="J24" s="70" t="s">
        <v>761</v>
      </c>
      <c r="K24" s="261" t="s">
        <v>125</v>
      </c>
      <c r="L24" s="262"/>
      <c r="M24" s="263"/>
      <c r="N24" s="147"/>
      <c r="O24" s="147"/>
      <c r="P24" s="147"/>
      <c r="Q24" s="264"/>
      <c r="R24" s="186">
        <v>0.2</v>
      </c>
      <c r="S24" s="187"/>
      <c r="T24" s="265" t="s">
        <v>679</v>
      </c>
      <c r="U24" s="266" t="s">
        <v>108</v>
      </c>
      <c r="V24" s="244"/>
      <c r="W24" s="195">
        <v>0.15</v>
      </c>
      <c r="X24" s="196"/>
      <c r="Y24" s="267" t="s">
        <v>762</v>
      </c>
      <c r="Z24" s="268" t="s">
        <v>711</v>
      </c>
      <c r="AA24" s="244"/>
      <c r="AB24" s="269">
        <v>0.05</v>
      </c>
      <c r="AC24" s="206"/>
      <c r="AD24" s="246" t="s">
        <v>731</v>
      </c>
      <c r="AE24" s="247" t="s">
        <v>735</v>
      </c>
      <c r="AF24" s="248"/>
      <c r="AG24" s="29"/>
    </row>
    <row r="25" ht="23.25" customHeight="1">
      <c r="A25" s="23"/>
      <c r="B25" s="240"/>
      <c r="C25" s="270">
        <v>0.1</v>
      </c>
      <c r="D25" s="75"/>
      <c r="E25" s="76" t="s">
        <v>763</v>
      </c>
      <c r="F25" s="271" t="s">
        <v>125</v>
      </c>
      <c r="G25" s="243"/>
      <c r="H25" s="270">
        <v>0.1</v>
      </c>
      <c r="I25" s="75"/>
      <c r="J25" s="76" t="s">
        <v>764</v>
      </c>
      <c r="K25" s="271" t="s">
        <v>125</v>
      </c>
      <c r="L25" s="262"/>
      <c r="M25" s="272"/>
      <c r="N25" s="273"/>
      <c r="O25" s="274"/>
      <c r="P25" s="275"/>
      <c r="Q25" s="276"/>
      <c r="R25" s="263"/>
      <c r="S25" s="277"/>
      <c r="T25" s="278"/>
      <c r="U25" s="279"/>
      <c r="V25" s="264"/>
      <c r="W25" s="280">
        <v>0.04</v>
      </c>
      <c r="X25" s="281"/>
      <c r="Y25" s="282" t="s">
        <v>730</v>
      </c>
      <c r="Z25" s="283" t="s">
        <v>711</v>
      </c>
      <c r="AA25" s="244"/>
      <c r="AB25" s="284">
        <v>0.04</v>
      </c>
      <c r="AC25" s="257"/>
      <c r="AD25" s="258" t="s">
        <v>417</v>
      </c>
      <c r="AE25" s="259" t="s">
        <v>735</v>
      </c>
      <c r="AF25" s="248"/>
      <c r="AG25" s="29"/>
    </row>
    <row r="26" ht="23.25" customHeight="1">
      <c r="A26" s="23"/>
      <c r="B26" s="240"/>
      <c r="C26" s="270">
        <v>0.1</v>
      </c>
      <c r="D26" s="80"/>
      <c r="E26" s="81" t="s">
        <v>765</v>
      </c>
      <c r="F26" s="285" t="s">
        <v>125</v>
      </c>
      <c r="G26" s="243"/>
      <c r="H26" s="270">
        <v>0.1</v>
      </c>
      <c r="I26" s="80"/>
      <c r="J26" s="81" t="s">
        <v>765</v>
      </c>
      <c r="K26" s="285" t="s">
        <v>125</v>
      </c>
      <c r="L26" s="262"/>
      <c r="M26" s="286"/>
      <c r="N26" s="287"/>
      <c r="O26" s="275"/>
      <c r="P26" s="286"/>
      <c r="Q26" s="276"/>
      <c r="R26" s="286"/>
      <c r="S26" s="287"/>
      <c r="T26" s="275"/>
      <c r="U26" s="286"/>
      <c r="V26" s="264"/>
      <c r="W26" s="288">
        <v>0.01</v>
      </c>
      <c r="X26" s="289"/>
      <c r="Y26" s="290" t="s">
        <v>730</v>
      </c>
      <c r="Z26" s="291" t="s">
        <v>711</v>
      </c>
      <c r="AA26" s="244"/>
      <c r="AB26" s="288">
        <v>0.01</v>
      </c>
      <c r="AC26" s="289"/>
      <c r="AD26" s="292" t="s">
        <v>417</v>
      </c>
      <c r="AE26" s="291" t="s">
        <v>735</v>
      </c>
      <c r="AF26" s="248"/>
      <c r="AG26" s="29"/>
    </row>
    <row r="27" ht="23.25" customHeight="1">
      <c r="A27" s="23"/>
      <c r="B27" s="240"/>
      <c r="C27" s="293">
        <v>0.1</v>
      </c>
      <c r="D27" s="85"/>
      <c r="E27" s="86" t="s">
        <v>765</v>
      </c>
      <c r="F27" s="294" t="s">
        <v>125</v>
      </c>
      <c r="G27" s="243"/>
      <c r="H27" s="293">
        <v>0.1</v>
      </c>
      <c r="I27" s="85"/>
      <c r="J27" s="86" t="s">
        <v>765</v>
      </c>
      <c r="K27" s="294" t="s">
        <v>125</v>
      </c>
      <c r="L27" s="262"/>
      <c r="M27" s="295"/>
      <c r="N27" s="272"/>
      <c r="O27" s="296"/>
      <c r="P27" s="297"/>
      <c r="Q27" s="276"/>
      <c r="R27" s="295"/>
      <c r="S27" s="272"/>
      <c r="T27" s="296"/>
      <c r="U27" s="297"/>
      <c r="V27" s="276"/>
      <c r="W27" s="298"/>
      <c r="X27" s="263"/>
      <c r="Y27" s="299"/>
      <c r="Z27" s="300"/>
      <c r="AA27" s="262"/>
      <c r="AB27" s="298"/>
      <c r="AC27" s="263"/>
      <c r="AD27" s="299"/>
      <c r="AE27" s="300"/>
      <c r="AF27" s="301"/>
      <c r="AG27" s="29"/>
    </row>
    <row r="28" ht="23.25" customHeight="1">
      <c r="A28" s="23"/>
      <c r="B28" s="240"/>
      <c r="C28" s="302">
        <v>0.05</v>
      </c>
      <c r="D28" s="56"/>
      <c r="E28" s="57" t="s">
        <v>766</v>
      </c>
      <c r="F28" s="242" t="s">
        <v>125</v>
      </c>
      <c r="G28" s="243"/>
      <c r="H28" s="302">
        <v>0.05</v>
      </c>
      <c r="I28" s="56"/>
      <c r="J28" s="57" t="s">
        <v>767</v>
      </c>
      <c r="K28" s="242" t="s">
        <v>125</v>
      </c>
      <c r="L28" s="303"/>
      <c r="M28" s="304"/>
      <c r="N28" s="304"/>
      <c r="O28" s="304"/>
      <c r="P28" s="304"/>
      <c r="Q28" s="303"/>
      <c r="R28" s="304"/>
      <c r="S28" s="304"/>
      <c r="T28" s="304"/>
      <c r="U28" s="304"/>
      <c r="V28" s="303"/>
      <c r="W28" s="304"/>
      <c r="X28" s="304"/>
      <c r="Y28" s="304"/>
      <c r="Z28" s="304"/>
      <c r="AA28" s="303"/>
      <c r="AB28" s="304"/>
      <c r="AC28" s="304"/>
      <c r="AD28" s="304"/>
      <c r="AE28" s="304"/>
      <c r="AF28" s="301"/>
      <c r="AG28" s="29"/>
    </row>
    <row r="29" ht="23.25" customHeight="1">
      <c r="A29" s="23"/>
      <c r="B29" s="240"/>
      <c r="C29" s="305">
        <v>0.05</v>
      </c>
      <c r="D29" s="63"/>
      <c r="E29" s="64" t="s">
        <v>766</v>
      </c>
      <c r="F29" s="249" t="s">
        <v>125</v>
      </c>
      <c r="G29" s="243"/>
      <c r="H29" s="305">
        <v>0.05</v>
      </c>
      <c r="I29" s="63"/>
      <c r="J29" s="64" t="s">
        <v>767</v>
      </c>
      <c r="K29" s="249" t="s">
        <v>125</v>
      </c>
      <c r="L29" s="303"/>
      <c r="M29" s="304"/>
      <c r="N29" s="304"/>
      <c r="O29" s="304"/>
      <c r="P29" s="304"/>
      <c r="Q29" s="303"/>
      <c r="R29" s="304"/>
      <c r="S29" s="304"/>
      <c r="T29" s="304"/>
      <c r="U29" s="304"/>
      <c r="V29" s="303"/>
      <c r="W29" s="304"/>
      <c r="X29" s="304"/>
      <c r="Y29" s="304"/>
      <c r="Z29" s="304"/>
      <c r="AA29" s="303"/>
      <c r="AB29" s="304"/>
      <c r="AC29" s="304"/>
      <c r="AD29" s="304"/>
      <c r="AE29" s="304"/>
      <c r="AF29" s="301"/>
      <c r="AG29" s="29"/>
    </row>
    <row r="30" ht="23.25" customHeight="1">
      <c r="A30" s="23"/>
      <c r="B30" s="240"/>
      <c r="C30" s="306">
        <v>0.04</v>
      </c>
      <c r="D30" s="69"/>
      <c r="E30" s="70" t="s">
        <v>347</v>
      </c>
      <c r="F30" s="261" t="s">
        <v>125</v>
      </c>
      <c r="G30" s="243"/>
      <c r="H30" s="306">
        <v>0.04</v>
      </c>
      <c r="I30" s="69"/>
      <c r="J30" s="70" t="s">
        <v>347</v>
      </c>
      <c r="K30" s="261" t="s">
        <v>125</v>
      </c>
      <c r="L30" s="303"/>
      <c r="M30" s="304"/>
      <c r="N30" s="304"/>
      <c r="O30" s="304"/>
      <c r="P30" s="304"/>
      <c r="Q30" s="303"/>
      <c r="R30" s="304"/>
      <c r="S30" s="304"/>
      <c r="T30" s="304"/>
      <c r="U30" s="304"/>
      <c r="V30" s="303"/>
      <c r="W30" s="304"/>
      <c r="X30" s="304"/>
      <c r="Y30" s="304"/>
      <c r="Z30" s="304"/>
      <c r="AA30" s="303"/>
      <c r="AB30" s="304"/>
      <c r="AC30" s="304"/>
      <c r="AD30" s="304"/>
      <c r="AE30" s="304"/>
      <c r="AF30" s="301"/>
      <c r="AG30" s="29"/>
    </row>
    <row r="31" ht="23.25" customHeight="1">
      <c r="A31" s="23"/>
      <c r="B31" s="240"/>
      <c r="C31" s="307">
        <v>0.04</v>
      </c>
      <c r="D31" s="85"/>
      <c r="E31" s="86" t="s">
        <v>347</v>
      </c>
      <c r="F31" s="294" t="s">
        <v>125</v>
      </c>
      <c r="G31" s="243"/>
      <c r="H31" s="307">
        <v>0.04</v>
      </c>
      <c r="I31" s="85"/>
      <c r="J31" s="86" t="s">
        <v>347</v>
      </c>
      <c r="K31" s="294" t="s">
        <v>125</v>
      </c>
      <c r="L31" s="303"/>
      <c r="M31" s="304"/>
      <c r="N31" s="304"/>
      <c r="O31" s="304"/>
      <c r="P31" s="304"/>
      <c r="Q31" s="303"/>
      <c r="R31" s="304"/>
      <c r="S31" s="304"/>
      <c r="T31" s="304"/>
      <c r="U31" s="304"/>
      <c r="V31" s="303"/>
      <c r="W31" s="304"/>
      <c r="X31" s="304"/>
      <c r="Y31" s="304"/>
      <c r="Z31" s="304"/>
      <c r="AA31" s="303"/>
      <c r="AB31" s="304"/>
      <c r="AC31" s="304"/>
      <c r="AD31" s="304"/>
      <c r="AE31" s="304"/>
      <c r="AF31" s="301"/>
      <c r="AG31" s="29"/>
    </row>
    <row r="32" ht="23.25" customHeight="1">
      <c r="A32" s="23"/>
      <c r="B32" s="240"/>
      <c r="C32" s="308">
        <v>0.01</v>
      </c>
      <c r="D32" s="56"/>
      <c r="E32" s="57" t="s">
        <v>768</v>
      </c>
      <c r="F32" s="242" t="s">
        <v>125</v>
      </c>
      <c r="G32" s="243"/>
      <c r="H32" s="308">
        <v>0.01</v>
      </c>
      <c r="I32" s="56"/>
      <c r="J32" s="57" t="s">
        <v>768</v>
      </c>
      <c r="K32" s="242" t="s">
        <v>125</v>
      </c>
      <c r="L32" s="303"/>
      <c r="M32" s="304"/>
      <c r="N32" s="304"/>
      <c r="O32" s="304"/>
      <c r="P32" s="304"/>
      <c r="Q32" s="303"/>
      <c r="R32" s="304"/>
      <c r="S32" s="304"/>
      <c r="T32" s="304"/>
      <c r="U32" s="304"/>
      <c r="V32" s="303"/>
      <c r="W32" s="304"/>
      <c r="X32" s="304"/>
      <c r="Y32" s="304"/>
      <c r="Z32" s="304"/>
      <c r="AA32" s="303"/>
      <c r="AB32" s="304"/>
      <c r="AC32" s="304"/>
      <c r="AD32" s="304"/>
      <c r="AE32" s="304"/>
      <c r="AF32" s="301"/>
      <c r="AG32" s="29"/>
    </row>
    <row r="33" ht="23.25" customHeight="1">
      <c r="A33" s="23"/>
      <c r="B33" s="240"/>
      <c r="C33" s="309">
        <v>0.01</v>
      </c>
      <c r="D33" s="310"/>
      <c r="E33" s="311" t="s">
        <v>768</v>
      </c>
      <c r="F33" s="312" t="s">
        <v>125</v>
      </c>
      <c r="G33" s="243"/>
      <c r="H33" s="309">
        <v>0.01</v>
      </c>
      <c r="I33" s="310"/>
      <c r="J33" s="311" t="s">
        <v>768</v>
      </c>
      <c r="K33" s="312" t="s">
        <v>125</v>
      </c>
      <c r="L33" s="303"/>
      <c r="M33" s="304"/>
      <c r="N33" s="304"/>
      <c r="O33" s="304"/>
      <c r="P33" s="304"/>
      <c r="Q33" s="303"/>
      <c r="R33" s="304"/>
      <c r="S33" s="304"/>
      <c r="T33" s="304"/>
      <c r="U33" s="304"/>
      <c r="V33" s="303"/>
      <c r="W33" s="304"/>
      <c r="X33" s="304"/>
      <c r="Y33" s="304"/>
      <c r="Z33" s="304"/>
      <c r="AA33" s="303"/>
      <c r="AB33" s="304"/>
      <c r="AC33" s="304"/>
      <c r="AD33" s="304"/>
      <c r="AE33" s="304"/>
      <c r="AF33" s="301"/>
      <c r="AG33" s="29"/>
    </row>
    <row r="34" ht="7.5" customHeight="1">
      <c r="A34" s="23"/>
      <c r="B34" s="313"/>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314"/>
      <c r="AG34" s="29"/>
    </row>
    <row r="35" ht="7.5" customHeight="1">
      <c r="A35" s="23"/>
      <c r="B35" s="315"/>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315"/>
      <c r="AA35" s="315"/>
      <c r="AB35" s="315"/>
      <c r="AC35" s="315"/>
      <c r="AD35" s="315"/>
      <c r="AE35" s="315"/>
      <c r="AF35" s="315"/>
      <c r="AG35" s="23"/>
    </row>
    <row r="36">
      <c r="A36" s="225"/>
      <c r="B36" s="226"/>
      <c r="C36" s="227" t="s">
        <v>769</v>
      </c>
      <c r="D36" s="228"/>
      <c r="E36" s="228"/>
      <c r="F36" s="228"/>
      <c r="G36" s="228"/>
      <c r="H36" s="228"/>
      <c r="I36" s="228"/>
      <c r="J36" s="228"/>
      <c r="K36" s="228"/>
      <c r="L36" s="228"/>
      <c r="M36" s="228"/>
      <c r="N36" s="228"/>
      <c r="O36" s="228"/>
      <c r="P36" s="228"/>
      <c r="Q36" s="228"/>
      <c r="R36" s="228"/>
      <c r="S36" s="228"/>
      <c r="T36" s="228"/>
      <c r="U36" s="228"/>
      <c r="V36" s="228"/>
      <c r="W36" s="228"/>
      <c r="X36" s="228"/>
      <c r="Y36" s="228"/>
      <c r="Z36" s="228"/>
      <c r="AA36" s="228"/>
      <c r="AB36" s="228"/>
      <c r="AC36" s="228"/>
      <c r="AD36" s="228"/>
      <c r="AE36" s="229"/>
      <c r="AF36" s="230"/>
      <c r="AG36" s="231"/>
    </row>
    <row r="37" ht="26.25" customHeight="1">
      <c r="A37" s="30"/>
      <c r="B37" s="232"/>
      <c r="C37" s="166" t="str">
        <f>Source!$C5</f>
        <v/>
      </c>
      <c r="D37" s="167" t="s">
        <v>751</v>
      </c>
      <c r="E37" s="168"/>
      <c r="F37" s="169"/>
      <c r="G37" s="233"/>
      <c r="H37" s="166" t="str">
        <f>Source!$C9</f>
        <v/>
      </c>
      <c r="I37" s="167" t="s">
        <v>752</v>
      </c>
      <c r="J37" s="168"/>
      <c r="K37" s="169"/>
      <c r="L37" s="234"/>
      <c r="M37" s="166" t="str">
        <f>Source!$C17</f>
        <v/>
      </c>
      <c r="N37" s="167" t="s">
        <v>643</v>
      </c>
      <c r="O37" s="168"/>
      <c r="P37" s="169"/>
      <c r="Q37" s="234"/>
      <c r="R37" s="166" t="str">
        <f>Source!$C21</f>
        <v/>
      </c>
      <c r="S37" s="167" t="s">
        <v>682</v>
      </c>
      <c r="T37" s="168"/>
      <c r="U37" s="169"/>
      <c r="V37" s="234"/>
      <c r="W37" s="166" t="str">
        <f>Source!$C25</f>
        <v/>
      </c>
      <c r="X37" s="167" t="s">
        <v>708</v>
      </c>
      <c r="Y37" s="168"/>
      <c r="Z37" s="169"/>
      <c r="AA37" s="234"/>
      <c r="AB37" s="166" t="str">
        <f>Source!$C29</f>
        <v/>
      </c>
      <c r="AC37" s="167" t="s">
        <v>733</v>
      </c>
      <c r="AD37" s="168"/>
      <c r="AE37" s="169"/>
      <c r="AF37" s="235"/>
      <c r="AG37" s="43"/>
    </row>
    <row r="38" ht="15.0" customHeight="1">
      <c r="A38" s="134"/>
      <c r="B38" s="236"/>
      <c r="C38" s="174" t="s">
        <v>80</v>
      </c>
      <c r="D38" s="140" t="s">
        <v>81</v>
      </c>
      <c r="E38" s="48"/>
      <c r="F38" s="175" t="s">
        <v>82</v>
      </c>
      <c r="G38" s="237"/>
      <c r="H38" s="174" t="s">
        <v>80</v>
      </c>
      <c r="I38" s="140" t="s">
        <v>81</v>
      </c>
      <c r="J38" s="48"/>
      <c r="K38" s="175" t="s">
        <v>82</v>
      </c>
      <c r="L38" s="138"/>
      <c r="M38" s="174" t="s">
        <v>80</v>
      </c>
      <c r="N38" s="140" t="s">
        <v>81</v>
      </c>
      <c r="O38" s="48"/>
      <c r="P38" s="175" t="s">
        <v>82</v>
      </c>
      <c r="Q38" s="138"/>
      <c r="R38" s="174" t="s">
        <v>80</v>
      </c>
      <c r="S38" s="140" t="s">
        <v>81</v>
      </c>
      <c r="T38" s="48"/>
      <c r="U38" s="175" t="s">
        <v>82</v>
      </c>
      <c r="V38" s="138"/>
      <c r="W38" s="174" t="s">
        <v>80</v>
      </c>
      <c r="X38" s="140" t="s">
        <v>81</v>
      </c>
      <c r="Y38" s="48"/>
      <c r="Z38" s="175" t="s">
        <v>82</v>
      </c>
      <c r="AA38" s="138"/>
      <c r="AB38" s="174" t="s">
        <v>80</v>
      </c>
      <c r="AC38" s="140" t="s">
        <v>81</v>
      </c>
      <c r="AD38" s="48"/>
      <c r="AE38" s="175" t="s">
        <v>82</v>
      </c>
      <c r="AF38" s="238"/>
      <c r="AG38" s="239"/>
    </row>
    <row r="39" ht="23.25" customHeight="1">
      <c r="A39" s="23"/>
      <c r="B39" s="240"/>
      <c r="C39" s="241">
        <v>0.2</v>
      </c>
      <c r="D39" s="56" t="str">
        <f t="array" ref="D39:D50">IFERROR(VLOOKUP(E39:E50,Dex!$B$3:$N86,2,FALSE),"")</f>
        <v/>
      </c>
      <c r="E39" s="57" t="s">
        <v>424</v>
      </c>
      <c r="F39" s="242" t="s">
        <v>125</v>
      </c>
      <c r="G39" s="243"/>
      <c r="H39" s="241">
        <v>0.2</v>
      </c>
      <c r="I39" s="56" t="str">
        <f t="array" ref="I39:I50">IFERROR(VLOOKUP(J39:J50,Dex!$B$3:$N86,2,FALSE),"")</f>
        <v/>
      </c>
      <c r="J39" s="57" t="s">
        <v>424</v>
      </c>
      <c r="K39" s="242" t="s">
        <v>125</v>
      </c>
      <c r="L39" s="244"/>
      <c r="M39" s="178">
        <v>0.7</v>
      </c>
      <c r="N39" s="150" t="str">
        <f t="array" ref="N39:N40">IFERROR(VLOOKUP(O39:O40,Dex!$B$3:$N86,2,FALSE),"")</f>
        <v/>
      </c>
      <c r="O39" s="151" t="s">
        <v>658</v>
      </c>
      <c r="P39" s="179">
        <v>44231.0</v>
      </c>
      <c r="Q39" s="244"/>
      <c r="R39" s="245">
        <v>0.6</v>
      </c>
      <c r="S39" s="150" t="str">
        <f t="array" ref="S39:S41">IFERROR(VLOOKUP(T39:T41,Dex!$B$3:$N86,2,FALSE),"")</f>
        <v/>
      </c>
      <c r="T39" s="151" t="s">
        <v>701</v>
      </c>
      <c r="U39" s="179" t="s">
        <v>108</v>
      </c>
      <c r="V39" s="244"/>
      <c r="W39" s="190">
        <v>0.4</v>
      </c>
      <c r="X39" s="80" t="str">
        <f t="array" ref="X39:X43">IFERROR(VLOOKUP(Y39:Y43,Dex!$B$3:$N86,2,FALSE),"")</f>
        <v/>
      </c>
      <c r="Y39" s="57" t="s">
        <v>476</v>
      </c>
      <c r="Z39" s="242" t="s">
        <v>711</v>
      </c>
      <c r="AA39" s="244"/>
      <c r="AB39" s="190">
        <v>0.6</v>
      </c>
      <c r="AC39" s="206" t="str">
        <f t="array" ref="AC39:AC43">IFERROR(VLOOKUP(AD39:AD43,Dex!$B$3:$N86,2,FALSE),"")</f>
        <v/>
      </c>
      <c r="AD39" s="246" t="s">
        <v>288</v>
      </c>
      <c r="AE39" s="247" t="s">
        <v>735</v>
      </c>
      <c r="AF39" s="248"/>
      <c r="AG39" s="29"/>
    </row>
    <row r="40" ht="23.25" customHeight="1">
      <c r="A40" s="23"/>
      <c r="B40" s="240"/>
      <c r="C40" s="190">
        <v>0.2</v>
      </c>
      <c r="D40" s="63"/>
      <c r="E40" s="64" t="s">
        <v>770</v>
      </c>
      <c r="F40" s="249" t="s">
        <v>125</v>
      </c>
      <c r="G40" s="243"/>
      <c r="H40" s="190">
        <v>0.2</v>
      </c>
      <c r="I40" s="63"/>
      <c r="J40" s="64" t="s">
        <v>770</v>
      </c>
      <c r="K40" s="249" t="s">
        <v>125</v>
      </c>
      <c r="L40" s="244"/>
      <c r="M40" s="250">
        <v>0.3</v>
      </c>
      <c r="N40" s="158"/>
      <c r="O40" s="159" t="s">
        <v>692</v>
      </c>
      <c r="P40" s="251">
        <v>44231.0</v>
      </c>
      <c r="Q40" s="244"/>
      <c r="R40" s="252">
        <v>0.2</v>
      </c>
      <c r="S40" s="183"/>
      <c r="T40" s="253" t="s">
        <v>662</v>
      </c>
      <c r="U40" s="254" t="s">
        <v>108</v>
      </c>
      <c r="V40" s="244"/>
      <c r="W40" s="190">
        <v>0.4</v>
      </c>
      <c r="X40" s="63"/>
      <c r="Y40" s="255" t="s">
        <v>690</v>
      </c>
      <c r="Z40" s="249" t="s">
        <v>711</v>
      </c>
      <c r="AA40" s="244"/>
      <c r="AB40" s="256">
        <v>0.3</v>
      </c>
      <c r="AC40" s="257"/>
      <c r="AD40" s="258" t="s">
        <v>725</v>
      </c>
      <c r="AE40" s="259" t="s">
        <v>735</v>
      </c>
      <c r="AF40" s="248"/>
      <c r="AG40" s="29"/>
    </row>
    <row r="41" ht="23.25" customHeight="1">
      <c r="A41" s="23"/>
      <c r="B41" s="240"/>
      <c r="C41" s="260">
        <v>0.1</v>
      </c>
      <c r="D41" s="69"/>
      <c r="E41" s="70" t="s">
        <v>771</v>
      </c>
      <c r="F41" s="261" t="s">
        <v>125</v>
      </c>
      <c r="G41" s="243"/>
      <c r="H41" s="260">
        <v>0.1</v>
      </c>
      <c r="I41" s="69"/>
      <c r="J41" s="70" t="s">
        <v>141</v>
      </c>
      <c r="K41" s="261" t="s">
        <v>125</v>
      </c>
      <c r="L41" s="262"/>
      <c r="M41" s="263"/>
      <c r="N41" s="147"/>
      <c r="O41" s="147"/>
      <c r="P41" s="147"/>
      <c r="Q41" s="264"/>
      <c r="R41" s="186">
        <v>0.2</v>
      </c>
      <c r="S41" s="187"/>
      <c r="T41" s="265" t="s">
        <v>687</v>
      </c>
      <c r="U41" s="266" t="s">
        <v>108</v>
      </c>
      <c r="V41" s="244"/>
      <c r="W41" s="195">
        <v>0.15</v>
      </c>
      <c r="X41" s="196"/>
      <c r="Y41" s="267" t="s">
        <v>677</v>
      </c>
      <c r="Z41" s="268" t="s">
        <v>711</v>
      </c>
      <c r="AA41" s="244"/>
      <c r="AB41" s="269">
        <v>0.05</v>
      </c>
      <c r="AC41" s="206"/>
      <c r="AD41" s="246" t="s">
        <v>513</v>
      </c>
      <c r="AE41" s="247" t="s">
        <v>735</v>
      </c>
      <c r="AF41" s="248"/>
      <c r="AG41" s="29"/>
    </row>
    <row r="42" ht="23.25" customHeight="1">
      <c r="A42" s="23"/>
      <c r="B42" s="240"/>
      <c r="C42" s="270">
        <v>0.1</v>
      </c>
      <c r="D42" s="75"/>
      <c r="E42" s="76" t="s">
        <v>771</v>
      </c>
      <c r="F42" s="271" t="s">
        <v>125</v>
      </c>
      <c r="G42" s="243"/>
      <c r="H42" s="270">
        <v>0.1</v>
      </c>
      <c r="I42" s="75"/>
      <c r="J42" s="76" t="s">
        <v>141</v>
      </c>
      <c r="K42" s="271" t="s">
        <v>125</v>
      </c>
      <c r="L42" s="262"/>
      <c r="M42" s="272"/>
      <c r="N42" s="273"/>
      <c r="O42" s="274"/>
      <c r="P42" s="275"/>
      <c r="Q42" s="276"/>
      <c r="R42" s="263"/>
      <c r="S42" s="277"/>
      <c r="T42" s="278"/>
      <c r="U42" s="279"/>
      <c r="V42" s="264"/>
      <c r="W42" s="280">
        <v>0.04</v>
      </c>
      <c r="X42" s="281"/>
      <c r="Y42" s="282" t="s">
        <v>665</v>
      </c>
      <c r="Z42" s="283" t="s">
        <v>711</v>
      </c>
      <c r="AA42" s="244"/>
      <c r="AB42" s="284">
        <v>0.04</v>
      </c>
      <c r="AC42" s="257"/>
      <c r="AD42" s="258" t="s">
        <v>513</v>
      </c>
      <c r="AE42" s="259" t="s">
        <v>735</v>
      </c>
      <c r="AF42" s="248"/>
      <c r="AG42" s="29"/>
    </row>
    <row r="43" ht="23.25" customHeight="1">
      <c r="A43" s="23"/>
      <c r="B43" s="240"/>
      <c r="C43" s="270">
        <v>0.1</v>
      </c>
      <c r="D43" s="80"/>
      <c r="E43" s="81" t="s">
        <v>772</v>
      </c>
      <c r="F43" s="285" t="s">
        <v>125</v>
      </c>
      <c r="G43" s="243"/>
      <c r="H43" s="270">
        <v>0.1</v>
      </c>
      <c r="I43" s="80"/>
      <c r="J43" s="81" t="s">
        <v>772</v>
      </c>
      <c r="K43" s="285" t="s">
        <v>125</v>
      </c>
      <c r="L43" s="262"/>
      <c r="M43" s="286"/>
      <c r="N43" s="287"/>
      <c r="O43" s="275"/>
      <c r="P43" s="286"/>
      <c r="Q43" s="276"/>
      <c r="R43" s="286"/>
      <c r="S43" s="287"/>
      <c r="T43" s="275"/>
      <c r="U43" s="286"/>
      <c r="V43" s="264"/>
      <c r="W43" s="288">
        <v>0.01</v>
      </c>
      <c r="X43" s="289"/>
      <c r="Y43" s="290" t="s">
        <v>665</v>
      </c>
      <c r="Z43" s="291" t="s">
        <v>711</v>
      </c>
      <c r="AA43" s="244"/>
      <c r="AB43" s="288">
        <v>0.01</v>
      </c>
      <c r="AC43" s="289"/>
      <c r="AD43" s="292" t="s">
        <v>513</v>
      </c>
      <c r="AE43" s="291" t="s">
        <v>735</v>
      </c>
      <c r="AF43" s="248"/>
      <c r="AG43" s="29"/>
    </row>
    <row r="44" ht="23.25" customHeight="1">
      <c r="A44" s="23"/>
      <c r="B44" s="240"/>
      <c r="C44" s="293">
        <v>0.1</v>
      </c>
      <c r="D44" s="85"/>
      <c r="E44" s="86" t="s">
        <v>772</v>
      </c>
      <c r="F44" s="294" t="s">
        <v>125</v>
      </c>
      <c r="G44" s="243"/>
      <c r="H44" s="293">
        <v>0.1</v>
      </c>
      <c r="I44" s="85"/>
      <c r="J44" s="86" t="s">
        <v>772</v>
      </c>
      <c r="K44" s="294" t="s">
        <v>125</v>
      </c>
      <c r="L44" s="262"/>
      <c r="M44" s="295"/>
      <c r="N44" s="272"/>
      <c r="O44" s="296"/>
      <c r="P44" s="297"/>
      <c r="Q44" s="276"/>
      <c r="R44" s="295"/>
      <c r="S44" s="272"/>
      <c r="T44" s="296"/>
      <c r="U44" s="297"/>
      <c r="V44" s="276"/>
      <c r="W44" s="298"/>
      <c r="X44" s="263"/>
      <c r="Y44" s="299"/>
      <c r="Z44" s="300"/>
      <c r="AA44" s="262"/>
      <c r="AB44" s="298"/>
      <c r="AC44" s="263"/>
      <c r="AD44" s="299"/>
      <c r="AE44" s="300"/>
      <c r="AF44" s="301"/>
      <c r="AG44" s="29"/>
    </row>
    <row r="45" ht="23.25" customHeight="1">
      <c r="A45" s="23"/>
      <c r="B45" s="240"/>
      <c r="C45" s="302">
        <v>0.05</v>
      </c>
      <c r="D45" s="56"/>
      <c r="E45" s="57" t="s">
        <v>408</v>
      </c>
      <c r="F45" s="242" t="s">
        <v>125</v>
      </c>
      <c r="G45" s="243"/>
      <c r="H45" s="302">
        <v>0.05</v>
      </c>
      <c r="I45" s="56"/>
      <c r="J45" s="57" t="s">
        <v>523</v>
      </c>
      <c r="K45" s="242" t="s">
        <v>125</v>
      </c>
      <c r="L45" s="303"/>
      <c r="M45" s="304"/>
      <c r="N45" s="304"/>
      <c r="O45" s="304"/>
      <c r="P45" s="304"/>
      <c r="Q45" s="303"/>
      <c r="R45" s="304"/>
      <c r="S45" s="304"/>
      <c r="T45" s="304"/>
      <c r="U45" s="304"/>
      <c r="V45" s="303"/>
      <c r="W45" s="304"/>
      <c r="X45" s="304"/>
      <c r="Y45" s="304"/>
      <c r="Z45" s="304"/>
      <c r="AA45" s="303"/>
      <c r="AB45" s="304"/>
      <c r="AC45" s="304"/>
      <c r="AD45" s="304"/>
      <c r="AE45" s="304"/>
      <c r="AF45" s="301"/>
      <c r="AG45" s="29"/>
    </row>
    <row r="46" ht="23.25" customHeight="1">
      <c r="A46" s="23"/>
      <c r="B46" s="240"/>
      <c r="C46" s="305">
        <v>0.05</v>
      </c>
      <c r="D46" s="63"/>
      <c r="E46" s="64" t="s">
        <v>408</v>
      </c>
      <c r="F46" s="249" t="s">
        <v>125</v>
      </c>
      <c r="G46" s="243"/>
      <c r="H46" s="305">
        <v>0.05</v>
      </c>
      <c r="I46" s="63"/>
      <c r="J46" s="64" t="s">
        <v>523</v>
      </c>
      <c r="K46" s="249" t="s">
        <v>125</v>
      </c>
      <c r="L46" s="303"/>
      <c r="M46" s="304"/>
      <c r="N46" s="304"/>
      <c r="O46" s="304"/>
      <c r="P46" s="304"/>
      <c r="Q46" s="303"/>
      <c r="R46" s="304"/>
      <c r="S46" s="304"/>
      <c r="T46" s="304"/>
      <c r="U46" s="304"/>
      <c r="V46" s="303"/>
      <c r="W46" s="304"/>
      <c r="X46" s="304"/>
      <c r="Y46" s="304"/>
      <c r="Z46" s="304"/>
      <c r="AA46" s="303"/>
      <c r="AB46" s="304"/>
      <c r="AC46" s="304"/>
      <c r="AD46" s="304"/>
      <c r="AE46" s="304"/>
      <c r="AF46" s="301"/>
      <c r="AG46" s="29"/>
    </row>
    <row r="47" ht="23.25" customHeight="1">
      <c r="A47" s="23"/>
      <c r="B47" s="240"/>
      <c r="C47" s="306">
        <v>0.04</v>
      </c>
      <c r="D47" s="69"/>
      <c r="E47" s="70" t="s">
        <v>773</v>
      </c>
      <c r="F47" s="261" t="s">
        <v>125</v>
      </c>
      <c r="G47" s="243"/>
      <c r="H47" s="306">
        <v>0.04</v>
      </c>
      <c r="I47" s="69"/>
      <c r="J47" s="70" t="s">
        <v>773</v>
      </c>
      <c r="K47" s="261" t="s">
        <v>125</v>
      </c>
      <c r="L47" s="303"/>
      <c r="M47" s="304"/>
      <c r="N47" s="304"/>
      <c r="O47" s="304"/>
      <c r="P47" s="304"/>
      <c r="Q47" s="303"/>
      <c r="R47" s="304"/>
      <c r="S47" s="304"/>
      <c r="T47" s="304"/>
      <c r="U47" s="304"/>
      <c r="V47" s="303"/>
      <c r="W47" s="304"/>
      <c r="X47" s="304"/>
      <c r="Y47" s="304"/>
      <c r="Z47" s="304"/>
      <c r="AA47" s="303"/>
      <c r="AB47" s="304"/>
      <c r="AC47" s="304"/>
      <c r="AD47" s="304"/>
      <c r="AE47" s="304"/>
      <c r="AF47" s="301"/>
      <c r="AG47" s="29"/>
    </row>
    <row r="48" ht="23.25" customHeight="1">
      <c r="A48" s="23"/>
      <c r="B48" s="240"/>
      <c r="C48" s="307">
        <v>0.04</v>
      </c>
      <c r="D48" s="85"/>
      <c r="E48" s="86" t="s">
        <v>773</v>
      </c>
      <c r="F48" s="294" t="s">
        <v>125</v>
      </c>
      <c r="G48" s="243"/>
      <c r="H48" s="307">
        <v>0.04</v>
      </c>
      <c r="I48" s="85"/>
      <c r="J48" s="86" t="s">
        <v>773</v>
      </c>
      <c r="K48" s="294" t="s">
        <v>125</v>
      </c>
      <c r="L48" s="303"/>
      <c r="M48" s="304"/>
      <c r="N48" s="304"/>
      <c r="O48" s="304"/>
      <c r="P48" s="304"/>
      <c r="Q48" s="303"/>
      <c r="R48" s="304"/>
      <c r="S48" s="304"/>
      <c r="T48" s="304"/>
      <c r="U48" s="304"/>
      <c r="V48" s="303"/>
      <c r="W48" s="304"/>
      <c r="X48" s="304"/>
      <c r="Y48" s="304"/>
      <c r="Z48" s="304"/>
      <c r="AA48" s="303"/>
      <c r="AB48" s="304"/>
      <c r="AC48" s="304"/>
      <c r="AD48" s="304"/>
      <c r="AE48" s="304"/>
      <c r="AF48" s="301"/>
      <c r="AG48" s="29"/>
    </row>
    <row r="49" ht="23.25" customHeight="1">
      <c r="A49" s="23"/>
      <c r="B49" s="240"/>
      <c r="C49" s="308">
        <v>0.01</v>
      </c>
      <c r="D49" s="56"/>
      <c r="E49" s="57" t="s">
        <v>495</v>
      </c>
      <c r="F49" s="242" t="s">
        <v>125</v>
      </c>
      <c r="G49" s="243"/>
      <c r="H49" s="308">
        <v>0.01</v>
      </c>
      <c r="I49" s="56"/>
      <c r="J49" s="57" t="s">
        <v>495</v>
      </c>
      <c r="K49" s="242" t="s">
        <v>125</v>
      </c>
      <c r="L49" s="303"/>
      <c r="M49" s="304"/>
      <c r="N49" s="304"/>
      <c r="O49" s="304"/>
      <c r="P49" s="304"/>
      <c r="Q49" s="303"/>
      <c r="R49" s="304"/>
      <c r="S49" s="304"/>
      <c r="T49" s="304"/>
      <c r="U49" s="304"/>
      <c r="V49" s="303"/>
      <c r="W49" s="304"/>
      <c r="X49" s="304"/>
      <c r="Y49" s="304"/>
      <c r="Z49" s="304"/>
      <c r="AA49" s="303"/>
      <c r="AB49" s="304"/>
      <c r="AC49" s="304"/>
      <c r="AD49" s="304"/>
      <c r="AE49" s="304"/>
      <c r="AF49" s="301"/>
      <c r="AG49" s="29"/>
    </row>
    <row r="50" ht="23.25" customHeight="1">
      <c r="A50" s="23"/>
      <c r="B50" s="240"/>
      <c r="C50" s="309">
        <v>0.01</v>
      </c>
      <c r="D50" s="310"/>
      <c r="E50" s="311" t="s">
        <v>495</v>
      </c>
      <c r="F50" s="312" t="s">
        <v>125</v>
      </c>
      <c r="G50" s="243"/>
      <c r="H50" s="309">
        <v>0.01</v>
      </c>
      <c r="I50" s="310"/>
      <c r="J50" s="311" t="s">
        <v>495</v>
      </c>
      <c r="K50" s="312" t="s">
        <v>125</v>
      </c>
      <c r="L50" s="303"/>
      <c r="M50" s="304"/>
      <c r="N50" s="304"/>
      <c r="O50" s="304"/>
      <c r="P50" s="304"/>
      <c r="Q50" s="303"/>
      <c r="R50" s="304"/>
      <c r="S50" s="304"/>
      <c r="T50" s="304"/>
      <c r="U50" s="304"/>
      <c r="V50" s="303"/>
      <c r="W50" s="304"/>
      <c r="X50" s="304"/>
      <c r="Y50" s="304"/>
      <c r="Z50" s="304"/>
      <c r="AA50" s="303"/>
      <c r="AB50" s="304"/>
      <c r="AC50" s="304"/>
      <c r="AD50" s="304"/>
      <c r="AE50" s="304"/>
      <c r="AF50" s="301"/>
      <c r="AG50" s="29"/>
    </row>
    <row r="51" ht="7.5" customHeight="1">
      <c r="A51" s="23"/>
      <c r="B51" s="313"/>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314"/>
      <c r="AG51" s="29"/>
    </row>
    <row r="52" ht="7.5" customHeight="1">
      <c r="A52" s="23"/>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23"/>
    </row>
    <row r="53">
      <c r="A53" s="225"/>
      <c r="B53" s="226"/>
      <c r="C53" s="227" t="s">
        <v>774</v>
      </c>
      <c r="D53" s="228"/>
      <c r="E53" s="228"/>
      <c r="F53" s="228"/>
      <c r="G53" s="228"/>
      <c r="H53" s="228"/>
      <c r="I53" s="228"/>
      <c r="J53" s="228"/>
      <c r="K53" s="228"/>
      <c r="L53" s="228"/>
      <c r="M53" s="228"/>
      <c r="N53" s="228"/>
      <c r="O53" s="228"/>
      <c r="P53" s="228"/>
      <c r="Q53" s="228"/>
      <c r="R53" s="228"/>
      <c r="S53" s="228"/>
      <c r="T53" s="228"/>
      <c r="U53" s="228"/>
      <c r="V53" s="228"/>
      <c r="W53" s="228"/>
      <c r="X53" s="228"/>
      <c r="Y53" s="228"/>
      <c r="Z53" s="228"/>
      <c r="AA53" s="228"/>
      <c r="AB53" s="228"/>
      <c r="AC53" s="228"/>
      <c r="AD53" s="228"/>
      <c r="AE53" s="229"/>
      <c r="AF53" s="230"/>
      <c r="AG53" s="231"/>
    </row>
    <row r="54" ht="26.25" customHeight="1">
      <c r="A54" s="30"/>
      <c r="B54" s="232"/>
      <c r="C54" s="166" t="str">
        <f>Source!$C5</f>
        <v/>
      </c>
      <c r="D54" s="167" t="s">
        <v>751</v>
      </c>
      <c r="E54" s="168"/>
      <c r="F54" s="169"/>
      <c r="G54" s="233"/>
      <c r="H54" s="166" t="str">
        <f>Source!$C9</f>
        <v/>
      </c>
      <c r="I54" s="167" t="s">
        <v>752</v>
      </c>
      <c r="J54" s="168"/>
      <c r="K54" s="169"/>
      <c r="L54" s="234"/>
      <c r="M54" s="166" t="str">
        <f>Source!$C17</f>
        <v/>
      </c>
      <c r="N54" s="167" t="s">
        <v>643</v>
      </c>
      <c r="O54" s="168"/>
      <c r="P54" s="169"/>
      <c r="Q54" s="234"/>
      <c r="R54" s="166" t="str">
        <f>Source!$C21</f>
        <v/>
      </c>
      <c r="S54" s="167" t="s">
        <v>682</v>
      </c>
      <c r="T54" s="168"/>
      <c r="U54" s="169"/>
      <c r="V54" s="234"/>
      <c r="W54" s="166" t="str">
        <f>Source!$C25</f>
        <v/>
      </c>
      <c r="X54" s="167" t="s">
        <v>708</v>
      </c>
      <c r="Y54" s="168"/>
      <c r="Z54" s="169"/>
      <c r="AA54" s="234"/>
      <c r="AB54" s="166" t="str">
        <f>Source!$C29</f>
        <v/>
      </c>
      <c r="AC54" s="167" t="s">
        <v>733</v>
      </c>
      <c r="AD54" s="168"/>
      <c r="AE54" s="169"/>
      <c r="AF54" s="235"/>
      <c r="AG54" s="43"/>
    </row>
    <row r="55" ht="15.0" customHeight="1">
      <c r="A55" s="134"/>
      <c r="B55" s="236"/>
      <c r="C55" s="174" t="s">
        <v>80</v>
      </c>
      <c r="D55" s="140" t="s">
        <v>81</v>
      </c>
      <c r="E55" s="48"/>
      <c r="F55" s="175" t="s">
        <v>82</v>
      </c>
      <c r="G55" s="237"/>
      <c r="H55" s="174" t="s">
        <v>80</v>
      </c>
      <c r="I55" s="140" t="s">
        <v>81</v>
      </c>
      <c r="J55" s="48"/>
      <c r="K55" s="175" t="s">
        <v>82</v>
      </c>
      <c r="L55" s="138"/>
      <c r="M55" s="174" t="s">
        <v>80</v>
      </c>
      <c r="N55" s="140" t="s">
        <v>81</v>
      </c>
      <c r="O55" s="48"/>
      <c r="P55" s="175" t="s">
        <v>82</v>
      </c>
      <c r="Q55" s="138"/>
      <c r="R55" s="174" t="s">
        <v>80</v>
      </c>
      <c r="S55" s="140" t="s">
        <v>81</v>
      </c>
      <c r="T55" s="48"/>
      <c r="U55" s="175" t="s">
        <v>82</v>
      </c>
      <c r="V55" s="138"/>
      <c r="W55" s="174" t="s">
        <v>80</v>
      </c>
      <c r="X55" s="140" t="s">
        <v>81</v>
      </c>
      <c r="Y55" s="48"/>
      <c r="Z55" s="175" t="s">
        <v>82</v>
      </c>
      <c r="AA55" s="138"/>
      <c r="AB55" s="174" t="s">
        <v>80</v>
      </c>
      <c r="AC55" s="140" t="s">
        <v>81</v>
      </c>
      <c r="AD55" s="48"/>
      <c r="AE55" s="175" t="s">
        <v>82</v>
      </c>
      <c r="AF55" s="238"/>
      <c r="AG55" s="239"/>
    </row>
    <row r="56" ht="23.25" customHeight="1">
      <c r="A56" s="23"/>
      <c r="B56" s="240"/>
      <c r="C56" s="241">
        <v>0.2</v>
      </c>
      <c r="D56" s="56" t="str">
        <f t="array" ref="D56:D67">IFERROR(VLOOKUP(E56:E67,Dex!$B$3:$N86,2,FALSE),"")</f>
        <v/>
      </c>
      <c r="E56" s="57" t="s">
        <v>775</v>
      </c>
      <c r="F56" s="242" t="s">
        <v>125</v>
      </c>
      <c r="G56" s="243"/>
      <c r="H56" s="241">
        <v>0.2</v>
      </c>
      <c r="I56" s="56" t="str">
        <f t="array" ref="I56:I67">IFERROR(VLOOKUP(J56:J67,Dex!$B$3:$N86,2,FALSE),"")</f>
        <v/>
      </c>
      <c r="J56" s="57" t="s">
        <v>775</v>
      </c>
      <c r="K56" s="242" t="s">
        <v>125</v>
      </c>
      <c r="L56" s="244"/>
      <c r="M56" s="178">
        <v>0.7</v>
      </c>
      <c r="N56" s="150" t="str">
        <f t="array" ref="N56:N57">IFERROR(VLOOKUP(O56:O57,Dex!$B$3:$N86,2,FALSE),"")</f>
        <v/>
      </c>
      <c r="O56" s="151" t="s">
        <v>658</v>
      </c>
      <c r="P56" s="179">
        <v>44231.0</v>
      </c>
      <c r="Q56" s="244"/>
      <c r="R56" s="245">
        <v>0.6</v>
      </c>
      <c r="S56" s="150" t="str">
        <f t="array" ref="S56:S58">IFERROR(VLOOKUP(T56:T58,Dex!$B$3:$N86,2,FALSE),"")</f>
        <v/>
      </c>
      <c r="T56" s="151" t="s">
        <v>697</v>
      </c>
      <c r="U56" s="179" t="s">
        <v>108</v>
      </c>
      <c r="V56" s="244"/>
      <c r="W56" s="190">
        <v>0.4</v>
      </c>
      <c r="X56" s="80" t="str">
        <f t="array" ref="X56:X60">IFERROR(VLOOKUP(Y56:Y60,Dex!$B$3:$N86,2,FALSE),"")</f>
        <v/>
      </c>
      <c r="Y56" s="57" t="s">
        <v>333</v>
      </c>
      <c r="Z56" s="242" t="s">
        <v>711</v>
      </c>
      <c r="AA56" s="244"/>
      <c r="AB56" s="190">
        <v>0.6</v>
      </c>
      <c r="AC56" s="206" t="str">
        <f t="array" ref="AC56:AC60">IFERROR(VLOOKUP(AD56:AD60,Dex!$B$3:$N86,2,FALSE),"")</f>
        <v/>
      </c>
      <c r="AD56" s="246" t="s">
        <v>718</v>
      </c>
      <c r="AE56" s="247" t="s">
        <v>735</v>
      </c>
      <c r="AF56" s="248"/>
      <c r="AG56" s="29"/>
    </row>
    <row r="57" ht="23.25" customHeight="1">
      <c r="A57" s="23"/>
      <c r="B57" s="240"/>
      <c r="C57" s="190">
        <v>0.2</v>
      </c>
      <c r="D57" s="63"/>
      <c r="E57" s="64" t="s">
        <v>775</v>
      </c>
      <c r="F57" s="249" t="s">
        <v>125</v>
      </c>
      <c r="G57" s="243"/>
      <c r="H57" s="190">
        <v>0.2</v>
      </c>
      <c r="I57" s="63"/>
      <c r="J57" s="64" t="s">
        <v>775</v>
      </c>
      <c r="K57" s="249" t="s">
        <v>125</v>
      </c>
      <c r="L57" s="244"/>
      <c r="M57" s="250">
        <v>0.3</v>
      </c>
      <c r="N57" s="158"/>
      <c r="O57" s="159" t="s">
        <v>674</v>
      </c>
      <c r="P57" s="251">
        <v>44231.0</v>
      </c>
      <c r="Q57" s="244"/>
      <c r="R57" s="252">
        <v>0.2</v>
      </c>
      <c r="S57" s="183"/>
      <c r="T57" s="253" t="s">
        <v>716</v>
      </c>
      <c r="U57" s="254" t="s">
        <v>108</v>
      </c>
      <c r="V57" s="244"/>
      <c r="W57" s="190">
        <v>0.4</v>
      </c>
      <c r="X57" s="63"/>
      <c r="Y57" s="255" t="s">
        <v>721</v>
      </c>
      <c r="Z57" s="249" t="s">
        <v>711</v>
      </c>
      <c r="AA57" s="244"/>
      <c r="AB57" s="256">
        <v>0.3</v>
      </c>
      <c r="AC57" s="257"/>
      <c r="AD57" s="258" t="s">
        <v>776</v>
      </c>
      <c r="AE57" s="259" t="s">
        <v>735</v>
      </c>
      <c r="AF57" s="248"/>
      <c r="AG57" s="29"/>
    </row>
    <row r="58" ht="23.25" customHeight="1">
      <c r="A58" s="23"/>
      <c r="B58" s="240"/>
      <c r="C58" s="260">
        <v>0.1</v>
      </c>
      <c r="D58" s="69"/>
      <c r="E58" s="70" t="s">
        <v>777</v>
      </c>
      <c r="F58" s="261" t="s">
        <v>125</v>
      </c>
      <c r="G58" s="243"/>
      <c r="H58" s="260">
        <v>0.1</v>
      </c>
      <c r="I58" s="69"/>
      <c r="J58" s="70" t="s">
        <v>778</v>
      </c>
      <c r="K58" s="261" t="s">
        <v>125</v>
      </c>
      <c r="L58" s="262"/>
      <c r="M58" s="263"/>
      <c r="N58" s="147"/>
      <c r="O58" s="147"/>
      <c r="P58" s="147"/>
      <c r="Q58" s="264"/>
      <c r="R58" s="186">
        <v>0.2</v>
      </c>
      <c r="S58" s="187"/>
      <c r="T58" s="265" t="s">
        <v>687</v>
      </c>
      <c r="U58" s="266" t="s">
        <v>108</v>
      </c>
      <c r="V58" s="244"/>
      <c r="W58" s="195">
        <v>0.15</v>
      </c>
      <c r="X58" s="196"/>
      <c r="Y58" s="267" t="s">
        <v>706</v>
      </c>
      <c r="Z58" s="268" t="s">
        <v>711</v>
      </c>
      <c r="AA58" s="244"/>
      <c r="AB58" s="269">
        <v>0.05</v>
      </c>
      <c r="AC58" s="206"/>
      <c r="AD58" s="246" t="s">
        <v>707</v>
      </c>
      <c r="AE58" s="247" t="s">
        <v>735</v>
      </c>
      <c r="AF58" s="248"/>
      <c r="AG58" s="29"/>
    </row>
    <row r="59" ht="23.25" customHeight="1">
      <c r="A59" s="23"/>
      <c r="B59" s="240"/>
      <c r="C59" s="270">
        <v>0.1</v>
      </c>
      <c r="D59" s="75"/>
      <c r="E59" s="76" t="s">
        <v>777</v>
      </c>
      <c r="F59" s="271" t="s">
        <v>125</v>
      </c>
      <c r="G59" s="243"/>
      <c r="H59" s="270">
        <v>0.1</v>
      </c>
      <c r="I59" s="75"/>
      <c r="J59" s="76" t="s">
        <v>778</v>
      </c>
      <c r="K59" s="271" t="s">
        <v>125</v>
      </c>
      <c r="L59" s="262"/>
      <c r="M59" s="272"/>
      <c r="N59" s="273"/>
      <c r="O59" s="274"/>
      <c r="P59" s="275"/>
      <c r="Q59" s="276"/>
      <c r="R59" s="263"/>
      <c r="S59" s="277"/>
      <c r="T59" s="278"/>
      <c r="U59" s="279"/>
      <c r="V59" s="264"/>
      <c r="W59" s="280">
        <v>0.04</v>
      </c>
      <c r="X59" s="281"/>
      <c r="Y59" s="282" t="s">
        <v>707</v>
      </c>
      <c r="Z59" s="283" t="s">
        <v>711</v>
      </c>
      <c r="AA59" s="244"/>
      <c r="AB59" s="284">
        <v>0.04</v>
      </c>
      <c r="AC59" s="257"/>
      <c r="AD59" s="258" t="s">
        <v>600</v>
      </c>
      <c r="AE59" s="259" t="s">
        <v>735</v>
      </c>
      <c r="AF59" s="248"/>
      <c r="AG59" s="29"/>
    </row>
    <row r="60" ht="23.25" customHeight="1">
      <c r="A60" s="23"/>
      <c r="B60" s="240"/>
      <c r="C60" s="270">
        <v>0.1</v>
      </c>
      <c r="D60" s="80"/>
      <c r="E60" s="81" t="s">
        <v>779</v>
      </c>
      <c r="F60" s="285" t="s">
        <v>125</v>
      </c>
      <c r="G60" s="243"/>
      <c r="H60" s="270">
        <v>0.1</v>
      </c>
      <c r="I60" s="80"/>
      <c r="J60" s="81" t="s">
        <v>779</v>
      </c>
      <c r="K60" s="285" t="s">
        <v>125</v>
      </c>
      <c r="L60" s="262"/>
      <c r="M60" s="286"/>
      <c r="N60" s="287"/>
      <c r="O60" s="275"/>
      <c r="P60" s="286"/>
      <c r="Q60" s="276"/>
      <c r="R60" s="286"/>
      <c r="S60" s="287"/>
      <c r="T60" s="275"/>
      <c r="U60" s="286"/>
      <c r="V60" s="264"/>
      <c r="W60" s="288">
        <v>0.01</v>
      </c>
      <c r="X60" s="289"/>
      <c r="Y60" s="290" t="s">
        <v>707</v>
      </c>
      <c r="Z60" s="291" t="s">
        <v>711</v>
      </c>
      <c r="AA60" s="244"/>
      <c r="AB60" s="288">
        <v>0.01</v>
      </c>
      <c r="AC60" s="289"/>
      <c r="AD60" s="292" t="s">
        <v>749</v>
      </c>
      <c r="AE60" s="291" t="s">
        <v>735</v>
      </c>
      <c r="AF60" s="248"/>
      <c r="AG60" s="29"/>
    </row>
    <row r="61" ht="23.25" customHeight="1">
      <c r="A61" s="23"/>
      <c r="B61" s="240"/>
      <c r="C61" s="293">
        <v>0.1</v>
      </c>
      <c r="D61" s="85"/>
      <c r="E61" s="86" t="s">
        <v>779</v>
      </c>
      <c r="F61" s="294" t="s">
        <v>125</v>
      </c>
      <c r="G61" s="243"/>
      <c r="H61" s="293">
        <v>0.1</v>
      </c>
      <c r="I61" s="85"/>
      <c r="J61" s="86" t="s">
        <v>779</v>
      </c>
      <c r="K61" s="294" t="s">
        <v>125</v>
      </c>
      <c r="L61" s="262"/>
      <c r="M61" s="295"/>
      <c r="N61" s="272"/>
      <c r="O61" s="296"/>
      <c r="P61" s="297"/>
      <c r="Q61" s="276"/>
      <c r="R61" s="295"/>
      <c r="S61" s="272"/>
      <c r="T61" s="296"/>
      <c r="U61" s="297"/>
      <c r="V61" s="276"/>
      <c r="W61" s="298"/>
      <c r="X61" s="263"/>
      <c r="Y61" s="299"/>
      <c r="Z61" s="300"/>
      <c r="AA61" s="262"/>
      <c r="AB61" s="298"/>
      <c r="AC61" s="263"/>
      <c r="AD61" s="299"/>
      <c r="AE61" s="300"/>
      <c r="AF61" s="301"/>
      <c r="AG61" s="29"/>
    </row>
    <row r="62" ht="23.25" customHeight="1">
      <c r="A62" s="23"/>
      <c r="B62" s="240"/>
      <c r="C62" s="302">
        <v>0.05</v>
      </c>
      <c r="D62" s="56"/>
      <c r="E62" s="57" t="s">
        <v>780</v>
      </c>
      <c r="F62" s="242" t="s">
        <v>125</v>
      </c>
      <c r="G62" s="243"/>
      <c r="H62" s="302">
        <v>0.05</v>
      </c>
      <c r="I62" s="56"/>
      <c r="J62" s="57" t="s">
        <v>780</v>
      </c>
      <c r="K62" s="242" t="s">
        <v>125</v>
      </c>
      <c r="L62" s="303"/>
      <c r="M62" s="304"/>
      <c r="N62" s="304"/>
      <c r="O62" s="304"/>
      <c r="P62" s="304"/>
      <c r="Q62" s="303"/>
      <c r="R62" s="304"/>
      <c r="S62" s="304"/>
      <c r="T62" s="304"/>
      <c r="U62" s="304"/>
      <c r="V62" s="303"/>
      <c r="W62" s="304"/>
      <c r="X62" s="304"/>
      <c r="Y62" s="304"/>
      <c r="Z62" s="304"/>
      <c r="AA62" s="303"/>
      <c r="AB62" s="304"/>
      <c r="AC62" s="304"/>
      <c r="AD62" s="304"/>
      <c r="AE62" s="304"/>
      <c r="AF62" s="301"/>
      <c r="AG62" s="29"/>
    </row>
    <row r="63" ht="23.25" customHeight="1">
      <c r="A63" s="23"/>
      <c r="B63" s="240"/>
      <c r="C63" s="305">
        <v>0.05</v>
      </c>
      <c r="D63" s="63"/>
      <c r="E63" s="64" t="s">
        <v>780</v>
      </c>
      <c r="F63" s="249" t="s">
        <v>125</v>
      </c>
      <c r="G63" s="243"/>
      <c r="H63" s="305">
        <v>0.05</v>
      </c>
      <c r="I63" s="63"/>
      <c r="J63" s="64" t="s">
        <v>780</v>
      </c>
      <c r="K63" s="249" t="s">
        <v>125</v>
      </c>
      <c r="L63" s="303"/>
      <c r="M63" s="304"/>
      <c r="N63" s="304"/>
      <c r="O63" s="304"/>
      <c r="P63" s="304"/>
      <c r="Q63" s="303"/>
      <c r="R63" s="304"/>
      <c r="S63" s="304"/>
      <c r="T63" s="304"/>
      <c r="U63" s="304"/>
      <c r="V63" s="303"/>
      <c r="W63" s="304"/>
      <c r="X63" s="304"/>
      <c r="Y63" s="304"/>
      <c r="Z63" s="304"/>
      <c r="AA63" s="303"/>
      <c r="AB63" s="304"/>
      <c r="AC63" s="304"/>
      <c r="AD63" s="304"/>
      <c r="AE63" s="304"/>
      <c r="AF63" s="301"/>
      <c r="AG63" s="29"/>
    </row>
    <row r="64" ht="23.25" customHeight="1">
      <c r="A64" s="23"/>
      <c r="B64" s="240"/>
      <c r="C64" s="306">
        <v>0.04</v>
      </c>
      <c r="D64" s="69"/>
      <c r="E64" s="70" t="s">
        <v>781</v>
      </c>
      <c r="F64" s="261" t="s">
        <v>125</v>
      </c>
      <c r="G64" s="243"/>
      <c r="H64" s="306">
        <v>0.04</v>
      </c>
      <c r="I64" s="69"/>
      <c r="J64" s="70" t="s">
        <v>781</v>
      </c>
      <c r="K64" s="261" t="s">
        <v>125</v>
      </c>
      <c r="L64" s="303"/>
      <c r="M64" s="304"/>
      <c r="N64" s="304"/>
      <c r="O64" s="304"/>
      <c r="P64" s="304"/>
      <c r="Q64" s="303"/>
      <c r="R64" s="304"/>
      <c r="S64" s="304"/>
      <c r="T64" s="304"/>
      <c r="U64" s="304"/>
      <c r="V64" s="303"/>
      <c r="W64" s="304"/>
      <c r="X64" s="304"/>
      <c r="Y64" s="304"/>
      <c r="Z64" s="304"/>
      <c r="AA64" s="303"/>
      <c r="AB64" s="304"/>
      <c r="AC64" s="304"/>
      <c r="AD64" s="304"/>
      <c r="AE64" s="304"/>
      <c r="AF64" s="301"/>
      <c r="AG64" s="29"/>
    </row>
    <row r="65" ht="23.25" customHeight="1">
      <c r="A65" s="23"/>
      <c r="B65" s="240"/>
      <c r="C65" s="307">
        <v>0.04</v>
      </c>
      <c r="D65" s="85"/>
      <c r="E65" s="86" t="s">
        <v>781</v>
      </c>
      <c r="F65" s="294" t="s">
        <v>125</v>
      </c>
      <c r="G65" s="243"/>
      <c r="H65" s="307">
        <v>0.04</v>
      </c>
      <c r="I65" s="85"/>
      <c r="J65" s="86" t="s">
        <v>781</v>
      </c>
      <c r="K65" s="294" t="s">
        <v>125</v>
      </c>
      <c r="L65" s="303"/>
      <c r="M65" s="304"/>
      <c r="N65" s="304"/>
      <c r="O65" s="304"/>
      <c r="P65" s="304"/>
      <c r="Q65" s="303"/>
      <c r="R65" s="304"/>
      <c r="S65" s="304"/>
      <c r="T65" s="304"/>
      <c r="U65" s="304"/>
      <c r="V65" s="303"/>
      <c r="W65" s="304"/>
      <c r="X65" s="304"/>
      <c r="Y65" s="304"/>
      <c r="Z65" s="304"/>
      <c r="AA65" s="303"/>
      <c r="AB65" s="304"/>
      <c r="AC65" s="304"/>
      <c r="AD65" s="304"/>
      <c r="AE65" s="304"/>
      <c r="AF65" s="301"/>
      <c r="AG65" s="29"/>
    </row>
    <row r="66" ht="23.25" customHeight="1">
      <c r="A66" s="23"/>
      <c r="B66" s="240"/>
      <c r="C66" s="308">
        <v>0.01</v>
      </c>
      <c r="D66" s="56"/>
      <c r="E66" s="57" t="s">
        <v>206</v>
      </c>
      <c r="F66" s="242" t="s">
        <v>125</v>
      </c>
      <c r="G66" s="243"/>
      <c r="H66" s="308">
        <v>0.01</v>
      </c>
      <c r="I66" s="56"/>
      <c r="J66" s="57" t="s">
        <v>206</v>
      </c>
      <c r="K66" s="242" t="s">
        <v>125</v>
      </c>
      <c r="L66" s="303"/>
      <c r="M66" s="304"/>
      <c r="N66" s="304"/>
      <c r="O66" s="304"/>
      <c r="P66" s="304"/>
      <c r="Q66" s="303"/>
      <c r="R66" s="304"/>
      <c r="S66" s="304"/>
      <c r="T66" s="304"/>
      <c r="U66" s="304"/>
      <c r="V66" s="303"/>
      <c r="W66" s="304"/>
      <c r="X66" s="304"/>
      <c r="Y66" s="304"/>
      <c r="Z66" s="304"/>
      <c r="AA66" s="303"/>
      <c r="AB66" s="304"/>
      <c r="AC66" s="304"/>
      <c r="AD66" s="304"/>
      <c r="AE66" s="304"/>
      <c r="AF66" s="301"/>
      <c r="AG66" s="29"/>
    </row>
    <row r="67" ht="23.25" customHeight="1">
      <c r="A67" s="23"/>
      <c r="B67" s="240"/>
      <c r="C67" s="309">
        <v>0.01</v>
      </c>
      <c r="D67" s="310"/>
      <c r="E67" s="311" t="s">
        <v>206</v>
      </c>
      <c r="F67" s="312" t="s">
        <v>125</v>
      </c>
      <c r="G67" s="243"/>
      <c r="H67" s="309">
        <v>0.01</v>
      </c>
      <c r="I67" s="310"/>
      <c r="J67" s="311" t="s">
        <v>206</v>
      </c>
      <c r="K67" s="312" t="s">
        <v>125</v>
      </c>
      <c r="L67" s="303"/>
      <c r="M67" s="304"/>
      <c r="N67" s="304"/>
      <c r="O67" s="304"/>
      <c r="P67" s="304"/>
      <c r="Q67" s="303"/>
      <c r="R67" s="304"/>
      <c r="S67" s="304"/>
      <c r="T67" s="304"/>
      <c r="U67" s="304"/>
      <c r="V67" s="303"/>
      <c r="W67" s="304"/>
      <c r="X67" s="304"/>
      <c r="Y67" s="304"/>
      <c r="Z67" s="304"/>
      <c r="AA67" s="303"/>
      <c r="AB67" s="304"/>
      <c r="AC67" s="304"/>
      <c r="AD67" s="304"/>
      <c r="AE67" s="304"/>
      <c r="AF67" s="301"/>
      <c r="AG67" s="29"/>
    </row>
    <row r="68" ht="7.5" customHeight="1">
      <c r="A68" s="23"/>
      <c r="B68" s="313"/>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314"/>
      <c r="AG68" s="29"/>
    </row>
    <row r="69" ht="7.5" customHeight="1">
      <c r="A69" s="23"/>
      <c r="B69" s="315"/>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c r="AA69" s="315"/>
      <c r="AB69" s="315"/>
      <c r="AC69" s="315"/>
      <c r="AD69" s="315"/>
      <c r="AE69" s="315"/>
      <c r="AF69" s="315"/>
      <c r="AG69" s="23"/>
    </row>
    <row r="70">
      <c r="A70" s="225"/>
      <c r="B70" s="226"/>
      <c r="C70" s="227" t="s">
        <v>782</v>
      </c>
      <c r="D70" s="228"/>
      <c r="E70" s="228"/>
      <c r="F70" s="228"/>
      <c r="G70" s="228"/>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c r="AE70" s="229"/>
      <c r="AF70" s="230"/>
      <c r="AG70" s="231"/>
    </row>
    <row r="71" ht="26.25" customHeight="1">
      <c r="A71" s="30"/>
      <c r="B71" s="232"/>
      <c r="C71" s="166" t="str">
        <f>Source!$C5</f>
        <v/>
      </c>
      <c r="D71" s="167" t="s">
        <v>751</v>
      </c>
      <c r="E71" s="168"/>
      <c r="F71" s="169"/>
      <c r="G71" s="233"/>
      <c r="H71" s="166" t="str">
        <f>Source!$C9</f>
        <v/>
      </c>
      <c r="I71" s="167" t="s">
        <v>752</v>
      </c>
      <c r="J71" s="168"/>
      <c r="K71" s="169"/>
      <c r="L71" s="234"/>
      <c r="M71" s="166" t="str">
        <f>Source!$C17</f>
        <v/>
      </c>
      <c r="N71" s="167" t="s">
        <v>643</v>
      </c>
      <c r="O71" s="168"/>
      <c r="P71" s="169"/>
      <c r="Q71" s="234"/>
      <c r="R71" s="166" t="str">
        <f>Source!$C21</f>
        <v/>
      </c>
      <c r="S71" s="167" t="s">
        <v>682</v>
      </c>
      <c r="T71" s="168"/>
      <c r="U71" s="169"/>
      <c r="V71" s="234"/>
      <c r="W71" s="166" t="str">
        <f>Source!$C25</f>
        <v/>
      </c>
      <c r="X71" s="167" t="s">
        <v>708</v>
      </c>
      <c r="Y71" s="168"/>
      <c r="Z71" s="169"/>
      <c r="AA71" s="234"/>
      <c r="AB71" s="166" t="str">
        <f>Source!$C29</f>
        <v/>
      </c>
      <c r="AC71" s="167" t="s">
        <v>733</v>
      </c>
      <c r="AD71" s="168"/>
      <c r="AE71" s="169"/>
      <c r="AF71" s="235"/>
      <c r="AG71" s="43"/>
    </row>
    <row r="72" ht="15.0" customHeight="1">
      <c r="A72" s="134"/>
      <c r="B72" s="236"/>
      <c r="C72" s="174" t="s">
        <v>80</v>
      </c>
      <c r="D72" s="140" t="s">
        <v>81</v>
      </c>
      <c r="E72" s="48"/>
      <c r="F72" s="175" t="s">
        <v>82</v>
      </c>
      <c r="G72" s="237"/>
      <c r="H72" s="174" t="s">
        <v>80</v>
      </c>
      <c r="I72" s="140" t="s">
        <v>81</v>
      </c>
      <c r="J72" s="48"/>
      <c r="K72" s="175" t="s">
        <v>82</v>
      </c>
      <c r="L72" s="138"/>
      <c r="M72" s="174" t="s">
        <v>80</v>
      </c>
      <c r="N72" s="140" t="s">
        <v>81</v>
      </c>
      <c r="O72" s="48"/>
      <c r="P72" s="175" t="s">
        <v>82</v>
      </c>
      <c r="Q72" s="138"/>
      <c r="R72" s="174" t="s">
        <v>80</v>
      </c>
      <c r="S72" s="140" t="s">
        <v>81</v>
      </c>
      <c r="T72" s="48"/>
      <c r="U72" s="175" t="s">
        <v>82</v>
      </c>
      <c r="V72" s="138"/>
      <c r="W72" s="174" t="s">
        <v>80</v>
      </c>
      <c r="X72" s="140" t="s">
        <v>81</v>
      </c>
      <c r="Y72" s="48"/>
      <c r="Z72" s="175" t="s">
        <v>82</v>
      </c>
      <c r="AA72" s="138"/>
      <c r="AB72" s="174" t="s">
        <v>80</v>
      </c>
      <c r="AC72" s="140" t="s">
        <v>81</v>
      </c>
      <c r="AD72" s="48"/>
      <c r="AE72" s="175" t="s">
        <v>82</v>
      </c>
      <c r="AF72" s="238"/>
      <c r="AG72" s="239"/>
    </row>
    <row r="73" ht="23.25" customHeight="1">
      <c r="A73" s="23"/>
      <c r="B73" s="240"/>
      <c r="C73" s="241">
        <v>0.2</v>
      </c>
      <c r="D73" s="56" t="str">
        <f t="array" ref="D73:D84">IFERROR(VLOOKUP(E73:E84,Dex!$B$3:$N86,2,FALSE),"")</f>
        <v/>
      </c>
      <c r="E73" s="57" t="s">
        <v>783</v>
      </c>
      <c r="F73" s="242" t="s">
        <v>125</v>
      </c>
      <c r="G73" s="243"/>
      <c r="H73" s="241">
        <v>0.2</v>
      </c>
      <c r="I73" s="56" t="str">
        <f t="array" ref="I73:I84">IFERROR(VLOOKUP(J73:J84,Dex!$B$3:$N86,2,FALSE),"")</f>
        <v/>
      </c>
      <c r="J73" s="57" t="s">
        <v>783</v>
      </c>
      <c r="K73" s="242" t="s">
        <v>125</v>
      </c>
      <c r="L73" s="244"/>
      <c r="M73" s="178">
        <v>0.7</v>
      </c>
      <c r="N73" s="150" t="str">
        <f t="array" ref="N73:N74">IFERROR(VLOOKUP(O73:O74,Dex!$B$3:$N86,2,FALSE),"")</f>
        <v/>
      </c>
      <c r="O73" s="151" t="s">
        <v>658</v>
      </c>
      <c r="P73" s="179">
        <v>44231.0</v>
      </c>
      <c r="Q73" s="244"/>
      <c r="R73" s="245">
        <v>0.6</v>
      </c>
      <c r="S73" s="150" t="str">
        <f t="array" ref="S73:S75">IFERROR(VLOOKUP(T73:T75,Dex!$B$3:$N86,2,FALSE),"")</f>
        <v/>
      </c>
      <c r="T73" s="151" t="s">
        <v>697</v>
      </c>
      <c r="U73" s="179" t="s">
        <v>108</v>
      </c>
      <c r="V73" s="244"/>
      <c r="W73" s="190">
        <v>0.4</v>
      </c>
      <c r="X73" s="80" t="str">
        <f t="array" ref="X73:X77">IFERROR(VLOOKUP(Y73:Y77,Dex!$B$3:$N86,2,FALSE),"")</f>
        <v/>
      </c>
      <c r="Y73" s="57" t="s">
        <v>333</v>
      </c>
      <c r="Z73" s="242" t="s">
        <v>711</v>
      </c>
      <c r="AA73" s="244"/>
      <c r="AB73" s="190">
        <v>0.6</v>
      </c>
      <c r="AC73" s="206" t="str">
        <f t="array" ref="AC73:AC77">IFERROR(VLOOKUP(AD73:AD77,Dex!$B$3:$N86,2,FALSE),"")</f>
        <v/>
      </c>
      <c r="AD73" s="246" t="s">
        <v>784</v>
      </c>
      <c r="AE73" s="247" t="s">
        <v>735</v>
      </c>
      <c r="AF73" s="248"/>
      <c r="AG73" s="29"/>
    </row>
    <row r="74" ht="23.25" customHeight="1">
      <c r="A74" s="23"/>
      <c r="B74" s="240"/>
      <c r="C74" s="190">
        <v>0.2</v>
      </c>
      <c r="D74" s="63"/>
      <c r="E74" s="64" t="s">
        <v>785</v>
      </c>
      <c r="F74" s="249" t="s">
        <v>125</v>
      </c>
      <c r="G74" s="243"/>
      <c r="H74" s="190">
        <v>0.2</v>
      </c>
      <c r="I74" s="63"/>
      <c r="J74" s="64" t="s">
        <v>785</v>
      </c>
      <c r="K74" s="249" t="s">
        <v>125</v>
      </c>
      <c r="L74" s="244"/>
      <c r="M74" s="250">
        <v>0.3</v>
      </c>
      <c r="N74" s="158"/>
      <c r="O74" s="159" t="s">
        <v>674</v>
      </c>
      <c r="P74" s="251">
        <v>44231.0</v>
      </c>
      <c r="Q74" s="244"/>
      <c r="R74" s="252">
        <v>0.2</v>
      </c>
      <c r="S74" s="183"/>
      <c r="T74" s="253" t="s">
        <v>716</v>
      </c>
      <c r="U74" s="254" t="s">
        <v>108</v>
      </c>
      <c r="V74" s="244"/>
      <c r="W74" s="190">
        <v>0.4</v>
      </c>
      <c r="X74" s="63"/>
      <c r="Y74" s="255" t="s">
        <v>721</v>
      </c>
      <c r="Z74" s="249" t="s">
        <v>711</v>
      </c>
      <c r="AA74" s="244"/>
      <c r="AB74" s="256">
        <v>0.3</v>
      </c>
      <c r="AC74" s="257"/>
      <c r="AD74" s="258" t="s">
        <v>776</v>
      </c>
      <c r="AE74" s="259" t="s">
        <v>735</v>
      </c>
      <c r="AF74" s="248"/>
      <c r="AG74" s="29"/>
    </row>
    <row r="75" ht="23.25" customHeight="1">
      <c r="A75" s="23"/>
      <c r="B75" s="240"/>
      <c r="C75" s="260">
        <v>0.1</v>
      </c>
      <c r="D75" s="69"/>
      <c r="E75" s="70" t="s">
        <v>786</v>
      </c>
      <c r="F75" s="261" t="s">
        <v>125</v>
      </c>
      <c r="G75" s="243"/>
      <c r="H75" s="260">
        <v>0.1</v>
      </c>
      <c r="I75" s="69"/>
      <c r="J75" s="70" t="s">
        <v>786</v>
      </c>
      <c r="K75" s="261" t="s">
        <v>125</v>
      </c>
      <c r="L75" s="262"/>
      <c r="M75" s="263"/>
      <c r="N75" s="147"/>
      <c r="O75" s="147"/>
      <c r="P75" s="147"/>
      <c r="Q75" s="264"/>
      <c r="R75" s="186">
        <v>0.2</v>
      </c>
      <c r="S75" s="187"/>
      <c r="T75" s="265" t="s">
        <v>687</v>
      </c>
      <c r="U75" s="266" t="s">
        <v>108</v>
      </c>
      <c r="V75" s="244"/>
      <c r="W75" s="195">
        <v>0.15</v>
      </c>
      <c r="X75" s="196"/>
      <c r="Y75" s="267" t="s">
        <v>706</v>
      </c>
      <c r="Z75" s="268" t="s">
        <v>711</v>
      </c>
      <c r="AA75" s="244"/>
      <c r="AB75" s="269">
        <v>0.05</v>
      </c>
      <c r="AC75" s="206"/>
      <c r="AD75" s="246" t="s">
        <v>707</v>
      </c>
      <c r="AE75" s="247" t="s">
        <v>735</v>
      </c>
      <c r="AF75" s="248"/>
      <c r="AG75" s="29"/>
    </row>
    <row r="76" ht="23.25" customHeight="1">
      <c r="A76" s="23"/>
      <c r="B76" s="240"/>
      <c r="C76" s="270">
        <v>0.1</v>
      </c>
      <c r="D76" s="75"/>
      <c r="E76" s="76" t="s">
        <v>787</v>
      </c>
      <c r="F76" s="271" t="s">
        <v>125</v>
      </c>
      <c r="G76" s="243"/>
      <c r="H76" s="270">
        <v>0.1</v>
      </c>
      <c r="I76" s="75"/>
      <c r="J76" s="76" t="s">
        <v>787</v>
      </c>
      <c r="K76" s="271" t="s">
        <v>125</v>
      </c>
      <c r="L76" s="262"/>
      <c r="M76" s="272"/>
      <c r="N76" s="273"/>
      <c r="O76" s="274"/>
      <c r="P76" s="275"/>
      <c r="Q76" s="276"/>
      <c r="R76" s="263"/>
      <c r="S76" s="277"/>
      <c r="T76" s="278"/>
      <c r="U76" s="279"/>
      <c r="V76" s="264"/>
      <c r="W76" s="280">
        <v>0.04</v>
      </c>
      <c r="X76" s="281"/>
      <c r="Y76" s="282" t="s">
        <v>707</v>
      </c>
      <c r="Z76" s="283" t="s">
        <v>711</v>
      </c>
      <c r="AA76" s="244"/>
      <c r="AB76" s="284">
        <v>0.04</v>
      </c>
      <c r="AC76" s="257"/>
      <c r="AD76" s="258" t="s">
        <v>600</v>
      </c>
      <c r="AE76" s="259" t="s">
        <v>735</v>
      </c>
      <c r="AF76" s="248"/>
      <c r="AG76" s="29"/>
    </row>
    <row r="77" ht="23.25" customHeight="1">
      <c r="A77" s="23"/>
      <c r="B77" s="240"/>
      <c r="C77" s="270">
        <v>0.1</v>
      </c>
      <c r="D77" s="80"/>
      <c r="E77" s="81" t="s">
        <v>788</v>
      </c>
      <c r="F77" s="285" t="s">
        <v>125</v>
      </c>
      <c r="G77" s="243"/>
      <c r="H77" s="270">
        <v>0.1</v>
      </c>
      <c r="I77" s="80"/>
      <c r="J77" s="81" t="s">
        <v>788</v>
      </c>
      <c r="K77" s="285" t="s">
        <v>125</v>
      </c>
      <c r="L77" s="262"/>
      <c r="M77" s="286"/>
      <c r="N77" s="287"/>
      <c r="O77" s="275"/>
      <c r="P77" s="286"/>
      <c r="Q77" s="276"/>
      <c r="R77" s="286"/>
      <c r="S77" s="287"/>
      <c r="T77" s="275"/>
      <c r="U77" s="286"/>
      <c r="V77" s="264"/>
      <c r="W77" s="288">
        <v>0.01</v>
      </c>
      <c r="X77" s="289"/>
      <c r="Y77" s="290" t="s">
        <v>707</v>
      </c>
      <c r="Z77" s="291" t="s">
        <v>711</v>
      </c>
      <c r="AA77" s="244"/>
      <c r="AB77" s="288">
        <v>0.01</v>
      </c>
      <c r="AC77" s="289"/>
      <c r="AD77" s="292" t="s">
        <v>749</v>
      </c>
      <c r="AE77" s="291" t="s">
        <v>735</v>
      </c>
      <c r="AF77" s="248"/>
      <c r="AG77" s="29"/>
    </row>
    <row r="78" ht="23.25" customHeight="1">
      <c r="A78" s="23"/>
      <c r="B78" s="240"/>
      <c r="C78" s="293">
        <v>0.1</v>
      </c>
      <c r="D78" s="85"/>
      <c r="E78" s="86" t="s">
        <v>788</v>
      </c>
      <c r="F78" s="294" t="s">
        <v>125</v>
      </c>
      <c r="G78" s="243"/>
      <c r="H78" s="293">
        <v>0.1</v>
      </c>
      <c r="I78" s="85"/>
      <c r="J78" s="86" t="s">
        <v>788</v>
      </c>
      <c r="K78" s="294" t="s">
        <v>125</v>
      </c>
      <c r="L78" s="262"/>
      <c r="M78" s="295"/>
      <c r="N78" s="272"/>
      <c r="O78" s="296"/>
      <c r="P78" s="297"/>
      <c r="Q78" s="276"/>
      <c r="R78" s="295"/>
      <c r="S78" s="272"/>
      <c r="T78" s="296"/>
      <c r="U78" s="297"/>
      <c r="V78" s="276"/>
      <c r="W78" s="298"/>
      <c r="X78" s="263"/>
      <c r="Y78" s="299"/>
      <c r="Z78" s="300"/>
      <c r="AA78" s="262"/>
      <c r="AB78" s="298"/>
      <c r="AC78" s="263"/>
      <c r="AD78" s="299"/>
      <c r="AE78" s="300"/>
      <c r="AF78" s="301"/>
      <c r="AG78" s="29"/>
    </row>
    <row r="79" ht="23.25" customHeight="1">
      <c r="A79" s="23"/>
      <c r="B79" s="240"/>
      <c r="C79" s="302">
        <v>0.05</v>
      </c>
      <c r="D79" s="56"/>
      <c r="E79" s="57" t="s">
        <v>155</v>
      </c>
      <c r="F79" s="242" t="s">
        <v>125</v>
      </c>
      <c r="G79" s="243"/>
      <c r="H79" s="302">
        <v>0.05</v>
      </c>
      <c r="I79" s="56"/>
      <c r="J79" s="57" t="s">
        <v>155</v>
      </c>
      <c r="K79" s="242" t="s">
        <v>125</v>
      </c>
      <c r="L79" s="303"/>
      <c r="M79" s="304"/>
      <c r="N79" s="304"/>
      <c r="O79" s="304"/>
      <c r="P79" s="304"/>
      <c r="Q79" s="303"/>
      <c r="R79" s="304"/>
      <c r="S79" s="304"/>
      <c r="T79" s="304"/>
      <c r="U79" s="304"/>
      <c r="V79" s="303"/>
      <c r="W79" s="304"/>
      <c r="X79" s="304"/>
      <c r="Y79" s="304"/>
      <c r="Z79" s="304"/>
      <c r="AA79" s="303"/>
      <c r="AB79" s="304"/>
      <c r="AC79" s="304"/>
      <c r="AD79" s="304"/>
      <c r="AE79" s="304"/>
      <c r="AF79" s="301"/>
      <c r="AG79" s="29"/>
    </row>
    <row r="80" ht="23.25" customHeight="1">
      <c r="A80" s="23"/>
      <c r="B80" s="240"/>
      <c r="C80" s="305">
        <v>0.05</v>
      </c>
      <c r="D80" s="63"/>
      <c r="E80" s="64" t="s">
        <v>155</v>
      </c>
      <c r="F80" s="249" t="s">
        <v>125</v>
      </c>
      <c r="G80" s="243"/>
      <c r="H80" s="305">
        <v>0.05</v>
      </c>
      <c r="I80" s="63"/>
      <c r="J80" s="64" t="s">
        <v>155</v>
      </c>
      <c r="K80" s="249" t="s">
        <v>125</v>
      </c>
      <c r="L80" s="303"/>
      <c r="M80" s="304"/>
      <c r="N80" s="304"/>
      <c r="O80" s="304"/>
      <c r="P80" s="304"/>
      <c r="Q80" s="303"/>
      <c r="R80" s="304"/>
      <c r="S80" s="304"/>
      <c r="T80" s="304"/>
      <c r="U80" s="304"/>
      <c r="V80" s="303"/>
      <c r="W80" s="304"/>
      <c r="X80" s="304"/>
      <c r="Y80" s="304"/>
      <c r="Z80" s="304"/>
      <c r="AA80" s="303"/>
      <c r="AB80" s="304"/>
      <c r="AC80" s="304"/>
      <c r="AD80" s="304"/>
      <c r="AE80" s="304"/>
      <c r="AF80" s="301"/>
      <c r="AG80" s="29"/>
    </row>
    <row r="81" ht="23.25" customHeight="1">
      <c r="A81" s="23"/>
      <c r="B81" s="240"/>
      <c r="C81" s="306">
        <v>0.04</v>
      </c>
      <c r="D81" s="69"/>
      <c r="E81" s="70" t="s">
        <v>789</v>
      </c>
      <c r="F81" s="261" t="s">
        <v>125</v>
      </c>
      <c r="G81" s="243"/>
      <c r="H81" s="306">
        <v>0.04</v>
      </c>
      <c r="I81" s="69"/>
      <c r="J81" s="70" t="s">
        <v>789</v>
      </c>
      <c r="K81" s="261" t="s">
        <v>125</v>
      </c>
      <c r="L81" s="303"/>
      <c r="M81" s="304"/>
      <c r="N81" s="304"/>
      <c r="O81" s="304"/>
      <c r="P81" s="304"/>
      <c r="Q81" s="303"/>
      <c r="R81" s="304"/>
      <c r="S81" s="304"/>
      <c r="T81" s="304"/>
      <c r="U81" s="304"/>
      <c r="V81" s="303"/>
      <c r="W81" s="304"/>
      <c r="X81" s="304"/>
      <c r="Y81" s="304"/>
      <c r="Z81" s="304"/>
      <c r="AA81" s="303"/>
      <c r="AB81" s="304"/>
      <c r="AC81" s="304"/>
      <c r="AD81" s="304"/>
      <c r="AE81" s="304"/>
      <c r="AF81" s="301"/>
      <c r="AG81" s="29"/>
    </row>
    <row r="82" ht="23.25" customHeight="1">
      <c r="A82" s="23"/>
      <c r="B82" s="240"/>
      <c r="C82" s="307">
        <v>0.04</v>
      </c>
      <c r="D82" s="85"/>
      <c r="E82" s="86" t="s">
        <v>789</v>
      </c>
      <c r="F82" s="294" t="s">
        <v>125</v>
      </c>
      <c r="G82" s="243"/>
      <c r="H82" s="307">
        <v>0.04</v>
      </c>
      <c r="I82" s="85"/>
      <c r="J82" s="86" t="s">
        <v>789</v>
      </c>
      <c r="K82" s="294" t="s">
        <v>125</v>
      </c>
      <c r="L82" s="303"/>
      <c r="M82" s="304"/>
      <c r="N82" s="304"/>
      <c r="O82" s="304"/>
      <c r="P82" s="304"/>
      <c r="Q82" s="303"/>
      <c r="R82" s="304"/>
      <c r="S82" s="304"/>
      <c r="T82" s="304"/>
      <c r="U82" s="304"/>
      <c r="V82" s="303"/>
      <c r="W82" s="304"/>
      <c r="X82" s="304"/>
      <c r="Y82" s="304"/>
      <c r="Z82" s="304"/>
      <c r="AA82" s="303"/>
      <c r="AB82" s="304"/>
      <c r="AC82" s="304"/>
      <c r="AD82" s="304"/>
      <c r="AE82" s="304"/>
      <c r="AF82" s="301"/>
      <c r="AG82" s="29"/>
    </row>
    <row r="83" ht="23.25" customHeight="1">
      <c r="A83" s="23"/>
      <c r="B83" s="240"/>
      <c r="C83" s="308">
        <v>0.01</v>
      </c>
      <c r="D83" s="56"/>
      <c r="E83" s="57" t="s">
        <v>790</v>
      </c>
      <c r="F83" s="242" t="s">
        <v>125</v>
      </c>
      <c r="G83" s="243"/>
      <c r="H83" s="308">
        <v>0.01</v>
      </c>
      <c r="I83" s="56"/>
      <c r="J83" s="57" t="s">
        <v>790</v>
      </c>
      <c r="K83" s="242" t="s">
        <v>125</v>
      </c>
      <c r="L83" s="303"/>
      <c r="M83" s="304"/>
      <c r="N83" s="304"/>
      <c r="O83" s="304"/>
      <c r="P83" s="304"/>
      <c r="Q83" s="303"/>
      <c r="R83" s="304"/>
      <c r="S83" s="304"/>
      <c r="T83" s="304"/>
      <c r="U83" s="304"/>
      <c r="V83" s="303"/>
      <c r="W83" s="304"/>
      <c r="X83" s="304"/>
      <c r="Y83" s="304"/>
      <c r="Z83" s="304"/>
      <c r="AA83" s="303"/>
      <c r="AB83" s="304"/>
      <c r="AC83" s="304"/>
      <c r="AD83" s="304"/>
      <c r="AE83" s="304"/>
      <c r="AF83" s="301"/>
      <c r="AG83" s="29"/>
    </row>
    <row r="84" ht="23.25" customHeight="1">
      <c r="A84" s="23"/>
      <c r="B84" s="240"/>
      <c r="C84" s="309">
        <v>0.01</v>
      </c>
      <c r="D84" s="310"/>
      <c r="E84" s="311" t="s">
        <v>790</v>
      </c>
      <c r="F84" s="312" t="s">
        <v>125</v>
      </c>
      <c r="G84" s="243"/>
      <c r="H84" s="309">
        <v>0.01</v>
      </c>
      <c r="I84" s="310"/>
      <c r="J84" s="311" t="s">
        <v>790</v>
      </c>
      <c r="K84" s="312" t="s">
        <v>125</v>
      </c>
      <c r="L84" s="303"/>
      <c r="M84" s="304"/>
      <c r="N84" s="304"/>
      <c r="O84" s="304"/>
      <c r="P84" s="304"/>
      <c r="Q84" s="303"/>
      <c r="R84" s="304"/>
      <c r="S84" s="304"/>
      <c r="T84" s="304"/>
      <c r="U84" s="304"/>
      <c r="V84" s="303"/>
      <c r="W84" s="304"/>
      <c r="X84" s="304"/>
      <c r="Y84" s="304"/>
      <c r="Z84" s="304"/>
      <c r="AA84" s="303"/>
      <c r="AB84" s="304"/>
      <c r="AC84" s="304"/>
      <c r="AD84" s="304"/>
      <c r="AE84" s="304"/>
      <c r="AF84" s="301"/>
      <c r="AG84" s="29"/>
    </row>
    <row r="85" ht="7.5" customHeight="1">
      <c r="A85" s="23"/>
      <c r="B85" s="316"/>
      <c r="C85" s="317"/>
      <c r="D85" s="317"/>
      <c r="E85" s="317"/>
      <c r="F85" s="317"/>
      <c r="G85" s="318"/>
      <c r="H85" s="317"/>
      <c r="I85" s="317"/>
      <c r="J85" s="317"/>
      <c r="K85" s="317"/>
      <c r="L85" s="319"/>
      <c r="M85" s="318"/>
      <c r="N85" s="318"/>
      <c r="O85" s="318"/>
      <c r="P85" s="318"/>
      <c r="Q85" s="319"/>
      <c r="R85" s="318"/>
      <c r="S85" s="318"/>
      <c r="T85" s="318"/>
      <c r="U85" s="318"/>
      <c r="V85" s="319"/>
      <c r="W85" s="318"/>
      <c r="X85" s="318"/>
      <c r="Y85" s="318"/>
      <c r="Z85" s="318"/>
      <c r="AA85" s="319"/>
      <c r="AB85" s="318"/>
      <c r="AC85" s="318"/>
      <c r="AD85" s="318"/>
      <c r="AE85" s="318"/>
      <c r="AF85" s="320"/>
      <c r="AG85" s="29"/>
    </row>
    <row r="86" ht="7.5" customHeight="1">
      <c r="A86" s="19"/>
      <c r="B86" s="114"/>
      <c r="C86" s="114"/>
      <c r="D86" s="114"/>
      <c r="E86" s="114"/>
      <c r="F86" s="114"/>
      <c r="G86" s="321"/>
      <c r="H86" s="114"/>
      <c r="I86" s="114"/>
      <c r="J86" s="114"/>
      <c r="K86" s="114"/>
      <c r="L86" s="321"/>
      <c r="M86" s="321"/>
      <c r="N86" s="321"/>
      <c r="O86" s="321"/>
      <c r="P86" s="321"/>
      <c r="Q86" s="321"/>
      <c r="R86" s="321"/>
      <c r="S86" s="321"/>
      <c r="T86" s="321"/>
      <c r="U86" s="321"/>
      <c r="V86" s="321"/>
      <c r="W86" s="321"/>
      <c r="X86" s="321"/>
      <c r="Y86" s="321"/>
      <c r="Z86" s="321"/>
      <c r="AA86" s="321"/>
      <c r="AB86" s="321"/>
      <c r="AC86" s="321"/>
      <c r="AD86" s="321"/>
      <c r="AE86" s="321"/>
      <c r="AF86" s="114"/>
      <c r="AG86" s="19"/>
    </row>
  </sheetData>
  <mergeCells count="85">
    <mergeCell ref="AC20:AE20"/>
    <mergeCell ref="AC21:AD21"/>
    <mergeCell ref="C19:AE19"/>
    <mergeCell ref="D20:F20"/>
    <mergeCell ref="N20:P20"/>
    <mergeCell ref="X20:Z20"/>
    <mergeCell ref="D21:E21"/>
    <mergeCell ref="N21:O21"/>
    <mergeCell ref="X21:Y21"/>
    <mergeCell ref="S37:U37"/>
    <mergeCell ref="S38:T38"/>
    <mergeCell ref="AC37:AE37"/>
    <mergeCell ref="AC38:AD38"/>
    <mergeCell ref="C36:AE36"/>
    <mergeCell ref="D37:F37"/>
    <mergeCell ref="N37:P37"/>
    <mergeCell ref="X37:Z37"/>
    <mergeCell ref="D38:E38"/>
    <mergeCell ref="N38:O38"/>
    <mergeCell ref="X38:Y38"/>
    <mergeCell ref="N54:P54"/>
    <mergeCell ref="N55:O55"/>
    <mergeCell ref="N59:P59"/>
    <mergeCell ref="S59:U59"/>
    <mergeCell ref="N60:O60"/>
    <mergeCell ref="S60:T60"/>
    <mergeCell ref="X54:Z54"/>
    <mergeCell ref="X55:Y55"/>
    <mergeCell ref="D54:F54"/>
    <mergeCell ref="I54:K54"/>
    <mergeCell ref="S54:U54"/>
    <mergeCell ref="AC54:AE54"/>
    <mergeCell ref="D55:E55"/>
    <mergeCell ref="I55:J55"/>
    <mergeCell ref="S55:T55"/>
    <mergeCell ref="AC55:AD55"/>
    <mergeCell ref="C70:AE70"/>
    <mergeCell ref="I71:K71"/>
    <mergeCell ref="N71:P71"/>
    <mergeCell ref="S71:U71"/>
    <mergeCell ref="X71:Z71"/>
    <mergeCell ref="AC71:AE71"/>
    <mergeCell ref="N76:P76"/>
    <mergeCell ref="S76:U76"/>
    <mergeCell ref="N77:O77"/>
    <mergeCell ref="S77:T77"/>
    <mergeCell ref="D71:F71"/>
    <mergeCell ref="D72:E72"/>
    <mergeCell ref="I72:J72"/>
    <mergeCell ref="N72:O72"/>
    <mergeCell ref="S72:T72"/>
    <mergeCell ref="X72:Y72"/>
    <mergeCell ref="AC72:AD72"/>
    <mergeCell ref="I3:K3"/>
    <mergeCell ref="I4:J4"/>
    <mergeCell ref="S3:U3"/>
    <mergeCell ref="S4:T4"/>
    <mergeCell ref="N8:P8"/>
    <mergeCell ref="S8:U8"/>
    <mergeCell ref="N9:O9"/>
    <mergeCell ref="S9:T9"/>
    <mergeCell ref="AC3:AE3"/>
    <mergeCell ref="AC4:AD4"/>
    <mergeCell ref="C2:AE2"/>
    <mergeCell ref="D3:F3"/>
    <mergeCell ref="N3:P3"/>
    <mergeCell ref="X3:Z3"/>
    <mergeCell ref="D4:E4"/>
    <mergeCell ref="N4:O4"/>
    <mergeCell ref="X4:Y4"/>
    <mergeCell ref="I20:K20"/>
    <mergeCell ref="I21:J21"/>
    <mergeCell ref="S20:U20"/>
    <mergeCell ref="S21:T21"/>
    <mergeCell ref="N25:P25"/>
    <mergeCell ref="S25:U25"/>
    <mergeCell ref="N26:O26"/>
    <mergeCell ref="S26:T26"/>
    <mergeCell ref="I37:K37"/>
    <mergeCell ref="I38:J38"/>
    <mergeCell ref="N42:P42"/>
    <mergeCell ref="S42:U42"/>
    <mergeCell ref="N43:O43"/>
    <mergeCell ref="S43:T43"/>
    <mergeCell ref="C53:AE5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2" width="0.75"/>
    <col customWidth="1" min="3" max="3" width="3.5"/>
    <col customWidth="1" min="4" max="4" width="15.75"/>
    <col customWidth="1" min="5" max="5" width="2.0"/>
    <col customWidth="1" min="6" max="7" width="0.75"/>
    <col customWidth="1" min="8" max="8" width="3.5"/>
    <col customWidth="1" min="9" max="9" width="15.75"/>
    <col customWidth="1" min="10" max="10" width="2.0"/>
    <col customWidth="1" min="11" max="12" width="0.75"/>
    <col customWidth="1" min="13" max="13" width="3.5"/>
    <col customWidth="1" min="14" max="14" width="15.75"/>
    <col customWidth="1" min="15" max="15" width="2.0"/>
    <col customWidth="1" min="16" max="17" width="0.75"/>
    <col customWidth="1" min="18" max="18" width="3.5"/>
    <col customWidth="1" min="19" max="19" width="15.75"/>
    <col customWidth="1" min="20" max="20" width="2.0"/>
    <col customWidth="1" min="21" max="22" width="0.75"/>
    <col customWidth="1" min="23" max="23" width="3.5"/>
    <col customWidth="1" min="24" max="24" width="15.75"/>
    <col customWidth="1" min="25" max="25" width="2.0"/>
    <col customWidth="1" min="26" max="27" width="0.75"/>
    <col customWidth="1" min="28" max="28" width="3.5"/>
    <col customWidth="1" min="29" max="29" width="15.75"/>
    <col customWidth="1" min="30" max="30" width="2.0"/>
    <col customWidth="1" min="31" max="32" width="0.75"/>
  </cols>
  <sheetData>
    <row r="1" ht="3.75" customHeight="1">
      <c r="A1" s="322"/>
      <c r="B1" s="323"/>
      <c r="C1" s="323"/>
      <c r="D1" s="323"/>
      <c r="E1" s="323"/>
      <c r="F1" s="323"/>
      <c r="G1" s="323"/>
      <c r="H1" s="323"/>
      <c r="I1" s="323"/>
      <c r="J1" s="323"/>
      <c r="K1" s="323"/>
      <c r="L1" s="323"/>
      <c r="M1" s="323"/>
      <c r="N1" s="323"/>
      <c r="O1" s="323"/>
      <c r="P1" s="323"/>
      <c r="Q1" s="323"/>
      <c r="R1" s="323"/>
      <c r="S1" s="323"/>
      <c r="T1" s="323"/>
      <c r="U1" s="323"/>
      <c r="V1" s="323"/>
      <c r="W1" s="323"/>
      <c r="X1" s="323"/>
      <c r="Y1" s="323"/>
      <c r="Z1" s="323"/>
      <c r="AA1" s="323"/>
      <c r="AB1" s="323"/>
      <c r="AC1" s="323"/>
      <c r="AD1" s="323"/>
      <c r="AE1" s="323"/>
      <c r="AF1" s="322"/>
    </row>
    <row r="2" ht="3.75" customHeight="1">
      <c r="A2" s="324"/>
      <c r="B2" s="325"/>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7"/>
      <c r="AF2" s="328"/>
    </row>
    <row r="3" ht="13.5" customHeight="1">
      <c r="A3" s="324"/>
      <c r="B3" s="329"/>
      <c r="C3" s="330" t="s">
        <v>791</v>
      </c>
      <c r="D3" s="331"/>
      <c r="E3" s="331"/>
      <c r="F3" s="331"/>
      <c r="G3" s="331"/>
      <c r="H3" s="331"/>
      <c r="I3" s="331"/>
      <c r="J3" s="331"/>
      <c r="K3" s="331"/>
      <c r="L3" s="331"/>
      <c r="M3" s="331"/>
      <c r="N3" s="331"/>
      <c r="O3" s="331"/>
      <c r="P3" s="331"/>
      <c r="Q3" s="331"/>
      <c r="R3" s="332"/>
      <c r="S3" s="333"/>
      <c r="T3" s="333"/>
      <c r="U3" s="333"/>
      <c r="V3" s="333"/>
      <c r="W3" s="333"/>
      <c r="X3" s="333"/>
      <c r="Y3" s="333"/>
      <c r="Z3" s="333"/>
      <c r="AA3" s="333"/>
      <c r="AB3" s="333"/>
      <c r="AC3" s="333"/>
      <c r="AD3" s="333"/>
      <c r="AE3" s="334"/>
      <c r="AF3" s="328"/>
    </row>
    <row r="4" ht="13.5" customHeight="1">
      <c r="A4" s="324"/>
      <c r="B4" s="329"/>
      <c r="C4" s="335"/>
      <c r="D4" s="278"/>
      <c r="E4" s="278"/>
      <c r="F4" s="278"/>
      <c r="G4" s="278"/>
      <c r="H4" s="278"/>
      <c r="I4" s="278"/>
      <c r="J4" s="278"/>
      <c r="K4" s="278"/>
      <c r="L4" s="278"/>
      <c r="M4" s="278"/>
      <c r="N4" s="278"/>
      <c r="O4" s="278"/>
      <c r="P4" s="278"/>
      <c r="Q4" s="278"/>
      <c r="R4" s="279"/>
      <c r="S4" s="333"/>
      <c r="T4" s="333"/>
      <c r="U4" s="333"/>
      <c r="V4" s="333"/>
      <c r="W4" s="333"/>
      <c r="X4" s="333"/>
      <c r="Y4" s="333"/>
      <c r="Z4" s="333"/>
      <c r="AA4" s="333"/>
      <c r="AB4" s="333"/>
      <c r="AC4" s="333"/>
      <c r="AD4" s="333"/>
      <c r="AE4" s="334"/>
      <c r="AF4" s="328"/>
    </row>
    <row r="5" ht="16.5" customHeight="1">
      <c r="A5" s="324"/>
      <c r="B5" s="329"/>
      <c r="C5" s="336" t="s">
        <v>792</v>
      </c>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5"/>
      <c r="AE5" s="334"/>
      <c r="AF5" s="328"/>
    </row>
    <row r="6" ht="16.5" customHeight="1">
      <c r="A6" s="324"/>
      <c r="B6" s="329"/>
      <c r="C6" s="336" t="s">
        <v>793</v>
      </c>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5"/>
      <c r="AE6" s="334"/>
      <c r="AF6" s="328"/>
    </row>
    <row r="7" ht="16.5" customHeight="1">
      <c r="A7" s="324"/>
      <c r="B7" s="329"/>
      <c r="C7" s="336" t="s">
        <v>794</v>
      </c>
      <c r="D7" s="274"/>
      <c r="E7" s="274"/>
      <c r="F7" s="274"/>
      <c r="G7" s="274"/>
      <c r="H7" s="274"/>
      <c r="I7" s="274"/>
      <c r="J7" s="274"/>
      <c r="K7" s="274"/>
      <c r="L7" s="274"/>
      <c r="M7" s="274"/>
      <c r="N7" s="274"/>
      <c r="O7" s="274"/>
      <c r="P7" s="274"/>
      <c r="Q7" s="274"/>
      <c r="R7" s="274"/>
      <c r="S7" s="274"/>
      <c r="T7" s="274"/>
      <c r="U7" s="274"/>
      <c r="V7" s="274"/>
      <c r="W7" s="274"/>
      <c r="X7" s="274"/>
      <c r="Y7" s="274"/>
      <c r="Z7" s="274"/>
      <c r="AA7" s="274"/>
      <c r="AB7" s="274"/>
      <c r="AC7" s="274"/>
      <c r="AD7" s="275"/>
      <c r="AE7" s="334"/>
      <c r="AF7" s="328"/>
    </row>
    <row r="8" ht="16.5" customHeight="1">
      <c r="A8" s="324"/>
      <c r="B8" s="329"/>
      <c r="C8" s="336" t="s">
        <v>795</v>
      </c>
      <c r="D8" s="274"/>
      <c r="E8" s="274"/>
      <c r="F8" s="274"/>
      <c r="G8" s="274"/>
      <c r="H8" s="274"/>
      <c r="I8" s="274"/>
      <c r="J8" s="274"/>
      <c r="K8" s="274"/>
      <c r="L8" s="274"/>
      <c r="M8" s="274"/>
      <c r="N8" s="274"/>
      <c r="O8" s="274"/>
      <c r="P8" s="274"/>
      <c r="Q8" s="274"/>
      <c r="R8" s="274"/>
      <c r="S8" s="274"/>
      <c r="T8" s="274"/>
      <c r="U8" s="274"/>
      <c r="V8" s="274"/>
      <c r="W8" s="274"/>
      <c r="X8" s="274"/>
      <c r="Y8" s="274"/>
      <c r="Z8" s="274"/>
      <c r="AA8" s="274"/>
      <c r="AB8" s="274"/>
      <c r="AC8" s="274"/>
      <c r="AD8" s="275"/>
      <c r="AE8" s="334"/>
      <c r="AF8" s="328"/>
    </row>
    <row r="9" ht="3.75" customHeight="1">
      <c r="A9" s="324"/>
      <c r="B9" s="337"/>
      <c r="C9" s="338"/>
      <c r="D9" s="331"/>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2"/>
      <c r="AE9" s="339"/>
      <c r="AF9" s="328"/>
    </row>
    <row r="10" ht="6.0" customHeight="1">
      <c r="A10" s="324"/>
      <c r="B10" s="340"/>
      <c r="C10" s="341"/>
      <c r="D10" s="341"/>
      <c r="E10" s="341"/>
      <c r="F10" s="342"/>
      <c r="G10" s="342"/>
      <c r="H10" s="341"/>
      <c r="I10" s="341"/>
      <c r="J10" s="341"/>
      <c r="K10" s="342"/>
      <c r="L10" s="342"/>
      <c r="M10" s="341"/>
      <c r="N10" s="341"/>
      <c r="O10" s="341"/>
      <c r="P10" s="342"/>
      <c r="Q10" s="342"/>
      <c r="R10" s="341"/>
      <c r="S10" s="341"/>
      <c r="T10" s="343"/>
      <c r="U10" s="343"/>
      <c r="V10" s="342"/>
      <c r="W10" s="341"/>
      <c r="X10" s="341"/>
      <c r="Y10" s="343"/>
      <c r="Z10" s="343"/>
      <c r="AA10" s="342"/>
      <c r="AB10" s="341"/>
      <c r="AC10" s="341"/>
      <c r="AD10" s="343"/>
      <c r="AE10" s="344"/>
      <c r="AF10" s="328"/>
    </row>
    <row r="11" ht="19.5" customHeight="1">
      <c r="A11" s="324"/>
      <c r="B11" s="345"/>
      <c r="C11" s="346" t="str">
        <f>Source!$E$9</f>
        <v/>
      </c>
      <c r="D11" s="347" t="s">
        <v>796</v>
      </c>
      <c r="E11" s="348" t="str">
        <f t="shared" ref="E11:E13" si="1">IMAGE("https://i.ibb.co/SXG0s7n/2-1.png")</f>
        <v/>
      </c>
      <c r="F11" s="349"/>
      <c r="G11" s="350"/>
      <c r="H11" s="351" t="str">
        <f>Source!$E$5</f>
        <v/>
      </c>
      <c r="I11" s="352" t="s">
        <v>797</v>
      </c>
      <c r="J11" s="353" t="str">
        <f t="shared" ref="J11:J14" si="2">IMAGE("https://i.ibb.co/Kx0DJFL/2-1.png")</f>
        <v/>
      </c>
      <c r="K11" s="349"/>
      <c r="L11" s="350"/>
      <c r="M11" s="354" t="str">
        <f>Source!$E$13</f>
        <v/>
      </c>
      <c r="N11" s="355" t="s">
        <v>798</v>
      </c>
      <c r="O11" s="356" t="str">
        <f t="shared" ref="O11:O13" si="3">IMAGE("https://i.ibb.co/MBxgmgC/2-1.png")</f>
        <v/>
      </c>
      <c r="P11" s="349"/>
      <c r="Q11" s="350"/>
      <c r="R11" s="357" t="str">
        <f>Source!$E$17</f>
        <v/>
      </c>
      <c r="S11" s="358" t="s">
        <v>799</v>
      </c>
      <c r="T11" s="359" t="str">
        <f t="shared" ref="T11:T14" si="4">IMAGE("https://i.ibb.co/yR6q8VR/2-1.png")</f>
        <v/>
      </c>
      <c r="U11" s="349"/>
      <c r="V11" s="350"/>
      <c r="W11" s="360" t="s">
        <v>800</v>
      </c>
      <c r="X11" s="361"/>
      <c r="Y11" s="362" t="str">
        <f t="shared" ref="Y11:Y13" si="5">IMAGE("https://i.ibb.co/RDzHWPM/2-1.png")</f>
        <v/>
      </c>
      <c r="Z11" s="349"/>
      <c r="AA11" s="350"/>
      <c r="AB11" s="363" t="s">
        <v>801</v>
      </c>
      <c r="AC11" s="364"/>
      <c r="AD11" s="362" t="str">
        <f t="shared" ref="AD11:AD12" si="6">IMAGE("https://i.ibb.co/ysHMCF9/2-1.png")</f>
        <v/>
      </c>
      <c r="AE11" s="365"/>
      <c r="AF11" s="328"/>
    </row>
    <row r="12" ht="16.5" customHeight="1">
      <c r="A12" s="324"/>
      <c r="B12" s="340"/>
      <c r="C12" s="366" t="str">
        <f>IMAGE("https://i.ibb.co/cLKnHCc/lileep.png",3)</f>
        <v/>
      </c>
      <c r="D12" s="367" t="s">
        <v>802</v>
      </c>
      <c r="E12" s="368" t="str">
        <f t="shared" si="1"/>
        <v/>
      </c>
      <c r="F12" s="369"/>
      <c r="G12" s="370"/>
      <c r="H12" s="371" t="str">
        <f>IMAGE("https://i.ibb.co/LdMhyjv/omanyte.png",3)</f>
        <v/>
      </c>
      <c r="I12" s="372" t="s">
        <v>803</v>
      </c>
      <c r="J12" s="373" t="str">
        <f t="shared" si="2"/>
        <v/>
      </c>
      <c r="K12" s="369"/>
      <c r="L12" s="370"/>
      <c r="M12" s="374" t="str">
        <f>IMAGE("https://i.ibb.co/1G4ZpBw/cranidos.png",3)</f>
        <v/>
      </c>
      <c r="N12" s="375" t="s">
        <v>312</v>
      </c>
      <c r="O12" s="376" t="str">
        <f t="shared" si="3"/>
        <v/>
      </c>
      <c r="P12" s="369"/>
      <c r="Q12" s="370"/>
      <c r="R12" s="377" t="str">
        <f>IMAGE("https://i.ibb.co/rxKd3S4/anorith.png",3)</f>
        <v/>
      </c>
      <c r="S12" s="378" t="s">
        <v>804</v>
      </c>
      <c r="T12" s="379" t="str">
        <f t="shared" si="4"/>
        <v/>
      </c>
      <c r="U12" s="380"/>
      <c r="V12" s="370"/>
      <c r="W12" s="381" t="str">
        <f>IMAGE("https://i.ibb.co/LdMhyjv/omanyte.png",3)</f>
        <v/>
      </c>
      <c r="X12" s="382" t="s">
        <v>803</v>
      </c>
      <c r="Y12" s="383" t="str">
        <f t="shared" si="5"/>
        <v/>
      </c>
      <c r="Z12" s="380"/>
      <c r="AA12" s="370"/>
      <c r="AB12" s="384" t="str">
        <f>IMAGE("https://i.ibb.co/4Z41jDL/aerodactyl.png",3)</f>
        <v/>
      </c>
      <c r="AC12" s="385" t="s">
        <v>443</v>
      </c>
      <c r="AD12" s="383" t="str">
        <f t="shared" si="6"/>
        <v/>
      </c>
      <c r="AE12" s="386"/>
      <c r="AF12" s="328"/>
    </row>
    <row r="13" ht="16.5" customHeight="1">
      <c r="A13" s="324"/>
      <c r="B13" s="340"/>
      <c r="C13" s="366" t="str">
        <f>IMAGE("https://i.ibb.co/w4Wp6Ht/archen.png",3)</f>
        <v/>
      </c>
      <c r="D13" s="367" t="s">
        <v>805</v>
      </c>
      <c r="E13" s="368" t="str">
        <f t="shared" si="1"/>
        <v/>
      </c>
      <c r="F13" s="370"/>
      <c r="G13" s="370"/>
      <c r="H13" s="371" t="str">
        <f>IMAGE("https://i.ibb.co/SNkGpZH/kabuto.png",3)</f>
        <v/>
      </c>
      <c r="I13" s="372" t="s">
        <v>806</v>
      </c>
      <c r="J13" s="373" t="str">
        <f t="shared" si="2"/>
        <v/>
      </c>
      <c r="K13" s="370"/>
      <c r="L13" s="370"/>
      <c r="M13" s="374" t="str">
        <f>IMAGE("https://i.ibb.co/x227Y9V/tyrunt.png",3)</f>
        <v/>
      </c>
      <c r="N13" s="375" t="s">
        <v>807</v>
      </c>
      <c r="O13" s="376" t="str">
        <f t="shared" si="3"/>
        <v/>
      </c>
      <c r="P13" s="370"/>
      <c r="Q13" s="370"/>
      <c r="R13" s="377" t="str">
        <f>IMAGE("https://i.ibb.co/sC4yvnX/shieldon.png",3)</f>
        <v/>
      </c>
      <c r="S13" s="378" t="s">
        <v>590</v>
      </c>
      <c r="T13" s="379" t="str">
        <f t="shared" si="4"/>
        <v/>
      </c>
      <c r="U13" s="380"/>
      <c r="V13" s="370"/>
      <c r="W13" s="381" t="str">
        <f>IMAGE("https://i.ibb.co/SNkGpZH/kabuto.png",3)</f>
        <v/>
      </c>
      <c r="X13" s="382" t="s">
        <v>806</v>
      </c>
      <c r="Y13" s="383" t="str">
        <f t="shared" si="5"/>
        <v/>
      </c>
      <c r="Z13" s="380"/>
      <c r="AA13" s="370"/>
      <c r="AB13" s="370"/>
      <c r="AC13" s="370"/>
      <c r="AD13" s="387"/>
      <c r="AE13" s="388"/>
      <c r="AF13" s="328"/>
    </row>
    <row r="14" ht="16.5" customHeight="1">
      <c r="A14" s="324"/>
      <c r="B14" s="340"/>
      <c r="C14" s="370"/>
      <c r="D14" s="370"/>
      <c r="E14" s="370"/>
      <c r="F14" s="370"/>
      <c r="G14" s="370"/>
      <c r="H14" s="371" t="str">
        <f>IMAGE("https://i.ibb.co/GWNWVzt/tirtouga.png",3)</f>
        <v/>
      </c>
      <c r="I14" s="372" t="s">
        <v>808</v>
      </c>
      <c r="J14" s="373" t="str">
        <f t="shared" si="2"/>
        <v/>
      </c>
      <c r="K14" s="370"/>
      <c r="L14" s="370"/>
      <c r="M14" s="370"/>
      <c r="N14" s="370"/>
      <c r="O14" s="370"/>
      <c r="P14" s="370"/>
      <c r="Q14" s="370"/>
      <c r="R14" s="377" t="str">
        <f>IMAGE("https://i.ibb.co/zP4XWP6/amaura.png",3)</f>
        <v/>
      </c>
      <c r="S14" s="378" t="s">
        <v>809</v>
      </c>
      <c r="T14" s="379" t="str">
        <f t="shared" si="4"/>
        <v/>
      </c>
      <c r="U14" s="380"/>
      <c r="V14" s="370"/>
      <c r="W14" s="370"/>
      <c r="X14" s="370"/>
      <c r="Y14" s="387"/>
      <c r="Z14" s="389"/>
      <c r="AA14" s="370"/>
      <c r="AB14" s="370"/>
      <c r="AC14" s="370"/>
      <c r="AD14" s="370"/>
      <c r="AE14" s="388"/>
      <c r="AF14" s="328"/>
    </row>
    <row r="15" ht="3.75" customHeight="1">
      <c r="A15" s="324"/>
      <c r="B15" s="390"/>
      <c r="C15" s="391"/>
      <c r="D15" s="391"/>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2"/>
      <c r="AF15" s="328"/>
    </row>
    <row r="16" ht="3.75" customHeight="1">
      <c r="A16" s="322"/>
      <c r="B16" s="393"/>
      <c r="C16" s="393"/>
      <c r="D16" s="393"/>
      <c r="E16" s="393"/>
      <c r="F16" s="393"/>
      <c r="G16" s="393"/>
      <c r="H16" s="393"/>
      <c r="I16" s="393"/>
      <c r="J16" s="393"/>
      <c r="K16" s="393"/>
      <c r="L16" s="393"/>
      <c r="M16" s="393"/>
      <c r="N16" s="393"/>
      <c r="O16" s="393"/>
      <c r="P16" s="393"/>
      <c r="Q16" s="393"/>
      <c r="R16" s="393"/>
      <c r="S16" s="393"/>
      <c r="T16" s="393"/>
      <c r="U16" s="393"/>
      <c r="V16" s="393"/>
      <c r="W16" s="393"/>
      <c r="X16" s="393"/>
      <c r="Y16" s="393"/>
      <c r="Z16" s="393"/>
      <c r="AA16" s="393"/>
      <c r="AB16" s="393"/>
      <c r="AC16" s="393"/>
      <c r="AD16" s="393"/>
      <c r="AE16" s="393"/>
      <c r="AF16" s="322"/>
    </row>
  </sheetData>
  <mergeCells count="20">
    <mergeCell ref="J11:K11"/>
    <mergeCell ref="O11:P11"/>
    <mergeCell ref="T11:U11"/>
    <mergeCell ref="W11:X11"/>
    <mergeCell ref="T12:U12"/>
    <mergeCell ref="Y12:Z12"/>
    <mergeCell ref="T13:U13"/>
    <mergeCell ref="Y13:Z13"/>
    <mergeCell ref="T14:U14"/>
    <mergeCell ref="Y11:Z11"/>
    <mergeCell ref="AB11:AC11"/>
    <mergeCell ref="AD11:AE11"/>
    <mergeCell ref="AD12:AE12"/>
    <mergeCell ref="C3:R4"/>
    <mergeCell ref="C5:AD5"/>
    <mergeCell ref="C6:AD6"/>
    <mergeCell ref="C7:AD7"/>
    <mergeCell ref="C8:AD8"/>
    <mergeCell ref="C9:AD9"/>
    <mergeCell ref="E11:F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7D4"/>
    <outlinePr summaryBelow="0" summaryRight="0"/>
  </sheetPr>
  <sheetViews>
    <sheetView workbookViewId="0"/>
  </sheetViews>
  <sheetFormatPr customHeight="1" defaultColWidth="12.63" defaultRowHeight="15.75"/>
  <cols>
    <col customWidth="1" min="1" max="2" width="1.38"/>
    <col customWidth="1" min="3" max="3" width="5.13"/>
    <col customWidth="1" min="4" max="4" width="19.5"/>
    <col customWidth="1" min="5" max="5" width="0.75"/>
    <col customWidth="1" min="6" max="6" width="5.13"/>
    <col customWidth="1" min="7" max="7" width="100.13"/>
    <col customWidth="1" min="8" max="9" width="1.63"/>
  </cols>
  <sheetData>
    <row r="1" ht="7.5" customHeight="1">
      <c r="A1" s="394"/>
      <c r="B1" s="395"/>
      <c r="C1" s="395"/>
      <c r="D1" s="395"/>
      <c r="E1" s="395"/>
      <c r="F1" s="395"/>
      <c r="G1" s="395"/>
      <c r="H1" s="395"/>
      <c r="I1" s="394"/>
    </row>
    <row r="2" ht="7.5" customHeight="1">
      <c r="A2" s="396"/>
      <c r="B2" s="397"/>
      <c r="C2" s="398"/>
      <c r="D2" s="398"/>
      <c r="E2" s="399"/>
      <c r="F2" s="398"/>
      <c r="G2" s="398"/>
      <c r="H2" s="400"/>
      <c r="I2" s="401"/>
    </row>
    <row r="3">
      <c r="A3" s="396"/>
      <c r="B3" s="402"/>
      <c r="C3" s="403" t="s">
        <v>810</v>
      </c>
      <c r="D3" s="404"/>
      <c r="E3" s="405"/>
      <c r="F3" s="403" t="s">
        <v>811</v>
      </c>
      <c r="G3" s="404"/>
      <c r="H3" s="406"/>
      <c r="I3" s="401"/>
    </row>
    <row r="4" ht="3.75" customHeight="1">
      <c r="A4" s="396"/>
      <c r="B4" s="407"/>
      <c r="C4" s="408"/>
      <c r="D4" s="409"/>
      <c r="E4" s="410"/>
      <c r="F4" s="408"/>
      <c r="G4" s="409"/>
      <c r="H4" s="411"/>
      <c r="I4" s="401"/>
    </row>
    <row r="5" ht="30.75" customHeight="1">
      <c r="A5" s="396"/>
      <c r="B5" s="402"/>
      <c r="C5" s="412" t="str">
        <f t="array" ref="C5:C156">IFERROR(VLOOKUP(D5:D156,Dex!$B$3:$N165,2,FALSE),"")</f>
        <v/>
      </c>
      <c r="D5" s="413" t="s">
        <v>812</v>
      </c>
      <c r="E5" s="405"/>
      <c r="F5" s="414" t="s">
        <v>813</v>
      </c>
      <c r="G5" s="415"/>
      <c r="H5" s="406"/>
      <c r="I5" s="401"/>
    </row>
    <row r="6" ht="30.75" customHeight="1">
      <c r="A6" s="396"/>
      <c r="B6" s="402"/>
      <c r="C6" s="416"/>
      <c r="D6" s="417" t="s">
        <v>814</v>
      </c>
      <c r="E6" s="405"/>
      <c r="F6" s="418" t="s">
        <v>815</v>
      </c>
      <c r="G6" s="417"/>
      <c r="H6" s="406"/>
      <c r="I6" s="401"/>
    </row>
    <row r="7" ht="30.75" customHeight="1">
      <c r="A7" s="396"/>
      <c r="B7" s="402"/>
      <c r="C7" s="419"/>
      <c r="D7" s="420" t="s">
        <v>816</v>
      </c>
      <c r="E7" s="405"/>
      <c r="F7" s="421" t="s">
        <v>817</v>
      </c>
      <c r="G7" s="422"/>
      <c r="H7" s="406"/>
      <c r="I7" s="401"/>
    </row>
    <row r="8" ht="30.75" customHeight="1">
      <c r="A8" s="396"/>
      <c r="B8" s="402"/>
      <c r="C8" s="416"/>
      <c r="D8" s="417" t="s">
        <v>818</v>
      </c>
      <c r="E8" s="405"/>
      <c r="F8" s="418" t="s">
        <v>819</v>
      </c>
      <c r="G8" s="417"/>
      <c r="H8" s="406"/>
      <c r="I8" s="401"/>
    </row>
    <row r="9" ht="30.75" customHeight="1">
      <c r="A9" s="396"/>
      <c r="B9" s="402"/>
      <c r="C9" s="419"/>
      <c r="D9" s="420" t="s">
        <v>820</v>
      </c>
      <c r="E9" s="405"/>
      <c r="F9" s="421" t="s">
        <v>821</v>
      </c>
      <c r="G9" s="422"/>
      <c r="H9" s="406"/>
      <c r="I9" s="401"/>
    </row>
    <row r="10" ht="30.75" customHeight="1">
      <c r="A10" s="396"/>
      <c r="B10" s="402"/>
      <c r="C10" s="416"/>
      <c r="D10" s="417" t="s">
        <v>822</v>
      </c>
      <c r="E10" s="405"/>
      <c r="F10" s="418" t="s">
        <v>823</v>
      </c>
      <c r="G10" s="417"/>
      <c r="H10" s="406"/>
      <c r="I10" s="401"/>
    </row>
    <row r="11" ht="30.75" customHeight="1">
      <c r="A11" s="396"/>
      <c r="B11" s="402"/>
      <c r="C11" s="419"/>
      <c r="D11" s="420" t="s">
        <v>824</v>
      </c>
      <c r="E11" s="405"/>
      <c r="F11" s="421" t="s">
        <v>825</v>
      </c>
      <c r="G11" s="422"/>
      <c r="H11" s="406"/>
      <c r="I11" s="401"/>
    </row>
    <row r="12" ht="30.75" customHeight="1">
      <c r="A12" s="396"/>
      <c r="B12" s="402"/>
      <c r="C12" s="416"/>
      <c r="D12" s="417" t="s">
        <v>826</v>
      </c>
      <c r="E12" s="405"/>
      <c r="F12" s="418" t="s">
        <v>827</v>
      </c>
      <c r="G12" s="417"/>
      <c r="H12" s="406"/>
      <c r="I12" s="401"/>
    </row>
    <row r="13">
      <c r="A13" s="396"/>
      <c r="B13" s="402"/>
      <c r="C13" s="419"/>
      <c r="D13" s="420" t="s">
        <v>828</v>
      </c>
      <c r="E13" s="405"/>
      <c r="F13" s="421" t="s">
        <v>829</v>
      </c>
      <c r="G13" s="422"/>
      <c r="H13" s="406"/>
      <c r="I13" s="401"/>
    </row>
    <row r="14" ht="30.75" customHeight="1">
      <c r="A14" s="396"/>
      <c r="B14" s="402"/>
      <c r="C14" s="423"/>
      <c r="D14" s="424" t="s">
        <v>830</v>
      </c>
      <c r="E14" s="405"/>
      <c r="F14" s="425" t="s">
        <v>831</v>
      </c>
      <c r="G14" s="426"/>
      <c r="H14" s="406"/>
      <c r="I14" s="401"/>
    </row>
    <row r="15" ht="30.75" customHeight="1">
      <c r="A15" s="396"/>
      <c r="B15" s="402"/>
      <c r="C15" s="427"/>
      <c r="D15" s="428" t="s">
        <v>832</v>
      </c>
      <c r="E15" s="405"/>
      <c r="F15" s="429" t="s">
        <v>831</v>
      </c>
      <c r="G15" s="422"/>
      <c r="H15" s="406"/>
      <c r="I15" s="401"/>
    </row>
    <row r="16" ht="30.75" customHeight="1">
      <c r="A16" s="396"/>
      <c r="B16" s="402"/>
      <c r="C16" s="430"/>
      <c r="D16" s="431" t="s">
        <v>833</v>
      </c>
      <c r="E16" s="405"/>
      <c r="F16" s="432" t="s">
        <v>831</v>
      </c>
      <c r="G16" s="433"/>
      <c r="H16" s="406"/>
      <c r="I16" s="401"/>
    </row>
    <row r="17" ht="30.75" customHeight="1">
      <c r="A17" s="396"/>
      <c r="B17" s="402"/>
      <c r="C17" s="427"/>
      <c r="D17" s="428" t="s">
        <v>834</v>
      </c>
      <c r="E17" s="405"/>
      <c r="F17" s="434" t="str">
        <f t="shared" ref="F17:F18" si="1">HYPERLINK("https://docs.google.com/spreadsheets/d/15mUFUcN8250hRL7iUOJPX0s1rMcgVuJPuHANioL4o2o/edit#gid=1403913857", "Lv. 85 - See Mystery Gifts tab.")</f>
        <v>Lv. 85 - See Mystery Gifts tab.</v>
      </c>
      <c r="G17" s="422"/>
      <c r="H17" s="406"/>
      <c r="I17" s="401"/>
    </row>
    <row r="18" ht="30.75" customHeight="1">
      <c r="A18" s="396"/>
      <c r="B18" s="402"/>
      <c r="C18" s="430"/>
      <c r="D18" s="431" t="s">
        <v>835</v>
      </c>
      <c r="E18" s="405"/>
      <c r="F18" s="435" t="str">
        <f t="shared" si="1"/>
        <v>Lv. 85 - See Mystery Gifts tab.</v>
      </c>
      <c r="G18" s="433"/>
      <c r="H18" s="406"/>
      <c r="I18" s="401"/>
    </row>
    <row r="19" ht="30.75" customHeight="1">
      <c r="A19" s="396"/>
      <c r="B19" s="402"/>
      <c r="C19" s="427"/>
      <c r="D19" s="428" t="s">
        <v>836</v>
      </c>
      <c r="E19" s="405"/>
      <c r="F19" s="436" t="s">
        <v>837</v>
      </c>
      <c r="G19" s="437"/>
      <c r="H19" s="406"/>
      <c r="I19" s="401"/>
    </row>
    <row r="20" ht="30.75" customHeight="1">
      <c r="A20" s="396"/>
      <c r="B20" s="402"/>
      <c r="C20" s="438"/>
      <c r="D20" s="439" t="s">
        <v>838</v>
      </c>
      <c r="E20" s="405"/>
      <c r="F20" s="440" t="s">
        <v>839</v>
      </c>
      <c r="G20" s="441"/>
      <c r="H20" s="406"/>
      <c r="I20" s="401"/>
    </row>
    <row r="21" ht="30.75" customHeight="1">
      <c r="A21" s="396"/>
      <c r="B21" s="402"/>
      <c r="C21" s="442"/>
      <c r="D21" s="443" t="s">
        <v>840</v>
      </c>
      <c r="E21" s="405"/>
      <c r="F21" s="444" t="s">
        <v>839</v>
      </c>
      <c r="G21" s="422"/>
      <c r="H21" s="406"/>
      <c r="I21" s="401"/>
    </row>
    <row r="22" ht="30.75" customHeight="1">
      <c r="A22" s="396"/>
      <c r="B22" s="402"/>
      <c r="C22" s="438"/>
      <c r="D22" s="439" t="s">
        <v>841</v>
      </c>
      <c r="E22" s="405"/>
      <c r="F22" s="440" t="s">
        <v>839</v>
      </c>
      <c r="G22" s="441"/>
      <c r="H22" s="406"/>
      <c r="I22" s="401"/>
    </row>
    <row r="23" ht="30.75" customHeight="1">
      <c r="A23" s="396"/>
      <c r="B23" s="402"/>
      <c r="C23" s="442"/>
      <c r="D23" s="443" t="s">
        <v>842</v>
      </c>
      <c r="E23" s="405"/>
      <c r="F23" s="444" t="s">
        <v>843</v>
      </c>
      <c r="G23" s="422"/>
      <c r="H23" s="406"/>
      <c r="I23" s="401"/>
    </row>
    <row r="24" ht="30.75" customHeight="1">
      <c r="A24" s="396"/>
      <c r="B24" s="402"/>
      <c r="C24" s="438"/>
      <c r="D24" s="439" t="s">
        <v>844</v>
      </c>
      <c r="E24" s="405"/>
      <c r="F24" s="440" t="s">
        <v>843</v>
      </c>
      <c r="G24" s="441"/>
      <c r="H24" s="406"/>
      <c r="I24" s="401"/>
    </row>
    <row r="25">
      <c r="A25" s="396"/>
      <c r="B25" s="402"/>
      <c r="C25" s="442"/>
      <c r="D25" s="443" t="s">
        <v>845</v>
      </c>
      <c r="E25" s="405"/>
      <c r="F25" s="445" t="s">
        <v>846</v>
      </c>
      <c r="G25" s="422"/>
      <c r="H25" s="406"/>
      <c r="I25" s="401"/>
    </row>
    <row r="26" ht="30.75" customHeight="1">
      <c r="A26" s="396"/>
      <c r="B26" s="402"/>
      <c r="C26" s="438"/>
      <c r="D26" s="439" t="s">
        <v>847</v>
      </c>
      <c r="E26" s="405"/>
      <c r="F26" s="446" t="str">
        <f t="shared" ref="F26:F27" si="2">HYPERLINK("https://docs.google.com/spreadsheets/d/15mUFUcN8250hRL7iUOJPX0s1rMcgVuJPuHANioL4o2o/edit#gid=1403913857", "Lv. 85 - See Mystery Gifts tab.")</f>
        <v>Lv. 85 - See Mystery Gifts tab.</v>
      </c>
      <c r="G26" s="441"/>
      <c r="H26" s="406"/>
      <c r="I26" s="401"/>
    </row>
    <row r="27" ht="30.75" customHeight="1">
      <c r="A27" s="396"/>
      <c r="B27" s="402"/>
      <c r="C27" s="442"/>
      <c r="D27" s="443" t="s">
        <v>848</v>
      </c>
      <c r="E27" s="405"/>
      <c r="F27" s="447" t="str">
        <f t="shared" si="2"/>
        <v>Lv. 85 - See Mystery Gifts tab.</v>
      </c>
      <c r="G27" s="422"/>
      <c r="H27" s="406"/>
      <c r="I27" s="401"/>
    </row>
    <row r="28" ht="30.75" customHeight="1">
      <c r="A28" s="396"/>
      <c r="B28" s="402"/>
      <c r="C28" s="438"/>
      <c r="D28" s="439" t="s">
        <v>849</v>
      </c>
      <c r="E28" s="405"/>
      <c r="F28" s="440" t="s">
        <v>850</v>
      </c>
      <c r="G28" s="441"/>
      <c r="H28" s="406"/>
      <c r="I28" s="401"/>
    </row>
    <row r="29" ht="30.75" customHeight="1">
      <c r="A29" s="396"/>
      <c r="B29" s="402"/>
      <c r="C29" s="442"/>
      <c r="D29" s="443" t="s">
        <v>851</v>
      </c>
      <c r="E29" s="405"/>
      <c r="F29" s="447" t="str">
        <f>HYPERLINK("https://docs.google.com/spreadsheets/d/15mUFUcN8250hRL7iUOJPX0s1rMcgVuJPuHANioL4o2o/edit#gid=1403913857", "Lv. 85 - See Mystery Gifts tab.")</f>
        <v>Lv. 85 - See Mystery Gifts tab.</v>
      </c>
      <c r="G29" s="422"/>
      <c r="H29" s="406"/>
      <c r="I29" s="401"/>
    </row>
    <row r="30" ht="30.75" customHeight="1">
      <c r="A30" s="396"/>
      <c r="B30" s="402"/>
      <c r="C30" s="448"/>
      <c r="D30" s="449" t="s">
        <v>852</v>
      </c>
      <c r="E30" s="405"/>
      <c r="F30" s="450" t="s">
        <v>853</v>
      </c>
      <c r="G30" s="451"/>
      <c r="H30" s="406"/>
      <c r="I30" s="401"/>
    </row>
    <row r="31" ht="30.75" customHeight="1">
      <c r="A31" s="396"/>
      <c r="B31" s="402"/>
      <c r="C31" s="452"/>
      <c r="D31" s="453" t="s">
        <v>854</v>
      </c>
      <c r="E31" s="405"/>
      <c r="F31" s="454"/>
      <c r="G31" s="455"/>
      <c r="H31" s="406"/>
      <c r="I31" s="401"/>
    </row>
    <row r="32" ht="30.75" customHeight="1">
      <c r="A32" s="396"/>
      <c r="B32" s="402"/>
      <c r="C32" s="456"/>
      <c r="D32" s="457" t="s">
        <v>855</v>
      </c>
      <c r="E32" s="405"/>
      <c r="F32" s="458"/>
      <c r="G32" s="426"/>
      <c r="H32" s="406"/>
      <c r="I32" s="401"/>
    </row>
    <row r="33" ht="30.75" customHeight="1">
      <c r="A33" s="396"/>
      <c r="B33" s="402"/>
      <c r="C33" s="459"/>
      <c r="D33" s="460" t="s">
        <v>856</v>
      </c>
      <c r="E33" s="405"/>
      <c r="F33" s="461" t="s">
        <v>857</v>
      </c>
      <c r="G33" s="455"/>
      <c r="H33" s="406"/>
      <c r="I33" s="401"/>
    </row>
    <row r="34" ht="30.75" customHeight="1">
      <c r="A34" s="396"/>
      <c r="B34" s="402"/>
      <c r="C34" s="462"/>
      <c r="D34" s="463" t="s">
        <v>858</v>
      </c>
      <c r="E34" s="405"/>
      <c r="F34" s="464"/>
      <c r="G34" s="465"/>
      <c r="H34" s="406"/>
      <c r="I34" s="401"/>
    </row>
    <row r="35" ht="30.75" customHeight="1">
      <c r="A35" s="396"/>
      <c r="B35" s="402"/>
      <c r="C35" s="462"/>
      <c r="D35" s="463" t="s">
        <v>859</v>
      </c>
      <c r="E35" s="405"/>
      <c r="F35" s="454"/>
      <c r="G35" s="455"/>
      <c r="H35" s="406"/>
      <c r="I35" s="401"/>
    </row>
    <row r="36" ht="30.75" customHeight="1">
      <c r="A36" s="396"/>
      <c r="B36" s="402"/>
      <c r="C36" s="462"/>
      <c r="D36" s="463" t="s">
        <v>860</v>
      </c>
      <c r="E36" s="405"/>
      <c r="F36" s="464"/>
      <c r="G36" s="465"/>
      <c r="H36" s="406"/>
      <c r="I36" s="401"/>
    </row>
    <row r="37" ht="30.75" customHeight="1">
      <c r="A37" s="396"/>
      <c r="B37" s="402"/>
      <c r="C37" s="466"/>
      <c r="D37" s="467" t="s">
        <v>861</v>
      </c>
      <c r="E37" s="405"/>
      <c r="F37" s="468"/>
      <c r="G37" s="469"/>
      <c r="H37" s="406"/>
      <c r="I37" s="401"/>
    </row>
    <row r="38" ht="30.75" customHeight="1">
      <c r="A38" s="396"/>
      <c r="B38" s="402"/>
      <c r="C38" s="470"/>
      <c r="D38" s="471" t="s">
        <v>862</v>
      </c>
      <c r="E38" s="405"/>
      <c r="F38" s="472" t="s">
        <v>863</v>
      </c>
      <c r="G38" s="441"/>
      <c r="H38" s="406"/>
      <c r="I38" s="401"/>
    </row>
    <row r="39" ht="30.75" customHeight="1">
      <c r="A39" s="396"/>
      <c r="B39" s="402"/>
      <c r="C39" s="473"/>
      <c r="D39" s="474" t="s">
        <v>864</v>
      </c>
      <c r="E39" s="405"/>
      <c r="F39" s="475" t="s">
        <v>863</v>
      </c>
      <c r="G39" s="422"/>
      <c r="H39" s="406"/>
      <c r="I39" s="401"/>
    </row>
    <row r="40" ht="30.75" customHeight="1">
      <c r="A40" s="396"/>
      <c r="B40" s="402"/>
      <c r="C40" s="470"/>
      <c r="D40" s="471" t="s">
        <v>865</v>
      </c>
      <c r="E40" s="405"/>
      <c r="F40" s="472" t="s">
        <v>863</v>
      </c>
      <c r="G40" s="441"/>
      <c r="H40" s="406"/>
      <c r="I40" s="401"/>
    </row>
    <row r="41" ht="30.75" customHeight="1">
      <c r="A41" s="396"/>
      <c r="B41" s="402"/>
      <c r="C41" s="473"/>
      <c r="D41" s="474" t="s">
        <v>866</v>
      </c>
      <c r="E41" s="405"/>
      <c r="F41" s="476" t="str">
        <f>HYPERLINK("https://docs.google.com/spreadsheets/d/15mUFUcN8250hRL7iUOJPX0s1rMcgVuJPuHANioL4o2o/edit#gid=1403913857", "Lv. 85 - See Mystery Gifts tab.")</f>
        <v>Lv. 85 - See Mystery Gifts tab.</v>
      </c>
      <c r="G41" s="422"/>
      <c r="H41" s="406"/>
      <c r="I41" s="401"/>
    </row>
    <row r="42" ht="30.75" customHeight="1">
      <c r="A42" s="396"/>
      <c r="B42" s="402"/>
      <c r="C42" s="470"/>
      <c r="D42" s="471" t="s">
        <v>867</v>
      </c>
      <c r="E42" s="405"/>
      <c r="F42" s="477" t="s">
        <v>868</v>
      </c>
      <c r="G42" s="441"/>
      <c r="H42" s="406"/>
      <c r="I42" s="401"/>
    </row>
    <row r="43" ht="30.75" customHeight="1">
      <c r="A43" s="396"/>
      <c r="B43" s="402"/>
      <c r="C43" s="473"/>
      <c r="D43" s="474" t="s">
        <v>869</v>
      </c>
      <c r="E43" s="405"/>
      <c r="F43" s="476" t="str">
        <f>HYPERLINK("https://docs.google.com/spreadsheets/d/15mUFUcN8250hRL7iUOJPX0s1rMcgVuJPuHANioL4o2o/edit#gid=1403913857", "Lv. 85 - See Mystery Gifts tab.")</f>
        <v>Lv. 85 - See Mystery Gifts tab.</v>
      </c>
      <c r="G43" s="422"/>
      <c r="H43" s="406"/>
      <c r="I43" s="401"/>
    </row>
    <row r="44" ht="30.75" customHeight="1">
      <c r="A44" s="396"/>
      <c r="B44" s="402"/>
      <c r="C44" s="470"/>
      <c r="D44" s="471" t="s">
        <v>870</v>
      </c>
      <c r="E44" s="405"/>
      <c r="F44" s="477" t="s">
        <v>868</v>
      </c>
      <c r="G44" s="441"/>
      <c r="H44" s="406"/>
      <c r="I44" s="401"/>
    </row>
    <row r="45" ht="30.75" customHeight="1">
      <c r="A45" s="396"/>
      <c r="B45" s="402"/>
      <c r="C45" s="473"/>
      <c r="D45" s="474" t="s">
        <v>871</v>
      </c>
      <c r="E45" s="405"/>
      <c r="F45" s="475" t="s">
        <v>872</v>
      </c>
      <c r="G45" s="422"/>
      <c r="H45" s="406"/>
      <c r="I45" s="401"/>
    </row>
    <row r="46" ht="30.75" customHeight="1">
      <c r="A46" s="396"/>
      <c r="B46" s="402"/>
      <c r="C46" s="470"/>
      <c r="D46" s="471" t="s">
        <v>873</v>
      </c>
      <c r="E46" s="405"/>
      <c r="F46" s="478" t="s">
        <v>874</v>
      </c>
      <c r="G46" s="441"/>
      <c r="H46" s="406"/>
      <c r="I46" s="401"/>
    </row>
    <row r="47" ht="30.75" customHeight="1">
      <c r="A47" s="396"/>
      <c r="B47" s="402"/>
      <c r="C47" s="473"/>
      <c r="D47" s="474" t="s">
        <v>875</v>
      </c>
      <c r="E47" s="405"/>
      <c r="F47" s="476" t="str">
        <f>HYPERLINK("https://docs.google.com/spreadsheets/d/15mUFUcN8250hRL7iUOJPX0s1rMcgVuJPuHANioL4o2o/edit#gid=1403913857", "Lv. 85 - See Mystery Gifts tab.")</f>
        <v>Lv. 85 - See Mystery Gifts tab.</v>
      </c>
      <c r="G47" s="422"/>
      <c r="H47" s="406"/>
      <c r="I47" s="401"/>
    </row>
    <row r="48" ht="30.75" customHeight="1">
      <c r="A48" s="396"/>
      <c r="B48" s="402"/>
      <c r="C48" s="470"/>
      <c r="D48" s="471" t="s">
        <v>876</v>
      </c>
      <c r="E48" s="405"/>
      <c r="F48" s="472" t="s">
        <v>877</v>
      </c>
      <c r="G48" s="441"/>
      <c r="H48" s="406"/>
      <c r="I48" s="401"/>
    </row>
    <row r="49" ht="30.75" customHeight="1">
      <c r="A49" s="396"/>
      <c r="B49" s="402"/>
      <c r="C49" s="473"/>
      <c r="D49" s="474" t="s">
        <v>878</v>
      </c>
      <c r="E49" s="405"/>
      <c r="F49" s="475" t="s">
        <v>879</v>
      </c>
      <c r="G49" s="422"/>
      <c r="H49" s="406"/>
      <c r="I49" s="401"/>
    </row>
    <row r="50" ht="30.75" customHeight="1">
      <c r="A50" s="396"/>
      <c r="B50" s="402"/>
      <c r="C50" s="470"/>
      <c r="D50" s="471" t="s">
        <v>880</v>
      </c>
      <c r="E50" s="405"/>
      <c r="F50" s="472" t="s">
        <v>881</v>
      </c>
      <c r="G50" s="441"/>
      <c r="H50" s="406"/>
      <c r="I50" s="401"/>
    </row>
    <row r="51" ht="30.75" customHeight="1">
      <c r="A51" s="396"/>
      <c r="B51" s="402"/>
      <c r="C51" s="473"/>
      <c r="D51" s="474" t="s">
        <v>882</v>
      </c>
      <c r="E51" s="405"/>
      <c r="F51" s="475" t="s">
        <v>883</v>
      </c>
      <c r="G51" s="422"/>
      <c r="H51" s="406"/>
      <c r="I51" s="401"/>
    </row>
    <row r="52" ht="30.75" customHeight="1">
      <c r="A52" s="396"/>
      <c r="B52" s="402"/>
      <c r="C52" s="470"/>
      <c r="D52" s="471" t="s">
        <v>884</v>
      </c>
      <c r="E52" s="405"/>
      <c r="F52" s="479" t="str">
        <f>HYPERLINK("https://docs.google.com/spreadsheets/d/15mUFUcN8250hRL7iUOJPX0s1rMcgVuJPuHANioL4o2o/edit#gid=1403913857", "Lv. 85 - See Mystery Gifts tab.")</f>
        <v>Lv. 85 - See Mystery Gifts tab.</v>
      </c>
      <c r="G52" s="441"/>
      <c r="H52" s="406"/>
      <c r="I52" s="401"/>
    </row>
    <row r="53" ht="30.75" customHeight="1">
      <c r="A53" s="396"/>
      <c r="B53" s="402"/>
      <c r="C53" s="473"/>
      <c r="D53" s="474" t="s">
        <v>885</v>
      </c>
      <c r="E53" s="405"/>
      <c r="F53" s="475" t="s">
        <v>886</v>
      </c>
      <c r="G53" s="422"/>
      <c r="H53" s="406"/>
      <c r="I53" s="401"/>
    </row>
    <row r="54">
      <c r="A54" s="396"/>
      <c r="B54" s="402"/>
      <c r="C54" s="470"/>
      <c r="D54" s="471" t="s">
        <v>887</v>
      </c>
      <c r="E54" s="405"/>
      <c r="F54" s="478" t="s">
        <v>888</v>
      </c>
      <c r="G54" s="441"/>
      <c r="H54" s="406"/>
      <c r="I54" s="401"/>
    </row>
    <row r="55" ht="30.75" customHeight="1">
      <c r="A55" s="396"/>
      <c r="B55" s="402"/>
      <c r="C55" s="473"/>
      <c r="D55" s="474" t="s">
        <v>889</v>
      </c>
      <c r="E55" s="405"/>
      <c r="F55" s="480" t="s">
        <v>868</v>
      </c>
      <c r="G55" s="422"/>
      <c r="H55" s="406"/>
      <c r="I55" s="401"/>
    </row>
    <row r="56" ht="30.75" customHeight="1">
      <c r="A56" s="396"/>
      <c r="B56" s="402"/>
      <c r="C56" s="481"/>
      <c r="D56" s="482" t="s">
        <v>890</v>
      </c>
      <c r="E56" s="405"/>
      <c r="F56" s="483" t="s">
        <v>879</v>
      </c>
      <c r="G56" s="426"/>
      <c r="H56" s="406"/>
      <c r="I56" s="401"/>
    </row>
    <row r="57" ht="30.75" customHeight="1">
      <c r="A57" s="396"/>
      <c r="B57" s="402"/>
      <c r="C57" s="484"/>
      <c r="D57" s="485" t="s">
        <v>891</v>
      </c>
      <c r="E57" s="405"/>
      <c r="F57" s="486" t="s">
        <v>892</v>
      </c>
      <c r="G57" s="422"/>
      <c r="H57" s="406"/>
      <c r="I57" s="401"/>
    </row>
    <row r="58" ht="30.75" customHeight="1">
      <c r="A58" s="396"/>
      <c r="B58" s="402"/>
      <c r="C58" s="487"/>
      <c r="D58" s="488" t="s">
        <v>893</v>
      </c>
      <c r="E58" s="405"/>
      <c r="F58" s="483" t="s">
        <v>894</v>
      </c>
      <c r="G58" s="426"/>
      <c r="H58" s="406"/>
      <c r="I58" s="401"/>
    </row>
    <row r="59" ht="30.75" customHeight="1">
      <c r="A59" s="396"/>
      <c r="B59" s="402"/>
      <c r="C59" s="484"/>
      <c r="D59" s="485" t="s">
        <v>895</v>
      </c>
      <c r="E59" s="405"/>
      <c r="F59" s="486" t="s">
        <v>896</v>
      </c>
      <c r="G59" s="422"/>
      <c r="H59" s="406"/>
      <c r="I59" s="401"/>
    </row>
    <row r="60" ht="30.75" customHeight="1">
      <c r="A60" s="396"/>
      <c r="B60" s="402"/>
      <c r="C60" s="487"/>
      <c r="D60" s="488" t="s">
        <v>897</v>
      </c>
      <c r="E60" s="405"/>
      <c r="F60" s="483" t="s">
        <v>843</v>
      </c>
      <c r="G60" s="426"/>
      <c r="H60" s="406"/>
      <c r="I60" s="401"/>
    </row>
    <row r="61">
      <c r="A61" s="396"/>
      <c r="B61" s="402"/>
      <c r="C61" s="484"/>
      <c r="D61" s="485" t="s">
        <v>898</v>
      </c>
      <c r="E61" s="405"/>
      <c r="F61" s="489" t="s">
        <v>899</v>
      </c>
      <c r="G61" s="422"/>
      <c r="H61" s="406"/>
      <c r="I61" s="401"/>
    </row>
    <row r="62" ht="30.75" customHeight="1">
      <c r="A62" s="396"/>
      <c r="B62" s="402"/>
      <c r="C62" s="481"/>
      <c r="D62" s="482" t="s">
        <v>900</v>
      </c>
      <c r="E62" s="405"/>
      <c r="F62" s="483" t="s">
        <v>843</v>
      </c>
      <c r="G62" s="426"/>
      <c r="H62" s="406"/>
      <c r="I62" s="401"/>
    </row>
    <row r="63">
      <c r="A63" s="396"/>
      <c r="B63" s="402"/>
      <c r="C63" s="484"/>
      <c r="D63" s="485" t="s">
        <v>901</v>
      </c>
      <c r="E63" s="405"/>
      <c r="F63" s="489" t="s">
        <v>902</v>
      </c>
      <c r="G63" s="422"/>
      <c r="H63" s="406"/>
      <c r="I63" s="401"/>
    </row>
    <row r="64" ht="30.75" customHeight="1">
      <c r="A64" s="396"/>
      <c r="B64" s="402"/>
      <c r="C64" s="487"/>
      <c r="D64" s="488" t="s">
        <v>903</v>
      </c>
      <c r="E64" s="405"/>
      <c r="F64" s="490" t="str">
        <f t="shared" ref="F64:F65" si="3">HYPERLINK("https://docs.google.com/spreadsheets/d/15mUFUcN8250hRL7iUOJPX0s1rMcgVuJPuHANioL4o2o/edit#gid=1403913857", "Lv. 85 - See Mystery Gifts tab.")</f>
        <v>Lv. 85 - See Mystery Gifts tab.</v>
      </c>
      <c r="G64" s="426"/>
      <c r="H64" s="406"/>
      <c r="I64" s="401"/>
    </row>
    <row r="65" ht="30.75" customHeight="1">
      <c r="A65" s="396"/>
      <c r="B65" s="402"/>
      <c r="C65" s="484"/>
      <c r="D65" s="485" t="s">
        <v>904</v>
      </c>
      <c r="E65" s="405"/>
      <c r="F65" s="491" t="str">
        <f t="shared" si="3"/>
        <v>Lv. 85 - See Mystery Gifts tab.</v>
      </c>
      <c r="G65" s="422"/>
      <c r="H65" s="406"/>
      <c r="I65" s="401"/>
    </row>
    <row r="66" ht="30.75" customHeight="1">
      <c r="A66" s="396"/>
      <c r="B66" s="402"/>
      <c r="C66" s="487"/>
      <c r="D66" s="488" t="s">
        <v>905</v>
      </c>
      <c r="E66" s="405"/>
      <c r="F66" s="483" t="s">
        <v>843</v>
      </c>
      <c r="G66" s="426"/>
      <c r="H66" s="406"/>
      <c r="I66" s="401"/>
    </row>
    <row r="67">
      <c r="A67" s="396"/>
      <c r="B67" s="402"/>
      <c r="C67" s="484"/>
      <c r="D67" s="485" t="s">
        <v>906</v>
      </c>
      <c r="E67" s="405"/>
      <c r="F67" s="489" t="s">
        <v>907</v>
      </c>
      <c r="G67" s="422"/>
      <c r="H67" s="406"/>
      <c r="I67" s="401"/>
    </row>
    <row r="68" ht="30.75" customHeight="1">
      <c r="A68" s="396"/>
      <c r="B68" s="402"/>
      <c r="C68" s="481"/>
      <c r="D68" s="482" t="s">
        <v>908</v>
      </c>
      <c r="E68" s="405"/>
      <c r="F68" s="483" t="s">
        <v>883</v>
      </c>
      <c r="G68" s="426"/>
      <c r="H68" s="406"/>
      <c r="I68" s="401"/>
    </row>
    <row r="69" ht="30.75" customHeight="1">
      <c r="A69" s="396"/>
      <c r="B69" s="402"/>
      <c r="C69" s="492"/>
      <c r="D69" s="493" t="s">
        <v>909</v>
      </c>
      <c r="E69" s="405"/>
      <c r="F69" s="494" t="s">
        <v>910</v>
      </c>
      <c r="G69" s="437"/>
      <c r="H69" s="406"/>
      <c r="I69" s="401"/>
    </row>
    <row r="70" ht="30.75" customHeight="1">
      <c r="A70" s="396"/>
      <c r="B70" s="402"/>
      <c r="C70" s="495"/>
      <c r="D70" s="496" t="s">
        <v>911</v>
      </c>
      <c r="E70" s="405"/>
      <c r="F70" s="458"/>
      <c r="G70" s="426"/>
      <c r="H70" s="406"/>
      <c r="I70" s="401"/>
    </row>
    <row r="71" ht="30.75" customHeight="1">
      <c r="A71" s="396"/>
      <c r="B71" s="402"/>
      <c r="C71" s="487"/>
      <c r="D71" s="488" t="s">
        <v>912</v>
      </c>
      <c r="E71" s="405"/>
      <c r="F71" s="483" t="s">
        <v>913</v>
      </c>
      <c r="G71" s="469"/>
      <c r="H71" s="406"/>
      <c r="I71" s="401"/>
    </row>
    <row r="72" ht="30.75" customHeight="1">
      <c r="A72" s="396"/>
      <c r="B72" s="402"/>
      <c r="C72" s="484"/>
      <c r="D72" s="485" t="s">
        <v>914</v>
      </c>
      <c r="E72" s="405"/>
      <c r="F72" s="486" t="s">
        <v>850</v>
      </c>
      <c r="G72" s="441"/>
      <c r="H72" s="406"/>
      <c r="I72" s="401"/>
    </row>
    <row r="73" ht="30.75" customHeight="1">
      <c r="A73" s="396"/>
      <c r="B73" s="402"/>
      <c r="C73" s="487"/>
      <c r="D73" s="488" t="s">
        <v>915</v>
      </c>
      <c r="E73" s="405"/>
      <c r="F73" s="497" t="s">
        <v>850</v>
      </c>
      <c r="G73" s="455"/>
      <c r="H73" s="406"/>
      <c r="I73" s="401"/>
    </row>
    <row r="74" ht="30.75" customHeight="1">
      <c r="A74" s="396"/>
      <c r="B74" s="402"/>
      <c r="C74" s="498"/>
      <c r="D74" s="499" t="s">
        <v>916</v>
      </c>
      <c r="E74" s="405"/>
      <c r="F74" s="500" t="s">
        <v>917</v>
      </c>
      <c r="G74" s="441"/>
      <c r="H74" s="406"/>
      <c r="I74" s="401"/>
    </row>
    <row r="75" ht="30.75" customHeight="1">
      <c r="A75" s="396"/>
      <c r="B75" s="402"/>
      <c r="C75" s="501"/>
      <c r="D75" s="502" t="s">
        <v>918</v>
      </c>
      <c r="E75" s="405"/>
      <c r="F75" s="503" t="str">
        <f t="shared" ref="F75:F76" si="4">HYPERLINK("https://docs.google.com/spreadsheets/d/15mUFUcN8250hRL7iUOJPX0s1rMcgVuJPuHANioL4o2o/edit#gid=1403913857", "Lv. 85 - See Mystery Gifts tab.")</f>
        <v>Lv. 85 - See Mystery Gifts tab.</v>
      </c>
      <c r="G75" s="422"/>
      <c r="H75" s="406"/>
      <c r="I75" s="401"/>
    </row>
    <row r="76" ht="30.75" customHeight="1">
      <c r="A76" s="396"/>
      <c r="B76" s="402"/>
      <c r="C76" s="498"/>
      <c r="D76" s="499" t="s">
        <v>919</v>
      </c>
      <c r="E76" s="405"/>
      <c r="F76" s="504" t="str">
        <f t="shared" si="4"/>
        <v>Lv. 85 - See Mystery Gifts tab.</v>
      </c>
      <c r="G76" s="441"/>
      <c r="H76" s="406"/>
      <c r="I76" s="401"/>
    </row>
    <row r="77" ht="30.75" customHeight="1">
      <c r="A77" s="396"/>
      <c r="B77" s="402"/>
      <c r="C77" s="501"/>
      <c r="D77" s="502" t="s">
        <v>920</v>
      </c>
      <c r="E77" s="405"/>
      <c r="F77" s="505" t="s">
        <v>921</v>
      </c>
      <c r="G77" s="422"/>
      <c r="H77" s="406"/>
      <c r="I77" s="401"/>
    </row>
    <row r="78" ht="30.75" customHeight="1">
      <c r="A78" s="396"/>
      <c r="B78" s="402"/>
      <c r="C78" s="498"/>
      <c r="D78" s="499" t="s">
        <v>922</v>
      </c>
      <c r="E78" s="405"/>
      <c r="F78" s="500" t="s">
        <v>923</v>
      </c>
      <c r="G78" s="441"/>
      <c r="H78" s="406"/>
      <c r="I78" s="401"/>
    </row>
    <row r="79" ht="30.75" customHeight="1">
      <c r="A79" s="396"/>
      <c r="B79" s="402"/>
      <c r="C79" s="501"/>
      <c r="D79" s="502" t="s">
        <v>924</v>
      </c>
      <c r="E79" s="405"/>
      <c r="F79" s="505" t="s">
        <v>921</v>
      </c>
      <c r="G79" s="422"/>
      <c r="H79" s="406"/>
      <c r="I79" s="401"/>
    </row>
    <row r="80" ht="30.75" customHeight="1">
      <c r="A80" s="396"/>
      <c r="B80" s="402"/>
      <c r="C80" s="498"/>
      <c r="D80" s="499" t="s">
        <v>925</v>
      </c>
      <c r="E80" s="405"/>
      <c r="F80" s="500" t="s">
        <v>926</v>
      </c>
      <c r="G80" s="441"/>
      <c r="H80" s="406"/>
      <c r="I80" s="401"/>
    </row>
    <row r="81">
      <c r="A81" s="396"/>
      <c r="B81" s="402"/>
      <c r="C81" s="501"/>
      <c r="D81" s="502" t="s">
        <v>927</v>
      </c>
      <c r="E81" s="405"/>
      <c r="F81" s="506" t="s">
        <v>928</v>
      </c>
      <c r="G81" s="422"/>
      <c r="H81" s="406"/>
      <c r="I81" s="401"/>
    </row>
    <row r="82" ht="30.75" customHeight="1">
      <c r="A82" s="396"/>
      <c r="B82" s="402"/>
      <c r="C82" s="498"/>
      <c r="D82" s="499" t="s">
        <v>929</v>
      </c>
      <c r="E82" s="405"/>
      <c r="F82" s="507" t="s">
        <v>879</v>
      </c>
      <c r="G82" s="451"/>
      <c r="H82" s="406"/>
      <c r="I82" s="401"/>
    </row>
    <row r="83" ht="30.75" customHeight="1">
      <c r="A83" s="396"/>
      <c r="B83" s="402"/>
      <c r="C83" s="508"/>
      <c r="D83" s="509" t="s">
        <v>519</v>
      </c>
      <c r="E83" s="405"/>
      <c r="F83" s="510" t="s">
        <v>930</v>
      </c>
      <c r="G83" s="422"/>
      <c r="H83" s="406"/>
      <c r="I83" s="401"/>
    </row>
    <row r="84">
      <c r="A84" s="396"/>
      <c r="B84" s="402"/>
      <c r="C84" s="511"/>
      <c r="D84" s="512" t="s">
        <v>931</v>
      </c>
      <c r="E84" s="405"/>
      <c r="F84" s="513" t="s">
        <v>932</v>
      </c>
      <c r="G84" s="441"/>
      <c r="H84" s="406"/>
      <c r="I84" s="401"/>
    </row>
    <row r="85" ht="30.75" customHeight="1">
      <c r="A85" s="396"/>
      <c r="B85" s="402"/>
      <c r="C85" s="508"/>
      <c r="D85" s="509" t="s">
        <v>933</v>
      </c>
      <c r="E85" s="405"/>
      <c r="F85" s="510" t="s">
        <v>934</v>
      </c>
      <c r="G85" s="422"/>
      <c r="H85" s="406"/>
      <c r="I85" s="401"/>
    </row>
    <row r="86" ht="30.75" customHeight="1">
      <c r="A86" s="396"/>
      <c r="B86" s="402"/>
      <c r="C86" s="511"/>
      <c r="D86" s="512" t="s">
        <v>935</v>
      </c>
      <c r="E86" s="405"/>
      <c r="F86" s="514" t="s">
        <v>936</v>
      </c>
      <c r="G86" s="441"/>
      <c r="H86" s="406"/>
      <c r="I86" s="401"/>
    </row>
    <row r="87" ht="30.75" customHeight="1">
      <c r="A87" s="396"/>
      <c r="B87" s="402"/>
      <c r="C87" s="508"/>
      <c r="D87" s="509" t="s">
        <v>937</v>
      </c>
      <c r="E87" s="405"/>
      <c r="F87" s="510" t="s">
        <v>938</v>
      </c>
      <c r="G87" s="422"/>
      <c r="H87" s="406"/>
      <c r="I87" s="401"/>
    </row>
    <row r="88" ht="30.75" customHeight="1">
      <c r="A88" s="396"/>
      <c r="B88" s="402"/>
      <c r="C88" s="511"/>
      <c r="D88" s="512" t="s">
        <v>939</v>
      </c>
      <c r="E88" s="405"/>
      <c r="F88" s="514" t="s">
        <v>883</v>
      </c>
      <c r="G88" s="441"/>
      <c r="H88" s="406"/>
      <c r="I88" s="401"/>
    </row>
    <row r="89">
      <c r="A89" s="396"/>
      <c r="B89" s="402"/>
      <c r="C89" s="508"/>
      <c r="D89" s="509" t="s">
        <v>940</v>
      </c>
      <c r="E89" s="405"/>
      <c r="F89" s="515" t="s">
        <v>941</v>
      </c>
      <c r="G89" s="422"/>
      <c r="H89" s="406"/>
      <c r="I89" s="401"/>
    </row>
    <row r="90" ht="30.75" customHeight="1">
      <c r="A90" s="396"/>
      <c r="B90" s="402"/>
      <c r="C90" s="511"/>
      <c r="D90" s="512" t="s">
        <v>942</v>
      </c>
      <c r="E90" s="405"/>
      <c r="F90" s="514" t="s">
        <v>943</v>
      </c>
      <c r="G90" s="441"/>
      <c r="H90" s="406"/>
      <c r="I90" s="401"/>
    </row>
    <row r="91" ht="30.75" customHeight="1">
      <c r="A91" s="396"/>
      <c r="B91" s="402"/>
      <c r="C91" s="508"/>
      <c r="D91" s="509" t="s">
        <v>944</v>
      </c>
      <c r="E91" s="405"/>
      <c r="F91" s="510" t="s">
        <v>945</v>
      </c>
      <c r="G91" s="422"/>
      <c r="H91" s="406"/>
      <c r="I91" s="401"/>
    </row>
    <row r="92" ht="30.75" customHeight="1">
      <c r="A92" s="396"/>
      <c r="B92" s="402"/>
      <c r="C92" s="511"/>
      <c r="D92" s="512" t="s">
        <v>946</v>
      </c>
      <c r="E92" s="405"/>
      <c r="F92" s="514" t="s">
        <v>947</v>
      </c>
      <c r="G92" s="441"/>
      <c r="H92" s="406"/>
      <c r="I92" s="401"/>
    </row>
    <row r="93" ht="30.75" customHeight="1">
      <c r="A93" s="396"/>
      <c r="B93" s="402"/>
      <c r="C93" s="508"/>
      <c r="D93" s="509" t="s">
        <v>948</v>
      </c>
      <c r="E93" s="405"/>
      <c r="F93" s="510" t="s">
        <v>949</v>
      </c>
      <c r="G93" s="422"/>
      <c r="H93" s="406"/>
      <c r="I93" s="401"/>
    </row>
    <row r="94" ht="30.75" customHeight="1">
      <c r="A94" s="396"/>
      <c r="B94" s="402"/>
      <c r="C94" s="511"/>
      <c r="D94" s="512" t="s">
        <v>950</v>
      </c>
      <c r="E94" s="405"/>
      <c r="F94" s="514" t="s">
        <v>949</v>
      </c>
      <c r="G94" s="441"/>
      <c r="H94" s="406"/>
      <c r="I94" s="401"/>
    </row>
    <row r="95" ht="30.75" customHeight="1">
      <c r="A95" s="396"/>
      <c r="B95" s="402"/>
      <c r="C95" s="508"/>
      <c r="D95" s="509" t="s">
        <v>951</v>
      </c>
      <c r="E95" s="405"/>
      <c r="F95" s="510" t="s">
        <v>952</v>
      </c>
      <c r="G95" s="422"/>
      <c r="H95" s="406"/>
      <c r="I95" s="401"/>
    </row>
    <row r="96" ht="30.75" customHeight="1">
      <c r="A96" s="396"/>
      <c r="B96" s="402"/>
      <c r="C96" s="511"/>
      <c r="D96" s="512" t="s">
        <v>953</v>
      </c>
      <c r="E96" s="405"/>
      <c r="F96" s="514" t="s">
        <v>949</v>
      </c>
      <c r="G96" s="441"/>
      <c r="H96" s="406"/>
      <c r="I96" s="401"/>
    </row>
    <row r="97" ht="30.75" customHeight="1">
      <c r="A97" s="396"/>
      <c r="B97" s="402"/>
      <c r="C97" s="508"/>
      <c r="D97" s="509" t="s">
        <v>954</v>
      </c>
      <c r="E97" s="405"/>
      <c r="F97" s="510" t="s">
        <v>952</v>
      </c>
      <c r="G97" s="422"/>
      <c r="H97" s="406"/>
      <c r="I97" s="401"/>
    </row>
    <row r="98" ht="30.75" customHeight="1">
      <c r="A98" s="396"/>
      <c r="B98" s="402"/>
      <c r="C98" s="511"/>
      <c r="D98" s="512" t="s">
        <v>955</v>
      </c>
      <c r="E98" s="405"/>
      <c r="F98" s="514" t="s">
        <v>952</v>
      </c>
      <c r="G98" s="441"/>
      <c r="H98" s="406"/>
      <c r="I98" s="401"/>
    </row>
    <row r="99" ht="30.75" customHeight="1">
      <c r="A99" s="396"/>
      <c r="B99" s="402"/>
      <c r="C99" s="508"/>
      <c r="D99" s="509" t="s">
        <v>956</v>
      </c>
      <c r="E99" s="405"/>
      <c r="F99" s="510" t="s">
        <v>949</v>
      </c>
      <c r="G99" s="422"/>
      <c r="H99" s="406"/>
      <c r="I99" s="401"/>
    </row>
    <row r="100" ht="30.75" customHeight="1">
      <c r="A100" s="396"/>
      <c r="B100" s="402"/>
      <c r="C100" s="511"/>
      <c r="D100" s="512" t="s">
        <v>957</v>
      </c>
      <c r="E100" s="405"/>
      <c r="F100" s="514" t="s">
        <v>837</v>
      </c>
      <c r="G100" s="441"/>
      <c r="H100" s="406"/>
      <c r="I100" s="401"/>
    </row>
    <row r="101" ht="30.75" customHeight="1">
      <c r="A101" s="396"/>
      <c r="B101" s="402"/>
      <c r="C101" s="508"/>
      <c r="D101" s="509" t="s">
        <v>958</v>
      </c>
      <c r="E101" s="405"/>
      <c r="F101" s="516" t="s">
        <v>959</v>
      </c>
      <c r="G101" s="437"/>
      <c r="H101" s="406"/>
      <c r="I101" s="401"/>
    </row>
    <row r="102" ht="30.75" customHeight="1">
      <c r="A102" s="396"/>
      <c r="B102" s="402"/>
      <c r="C102" s="508"/>
      <c r="D102" s="509" t="s">
        <v>960</v>
      </c>
      <c r="E102" s="405"/>
      <c r="F102" s="458"/>
      <c r="G102" s="426"/>
      <c r="H102" s="406"/>
      <c r="I102" s="401"/>
    </row>
    <row r="103" ht="30.75" customHeight="1">
      <c r="A103" s="396"/>
      <c r="B103" s="402"/>
      <c r="C103" s="511"/>
      <c r="D103" s="512" t="s">
        <v>961</v>
      </c>
      <c r="E103" s="405"/>
      <c r="F103" s="514" t="s">
        <v>962</v>
      </c>
      <c r="G103" s="422"/>
      <c r="H103" s="406"/>
      <c r="I103" s="401"/>
    </row>
    <row r="104" ht="30.75" customHeight="1">
      <c r="A104" s="396"/>
      <c r="B104" s="402"/>
      <c r="C104" s="508"/>
      <c r="D104" s="509" t="s">
        <v>963</v>
      </c>
      <c r="E104" s="405"/>
      <c r="F104" s="517" t="s">
        <v>868</v>
      </c>
      <c r="G104" s="441"/>
      <c r="H104" s="406"/>
      <c r="I104" s="401"/>
    </row>
    <row r="105">
      <c r="A105" s="396"/>
      <c r="B105" s="402"/>
      <c r="C105" s="511"/>
      <c r="D105" s="512" t="s">
        <v>964</v>
      </c>
      <c r="E105" s="405"/>
      <c r="F105" s="513" t="s">
        <v>965</v>
      </c>
      <c r="G105" s="422"/>
      <c r="H105" s="406"/>
      <c r="I105" s="401"/>
    </row>
    <row r="106" ht="30.75" customHeight="1">
      <c r="A106" s="396"/>
      <c r="B106" s="402"/>
      <c r="C106" s="508"/>
      <c r="D106" s="509" t="s">
        <v>966</v>
      </c>
      <c r="E106" s="405"/>
      <c r="F106" s="510" t="s">
        <v>952</v>
      </c>
      <c r="G106" s="441"/>
      <c r="H106" s="406"/>
      <c r="I106" s="401"/>
    </row>
    <row r="107" ht="30.75" customHeight="1">
      <c r="A107" s="396"/>
      <c r="B107" s="402"/>
      <c r="C107" s="511"/>
      <c r="D107" s="512" t="s">
        <v>967</v>
      </c>
      <c r="E107" s="405"/>
      <c r="F107" s="514" t="s">
        <v>968</v>
      </c>
      <c r="G107" s="422"/>
      <c r="H107" s="406"/>
      <c r="I107" s="401"/>
    </row>
    <row r="108" ht="30.75" customHeight="1">
      <c r="A108" s="396"/>
      <c r="B108" s="402"/>
      <c r="C108" s="508"/>
      <c r="D108" s="509" t="s">
        <v>969</v>
      </c>
      <c r="E108" s="405"/>
      <c r="F108" s="510" t="s">
        <v>949</v>
      </c>
      <c r="G108" s="441"/>
      <c r="H108" s="406"/>
      <c r="I108" s="401"/>
    </row>
    <row r="109" ht="30.75" customHeight="1">
      <c r="A109" s="396"/>
      <c r="B109" s="402"/>
      <c r="C109" s="511"/>
      <c r="D109" s="512" t="s">
        <v>970</v>
      </c>
      <c r="E109" s="405"/>
      <c r="F109" s="514" t="s">
        <v>952</v>
      </c>
      <c r="G109" s="422"/>
      <c r="H109" s="406"/>
      <c r="I109" s="401"/>
    </row>
    <row r="110" ht="30.75" customHeight="1">
      <c r="A110" s="396"/>
      <c r="B110" s="402"/>
      <c r="C110" s="508"/>
      <c r="D110" s="509" t="s">
        <v>971</v>
      </c>
      <c r="E110" s="405"/>
      <c r="F110" s="510" t="s">
        <v>972</v>
      </c>
      <c r="G110" s="441"/>
      <c r="H110" s="406"/>
      <c r="I110" s="401"/>
    </row>
    <row r="111" ht="30.75" customHeight="1">
      <c r="A111" s="396"/>
      <c r="B111" s="402"/>
      <c r="C111" s="511"/>
      <c r="D111" s="512" t="s">
        <v>520</v>
      </c>
      <c r="E111" s="405"/>
      <c r="F111" s="514" t="s">
        <v>973</v>
      </c>
      <c r="G111" s="422"/>
      <c r="H111" s="406"/>
      <c r="I111" s="401"/>
    </row>
    <row r="112" ht="30.75" customHeight="1">
      <c r="A112" s="396"/>
      <c r="B112" s="402"/>
      <c r="C112" s="508"/>
      <c r="D112" s="509" t="s">
        <v>974</v>
      </c>
      <c r="E112" s="405"/>
      <c r="F112" s="518" t="s">
        <v>975</v>
      </c>
      <c r="G112" s="451"/>
      <c r="H112" s="406"/>
      <c r="I112" s="401"/>
    </row>
    <row r="113" ht="30.75" customHeight="1">
      <c r="A113" s="396"/>
      <c r="B113" s="402"/>
      <c r="C113" s="519"/>
      <c r="D113" s="520" t="s">
        <v>976</v>
      </c>
      <c r="E113" s="405"/>
      <c r="F113" s="521" t="str">
        <f t="shared" ref="F113:F114" si="5">HYPERLINK("https://docs.google.com/spreadsheets/d/15mUFUcN8250hRL7iUOJPX0s1rMcgVuJPuHANioL4o2o/edit#gid=1403913857", "Lv. 85 - See Mystery Gifts tab.")</f>
        <v>Lv. 85 - See Mystery Gifts tab.</v>
      </c>
      <c r="G113" s="422"/>
      <c r="H113" s="406"/>
      <c r="I113" s="401"/>
    </row>
    <row r="114" ht="30.75" customHeight="1">
      <c r="A114" s="396"/>
      <c r="B114" s="402"/>
      <c r="C114" s="522"/>
      <c r="D114" s="523" t="s">
        <v>977</v>
      </c>
      <c r="E114" s="405"/>
      <c r="F114" s="524" t="str">
        <f t="shared" si="5"/>
        <v>Lv. 85 - See Mystery Gifts tab.</v>
      </c>
      <c r="G114" s="441"/>
      <c r="H114" s="406"/>
      <c r="I114" s="401"/>
    </row>
    <row r="115" ht="30.75" customHeight="1">
      <c r="A115" s="396"/>
      <c r="B115" s="402"/>
      <c r="C115" s="519"/>
      <c r="D115" s="520" t="s">
        <v>978</v>
      </c>
      <c r="E115" s="405"/>
      <c r="F115" s="525" t="s">
        <v>868</v>
      </c>
      <c r="G115" s="422"/>
      <c r="H115" s="406"/>
      <c r="I115" s="401"/>
    </row>
    <row r="116">
      <c r="A116" s="396"/>
      <c r="B116" s="402"/>
      <c r="C116" s="526"/>
      <c r="D116" s="523" t="s">
        <v>979</v>
      </c>
      <c r="E116" s="405"/>
      <c r="F116" s="527" t="s">
        <v>980</v>
      </c>
      <c r="G116" s="441"/>
      <c r="H116" s="406"/>
      <c r="I116" s="401"/>
    </row>
    <row r="117" ht="30.75" customHeight="1">
      <c r="A117" s="396"/>
      <c r="B117" s="402"/>
      <c r="C117" s="519"/>
      <c r="D117" s="520" t="s">
        <v>981</v>
      </c>
      <c r="E117" s="405"/>
      <c r="F117" s="528" t="s">
        <v>982</v>
      </c>
      <c r="G117" s="422"/>
      <c r="H117" s="406"/>
      <c r="I117" s="401"/>
    </row>
    <row r="118" ht="30.75" customHeight="1">
      <c r="A118" s="396"/>
      <c r="B118" s="402"/>
      <c r="C118" s="522"/>
      <c r="D118" s="523" t="s">
        <v>983</v>
      </c>
      <c r="E118" s="405"/>
      <c r="F118" s="529" t="s">
        <v>984</v>
      </c>
      <c r="G118" s="441"/>
      <c r="H118" s="406"/>
      <c r="I118" s="401"/>
    </row>
    <row r="119" ht="30.75" customHeight="1">
      <c r="A119" s="396"/>
      <c r="B119" s="402"/>
      <c r="C119" s="519"/>
      <c r="D119" s="520" t="s">
        <v>985</v>
      </c>
      <c r="E119" s="405"/>
      <c r="F119" s="528" t="s">
        <v>886</v>
      </c>
      <c r="G119" s="422"/>
      <c r="H119" s="406"/>
      <c r="I119" s="401"/>
    </row>
    <row r="120" ht="30.75" customHeight="1">
      <c r="A120" s="396"/>
      <c r="B120" s="402"/>
      <c r="C120" s="522"/>
      <c r="D120" s="523" t="s">
        <v>986</v>
      </c>
      <c r="E120" s="405"/>
      <c r="F120" s="529" t="s">
        <v>972</v>
      </c>
      <c r="G120" s="441"/>
      <c r="H120" s="406"/>
      <c r="I120" s="401"/>
    </row>
    <row r="121" ht="30.75" customHeight="1">
      <c r="A121" s="396"/>
      <c r="B121" s="402"/>
      <c r="C121" s="519"/>
      <c r="D121" s="520" t="s">
        <v>987</v>
      </c>
      <c r="E121" s="405"/>
      <c r="F121" s="528" t="s">
        <v>926</v>
      </c>
      <c r="G121" s="422"/>
      <c r="H121" s="406"/>
      <c r="I121" s="401"/>
    </row>
    <row r="122" ht="30.75" customHeight="1">
      <c r="A122" s="396"/>
      <c r="B122" s="402"/>
      <c r="C122" s="522"/>
      <c r="D122" s="523" t="s">
        <v>988</v>
      </c>
      <c r="E122" s="405"/>
      <c r="F122" s="529" t="s">
        <v>989</v>
      </c>
      <c r="G122" s="441"/>
      <c r="H122" s="406"/>
      <c r="I122" s="401"/>
    </row>
    <row r="123" ht="30.75" customHeight="1">
      <c r="A123" s="396"/>
      <c r="B123" s="402"/>
      <c r="C123" s="519"/>
      <c r="D123" s="520" t="s">
        <v>990</v>
      </c>
      <c r="E123" s="405"/>
      <c r="F123" s="528" t="s">
        <v>926</v>
      </c>
      <c r="G123" s="422"/>
      <c r="H123" s="406"/>
      <c r="I123" s="401"/>
    </row>
    <row r="124" ht="30.75" customHeight="1">
      <c r="A124" s="396"/>
      <c r="B124" s="402"/>
      <c r="C124" s="522"/>
      <c r="D124" s="523" t="s">
        <v>991</v>
      </c>
      <c r="E124" s="405"/>
      <c r="F124" s="529" t="s">
        <v>837</v>
      </c>
      <c r="G124" s="441"/>
      <c r="H124" s="406"/>
      <c r="I124" s="401"/>
    </row>
    <row r="125" ht="30.75" customHeight="1">
      <c r="A125" s="396"/>
      <c r="B125" s="402"/>
      <c r="C125" s="519"/>
      <c r="D125" s="520" t="s">
        <v>992</v>
      </c>
      <c r="E125" s="405"/>
      <c r="F125" s="521" t="str">
        <f t="shared" ref="F125:F126" si="6">HYPERLINK("https://docs.google.com/spreadsheets/d/15mUFUcN8250hRL7iUOJPX0s1rMcgVuJPuHANioL4o2o/edit#gid=1403913857", "Lv. 85 - See Mystery Gifts tab.")</f>
        <v>Lv. 85 - See Mystery Gifts tab.</v>
      </c>
      <c r="G125" s="422"/>
      <c r="H125" s="406"/>
      <c r="I125" s="401"/>
    </row>
    <row r="126" ht="30.75" customHeight="1">
      <c r="A126" s="396"/>
      <c r="B126" s="402"/>
      <c r="C126" s="522"/>
      <c r="D126" s="523" t="s">
        <v>993</v>
      </c>
      <c r="E126" s="405"/>
      <c r="F126" s="524" t="str">
        <f t="shared" si="6"/>
        <v>Lv. 85 - See Mystery Gifts tab.</v>
      </c>
      <c r="G126" s="441"/>
      <c r="H126" s="406"/>
      <c r="I126" s="401"/>
    </row>
    <row r="127">
      <c r="A127" s="396"/>
      <c r="B127" s="402"/>
      <c r="C127" s="519"/>
      <c r="D127" s="520" t="s">
        <v>994</v>
      </c>
      <c r="E127" s="405"/>
      <c r="F127" s="530" t="s">
        <v>995</v>
      </c>
      <c r="G127" s="422"/>
      <c r="H127" s="406"/>
      <c r="I127" s="401"/>
    </row>
    <row r="128">
      <c r="A128" s="396"/>
      <c r="B128" s="402"/>
      <c r="C128" s="522"/>
      <c r="D128" s="523" t="s">
        <v>996</v>
      </c>
      <c r="E128" s="405"/>
      <c r="F128" s="527" t="s">
        <v>997</v>
      </c>
      <c r="G128" s="441"/>
      <c r="H128" s="406"/>
      <c r="I128" s="401"/>
    </row>
    <row r="129" ht="30.75" customHeight="1">
      <c r="A129" s="396"/>
      <c r="B129" s="402"/>
      <c r="C129" s="531"/>
      <c r="D129" s="532" t="s">
        <v>201</v>
      </c>
      <c r="E129" s="405"/>
      <c r="F129" s="533" t="s">
        <v>998</v>
      </c>
      <c r="G129" s="422"/>
      <c r="H129" s="406"/>
      <c r="I129" s="401"/>
    </row>
    <row r="130" ht="30.75" customHeight="1">
      <c r="A130" s="396"/>
      <c r="B130" s="402"/>
      <c r="C130" s="534"/>
      <c r="D130" s="535" t="s">
        <v>141</v>
      </c>
      <c r="E130" s="405"/>
      <c r="F130" s="536" t="s">
        <v>999</v>
      </c>
      <c r="G130" s="441"/>
      <c r="H130" s="406"/>
      <c r="I130" s="401"/>
    </row>
    <row r="131" ht="30.75" customHeight="1">
      <c r="A131" s="396"/>
      <c r="B131" s="402"/>
      <c r="C131" s="531"/>
      <c r="D131" s="532" t="s">
        <v>770</v>
      </c>
      <c r="E131" s="405"/>
      <c r="F131" s="537" t="s">
        <v>1000</v>
      </c>
      <c r="G131" s="422"/>
      <c r="H131" s="406"/>
      <c r="I131" s="401"/>
    </row>
    <row r="132" ht="30.75" customHeight="1">
      <c r="A132" s="396"/>
      <c r="B132" s="402"/>
      <c r="C132" s="534"/>
      <c r="D132" s="535" t="s">
        <v>771</v>
      </c>
      <c r="E132" s="405"/>
      <c r="F132" s="536" t="s">
        <v>1001</v>
      </c>
      <c r="G132" s="441"/>
      <c r="H132" s="406"/>
      <c r="I132" s="401"/>
    </row>
    <row r="133">
      <c r="A133" s="396"/>
      <c r="B133" s="402"/>
      <c r="C133" s="531"/>
      <c r="D133" s="532" t="s">
        <v>269</v>
      </c>
      <c r="E133" s="405"/>
      <c r="F133" s="533" t="s">
        <v>1002</v>
      </c>
      <c r="G133" s="422"/>
      <c r="H133" s="406"/>
      <c r="I133" s="401"/>
    </row>
    <row r="134" ht="30.75" customHeight="1">
      <c r="A134" s="396"/>
      <c r="B134" s="402"/>
      <c r="C134" s="534"/>
      <c r="D134" s="535" t="s">
        <v>780</v>
      </c>
      <c r="E134" s="405"/>
      <c r="F134" s="536" t="s">
        <v>1003</v>
      </c>
      <c r="G134" s="441"/>
      <c r="H134" s="406"/>
      <c r="I134" s="401"/>
    </row>
    <row r="135" ht="30.75" customHeight="1">
      <c r="A135" s="396"/>
      <c r="B135" s="402"/>
      <c r="C135" s="531"/>
      <c r="D135" s="532" t="s">
        <v>559</v>
      </c>
      <c r="E135" s="405"/>
      <c r="F135" s="537" t="s">
        <v>1004</v>
      </c>
      <c r="G135" s="422"/>
      <c r="H135" s="406"/>
      <c r="I135" s="401"/>
    </row>
    <row r="136" ht="30.75" customHeight="1">
      <c r="A136" s="396"/>
      <c r="B136" s="402"/>
      <c r="C136" s="534"/>
      <c r="D136" s="535" t="s">
        <v>1005</v>
      </c>
      <c r="E136" s="405"/>
      <c r="F136" s="536" t="s">
        <v>1006</v>
      </c>
      <c r="G136" s="441"/>
      <c r="H136" s="406"/>
      <c r="I136" s="401"/>
    </row>
    <row r="137">
      <c r="A137" s="396"/>
      <c r="B137" s="402"/>
      <c r="C137" s="531"/>
      <c r="D137" s="532" t="s">
        <v>1007</v>
      </c>
      <c r="E137" s="405"/>
      <c r="F137" s="533" t="s">
        <v>1008</v>
      </c>
      <c r="G137" s="422"/>
      <c r="H137" s="406"/>
      <c r="I137" s="401"/>
    </row>
    <row r="138">
      <c r="A138" s="396"/>
      <c r="B138" s="402"/>
      <c r="C138" s="534"/>
      <c r="D138" s="535" t="s">
        <v>1009</v>
      </c>
      <c r="E138" s="405"/>
      <c r="F138" s="538" t="s">
        <v>1010</v>
      </c>
      <c r="G138" s="441"/>
      <c r="H138" s="406"/>
      <c r="I138" s="401"/>
    </row>
    <row r="139" ht="30.75" customHeight="1">
      <c r="A139" s="396"/>
      <c r="B139" s="402"/>
      <c r="C139" s="531"/>
      <c r="D139" s="532" t="s">
        <v>142</v>
      </c>
      <c r="E139" s="405"/>
      <c r="F139" s="533" t="s">
        <v>1011</v>
      </c>
      <c r="G139" s="422"/>
      <c r="H139" s="406"/>
      <c r="I139" s="401"/>
    </row>
    <row r="140" ht="30.75" customHeight="1">
      <c r="A140" s="396"/>
      <c r="B140" s="402"/>
      <c r="C140" s="534"/>
      <c r="D140" s="535" t="s">
        <v>756</v>
      </c>
      <c r="E140" s="405"/>
      <c r="F140" s="536" t="s">
        <v>1012</v>
      </c>
      <c r="G140" s="441"/>
      <c r="H140" s="406"/>
      <c r="I140" s="401"/>
    </row>
    <row r="141" ht="30.75" customHeight="1">
      <c r="A141" s="396"/>
      <c r="B141" s="402"/>
      <c r="C141" s="531"/>
      <c r="D141" s="532" t="s">
        <v>755</v>
      </c>
      <c r="E141" s="405"/>
      <c r="F141" s="537" t="s">
        <v>1013</v>
      </c>
      <c r="G141" s="422"/>
      <c r="H141" s="406"/>
      <c r="I141" s="401"/>
    </row>
    <row r="142" ht="30.75" customHeight="1">
      <c r="A142" s="396"/>
      <c r="B142" s="402"/>
      <c r="C142" s="534"/>
      <c r="D142" s="535" t="s">
        <v>778</v>
      </c>
      <c r="E142" s="405"/>
      <c r="F142" s="536" t="s">
        <v>1014</v>
      </c>
      <c r="G142" s="441"/>
      <c r="H142" s="406"/>
      <c r="I142" s="401"/>
    </row>
    <row r="143" ht="30.75" customHeight="1">
      <c r="A143" s="396"/>
      <c r="B143" s="402"/>
      <c r="C143" s="531"/>
      <c r="D143" s="532" t="s">
        <v>777</v>
      </c>
      <c r="E143" s="405"/>
      <c r="F143" s="533" t="s">
        <v>1015</v>
      </c>
      <c r="G143" s="422"/>
      <c r="H143" s="406"/>
      <c r="I143" s="401"/>
    </row>
    <row r="144" ht="30.75" customHeight="1">
      <c r="A144" s="396"/>
      <c r="B144" s="402"/>
      <c r="C144" s="534"/>
      <c r="D144" s="535" t="s">
        <v>205</v>
      </c>
      <c r="E144" s="405"/>
      <c r="F144" s="536" t="s">
        <v>1016</v>
      </c>
      <c r="G144" s="441"/>
      <c r="H144" s="406"/>
      <c r="I144" s="401"/>
    </row>
    <row r="145" ht="30.75" customHeight="1">
      <c r="A145" s="396"/>
      <c r="B145" s="402"/>
      <c r="C145" s="531"/>
      <c r="D145" s="532" t="s">
        <v>145</v>
      </c>
      <c r="E145" s="405"/>
      <c r="F145" s="537" t="s">
        <v>1017</v>
      </c>
      <c r="G145" s="422"/>
      <c r="H145" s="406"/>
      <c r="I145" s="401"/>
    </row>
    <row r="146" ht="30.75" customHeight="1">
      <c r="A146" s="396"/>
      <c r="B146" s="402"/>
      <c r="C146" s="534"/>
      <c r="D146" s="535" t="s">
        <v>1018</v>
      </c>
      <c r="E146" s="405"/>
      <c r="F146" s="536" t="s">
        <v>1019</v>
      </c>
      <c r="G146" s="441"/>
      <c r="H146" s="406"/>
      <c r="I146" s="401"/>
    </row>
    <row r="147" ht="30.75" customHeight="1">
      <c r="A147" s="396"/>
      <c r="B147" s="402"/>
      <c r="C147" s="531"/>
      <c r="D147" s="532" t="s">
        <v>1020</v>
      </c>
      <c r="E147" s="405"/>
      <c r="F147" s="537" t="s">
        <v>1019</v>
      </c>
      <c r="G147" s="422"/>
      <c r="H147" s="406"/>
      <c r="I147" s="401"/>
    </row>
    <row r="148" ht="30.75" customHeight="1">
      <c r="A148" s="396"/>
      <c r="B148" s="402"/>
      <c r="C148" s="534"/>
      <c r="D148" s="535" t="s">
        <v>1021</v>
      </c>
      <c r="E148" s="405"/>
      <c r="F148" s="536" t="s">
        <v>1019</v>
      </c>
      <c r="G148" s="441"/>
      <c r="H148" s="406"/>
      <c r="I148" s="401"/>
    </row>
    <row r="149" ht="30.75" customHeight="1">
      <c r="A149" s="396"/>
      <c r="B149" s="402"/>
      <c r="C149" s="531"/>
      <c r="D149" s="532" t="s">
        <v>1022</v>
      </c>
      <c r="E149" s="405"/>
      <c r="F149" s="537" t="s">
        <v>843</v>
      </c>
      <c r="G149" s="422"/>
      <c r="H149" s="406"/>
      <c r="I149" s="401"/>
    </row>
    <row r="150" ht="30.75" customHeight="1">
      <c r="A150" s="396"/>
      <c r="B150" s="402"/>
      <c r="C150" s="534"/>
      <c r="D150" s="535" t="s">
        <v>1023</v>
      </c>
      <c r="E150" s="405"/>
      <c r="F150" s="536" t="s">
        <v>843</v>
      </c>
      <c r="G150" s="441"/>
      <c r="H150" s="406"/>
      <c r="I150" s="401"/>
    </row>
    <row r="151" ht="30.75" customHeight="1">
      <c r="A151" s="396"/>
      <c r="B151" s="402"/>
      <c r="C151" s="531"/>
      <c r="D151" s="532" t="s">
        <v>1024</v>
      </c>
      <c r="E151" s="405"/>
      <c r="F151" s="537" t="s">
        <v>843</v>
      </c>
      <c r="G151" s="422"/>
      <c r="H151" s="406"/>
      <c r="I151" s="401"/>
    </row>
    <row r="152" ht="30.75" customHeight="1">
      <c r="A152" s="396"/>
      <c r="B152" s="402"/>
      <c r="C152" s="534"/>
      <c r="D152" s="535" t="s">
        <v>1025</v>
      </c>
      <c r="E152" s="405"/>
      <c r="F152" s="536" t="s">
        <v>843</v>
      </c>
      <c r="G152" s="441"/>
      <c r="H152" s="406"/>
      <c r="I152" s="401"/>
    </row>
    <row r="153" ht="30.75" customHeight="1">
      <c r="A153" s="396"/>
      <c r="B153" s="402"/>
      <c r="C153" s="531"/>
      <c r="D153" s="532" t="s">
        <v>1026</v>
      </c>
      <c r="E153" s="405"/>
      <c r="F153" s="537" t="s">
        <v>1027</v>
      </c>
      <c r="G153" s="422"/>
      <c r="H153" s="406"/>
      <c r="I153" s="401"/>
    </row>
    <row r="154" ht="30.75" customHeight="1">
      <c r="A154" s="396"/>
      <c r="B154" s="402"/>
      <c r="C154" s="534"/>
      <c r="D154" s="535" t="s">
        <v>1028</v>
      </c>
      <c r="E154" s="405"/>
      <c r="F154" s="536" t="s">
        <v>1027</v>
      </c>
      <c r="G154" s="441"/>
      <c r="H154" s="406"/>
      <c r="I154" s="401"/>
    </row>
    <row r="155" ht="30.75" customHeight="1">
      <c r="A155" s="396"/>
      <c r="B155" s="402"/>
      <c r="C155" s="531"/>
      <c r="D155" s="532" t="s">
        <v>1029</v>
      </c>
      <c r="E155" s="405"/>
      <c r="F155" s="537" t="s">
        <v>1027</v>
      </c>
      <c r="G155" s="422"/>
      <c r="H155" s="406"/>
      <c r="I155" s="401"/>
    </row>
    <row r="156" ht="30.75" customHeight="1">
      <c r="A156" s="396"/>
      <c r="B156" s="402"/>
      <c r="C156" s="534"/>
      <c r="D156" s="535" t="s">
        <v>1030</v>
      </c>
      <c r="E156" s="405"/>
      <c r="F156" s="536" t="s">
        <v>1031</v>
      </c>
      <c r="G156" s="441"/>
      <c r="H156" s="406"/>
      <c r="I156" s="401"/>
    </row>
    <row r="157" ht="30.75" customHeight="1">
      <c r="A157" s="396"/>
      <c r="B157" s="402"/>
      <c r="C157" s="539" t="str">
        <f>IMAGE("https://img.pokemondb.net/sprites/scarlet-violet/normal/ogerpon-wellspring.png",1)</f>
        <v/>
      </c>
      <c r="D157" s="532" t="s">
        <v>1032</v>
      </c>
      <c r="E157" s="405"/>
      <c r="F157" s="537" t="s">
        <v>1033</v>
      </c>
      <c r="G157" s="422"/>
      <c r="H157" s="406"/>
      <c r="I157" s="401"/>
    </row>
    <row r="158" ht="30.75" customHeight="1">
      <c r="A158" s="396"/>
      <c r="B158" s="402"/>
      <c r="C158" s="540" t="str">
        <f>IMAGE("https://img.pokemondb.net/sprites/scarlet-violet/normal/ogerpon-hearthflame.png",1)</f>
        <v/>
      </c>
      <c r="D158" s="535" t="s">
        <v>1034</v>
      </c>
      <c r="E158" s="405"/>
      <c r="F158" s="536" t="s">
        <v>1035</v>
      </c>
      <c r="G158" s="441"/>
      <c r="H158" s="406"/>
      <c r="I158" s="401"/>
    </row>
    <row r="159" ht="30.75" customHeight="1">
      <c r="A159" s="396"/>
      <c r="B159" s="402"/>
      <c r="C159" s="539" t="str">
        <f>IMAGE("https://img.pokemondb.net/sprites/scarlet-violet/normal/ogerpon-cornerstone.png",1)</f>
        <v/>
      </c>
      <c r="D159" s="532" t="s">
        <v>1036</v>
      </c>
      <c r="E159" s="405"/>
      <c r="F159" s="537" t="s">
        <v>1037</v>
      </c>
      <c r="G159" s="422"/>
      <c r="H159" s="406"/>
      <c r="I159" s="401"/>
    </row>
    <row r="160" ht="30.75" customHeight="1">
      <c r="A160" s="396"/>
      <c r="B160" s="402"/>
      <c r="C160" s="534" t="str">
        <f t="array" ref="C160:C163">IFERROR(VLOOKUP(D160:D163,Dex!$B$3:$N165,2,FALSE),"")</f>
        <v/>
      </c>
      <c r="D160" s="535" t="s">
        <v>1038</v>
      </c>
      <c r="E160" s="405"/>
      <c r="F160" s="536" t="s">
        <v>843</v>
      </c>
      <c r="G160" s="441"/>
      <c r="H160" s="406"/>
      <c r="I160" s="401"/>
    </row>
    <row r="161" ht="30.75" customHeight="1">
      <c r="A161" s="396"/>
      <c r="B161" s="402"/>
      <c r="C161" s="531"/>
      <c r="D161" s="532" t="s">
        <v>1039</v>
      </c>
      <c r="E161" s="405"/>
      <c r="F161" s="537" t="s">
        <v>921</v>
      </c>
      <c r="G161" s="422"/>
      <c r="H161" s="406"/>
      <c r="I161" s="401"/>
    </row>
    <row r="162" ht="30.75" customHeight="1">
      <c r="A162" s="396"/>
      <c r="B162" s="402"/>
      <c r="C162" s="534"/>
      <c r="D162" s="535" t="s">
        <v>1040</v>
      </c>
      <c r="E162" s="405"/>
      <c r="F162" s="541" t="str">
        <f t="shared" ref="F162:F163" si="7">HYPERLINK("https://docs.google.com/spreadsheets/d/15mUFUcN8250hRL7iUOJPX0s1rMcgVuJPuHANioL4o2o/edit#gid=1403913857", "Lv. 85 - See Mystery Gifts tab.")</f>
        <v>Lv. 85 - See Mystery Gifts tab.</v>
      </c>
      <c r="G162" s="441"/>
      <c r="H162" s="406"/>
      <c r="I162" s="401"/>
    </row>
    <row r="163" ht="30.75" customHeight="1">
      <c r="A163" s="396"/>
      <c r="B163" s="402"/>
      <c r="C163" s="542"/>
      <c r="D163" s="543" t="s">
        <v>1041</v>
      </c>
      <c r="E163" s="405"/>
      <c r="F163" s="544" t="str">
        <f t="shared" si="7"/>
        <v>Lv. 85 - See Mystery Gifts tab.</v>
      </c>
      <c r="G163" s="545"/>
      <c r="H163" s="406"/>
      <c r="I163" s="401"/>
    </row>
    <row r="164" ht="7.5" customHeight="1">
      <c r="A164" s="396"/>
      <c r="B164" s="546"/>
      <c r="C164" s="547"/>
      <c r="D164" s="548"/>
      <c r="E164" s="549"/>
      <c r="F164" s="547"/>
      <c r="G164" s="548"/>
      <c r="H164" s="550"/>
      <c r="I164" s="401"/>
    </row>
    <row r="165" ht="7.5" customHeight="1">
      <c r="A165" s="394"/>
      <c r="B165" s="551"/>
      <c r="C165" s="552"/>
      <c r="D165" s="552"/>
      <c r="E165" s="551"/>
      <c r="F165" s="552"/>
      <c r="G165" s="552"/>
      <c r="H165" s="551"/>
      <c r="I165" s="394"/>
    </row>
  </sheetData>
  <mergeCells count="151">
    <mergeCell ref="C3:D3"/>
    <mergeCell ref="F3:G3"/>
    <mergeCell ref="F5:G5"/>
    <mergeCell ref="F7:G7"/>
    <mergeCell ref="F9:G9"/>
    <mergeCell ref="F11:G11"/>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2"/>
    <mergeCell ref="F33: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62:G162"/>
    <mergeCell ref="F163:G163"/>
    <mergeCell ref="C164:D164"/>
    <mergeCell ref="F164:G164"/>
    <mergeCell ref="F155:G155"/>
    <mergeCell ref="F156:G156"/>
    <mergeCell ref="F157:G157"/>
    <mergeCell ref="F158:G158"/>
    <mergeCell ref="F159:G159"/>
    <mergeCell ref="F160:G160"/>
    <mergeCell ref="F161:G161"/>
    <mergeCell ref="F62:G62"/>
    <mergeCell ref="F63:G63"/>
    <mergeCell ref="F64:G64"/>
    <mergeCell ref="F65:G65"/>
    <mergeCell ref="F66:G66"/>
    <mergeCell ref="F67:G67"/>
    <mergeCell ref="F68:G68"/>
    <mergeCell ref="F69: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2"/>
    <mergeCell ref="F103:G103"/>
    <mergeCell ref="F104:G104"/>
    <mergeCell ref="F105:G105"/>
    <mergeCell ref="F106:G106"/>
    <mergeCell ref="F107:G107"/>
    <mergeCell ref="F108:G108"/>
    <mergeCell ref="F109:G109"/>
    <mergeCell ref="F110:G110"/>
    <mergeCell ref="F111:G111"/>
    <mergeCell ref="F112:G112"/>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1F73"/>
    <outlinePr summaryBelow="0" summaryRight="0"/>
  </sheetPr>
  <sheetViews>
    <sheetView workbookViewId="0"/>
  </sheetViews>
  <sheetFormatPr customHeight="1" defaultColWidth="12.63" defaultRowHeight="15.75"/>
  <cols>
    <col customWidth="1" min="1" max="2" width="1.38"/>
    <col customWidth="1" min="3" max="3" width="3.88"/>
    <col customWidth="1" min="4" max="5" width="9.5"/>
    <col customWidth="1" min="6" max="6" width="6.5"/>
    <col customWidth="1" min="7" max="7" width="0.75"/>
    <col customWidth="1" min="8" max="8" width="4.0"/>
    <col customWidth="1" min="9" max="10" width="9.5"/>
    <col customWidth="1" min="11" max="11" width="6.5"/>
    <col customWidth="1" min="12" max="12" width="0.75"/>
    <col customWidth="1" min="13" max="13" width="4.0"/>
    <col customWidth="1" min="14" max="15" width="9.5"/>
    <col customWidth="1" min="16" max="16" width="6.5"/>
    <col customWidth="1" min="17" max="17" width="0.75"/>
    <col customWidth="1" min="18" max="18" width="4.0"/>
    <col customWidth="1" min="19" max="20" width="9.5"/>
    <col customWidth="1" min="21" max="21" width="6.5"/>
    <col customWidth="1" min="22" max="22" width="0.75"/>
    <col customWidth="1" min="23" max="23" width="4.0"/>
    <col customWidth="1" min="24" max="25" width="9.5"/>
    <col customWidth="1" min="26" max="26" width="6.5"/>
    <col customWidth="1" min="27" max="28" width="1.38"/>
  </cols>
  <sheetData>
    <row r="1" ht="7.5" customHeight="1">
      <c r="A1" s="20"/>
      <c r="B1" s="553"/>
      <c r="C1" s="554"/>
      <c r="D1" s="554"/>
      <c r="E1" s="554"/>
      <c r="F1" s="554"/>
      <c r="G1" s="554"/>
      <c r="H1" s="554"/>
      <c r="I1" s="554"/>
      <c r="J1" s="554"/>
      <c r="K1" s="554"/>
      <c r="L1" s="554"/>
      <c r="M1" s="554"/>
      <c r="N1" s="554"/>
      <c r="O1" s="554"/>
      <c r="P1" s="554"/>
      <c r="Q1" s="554"/>
      <c r="R1" s="554"/>
      <c r="S1" s="554"/>
      <c r="T1" s="554"/>
      <c r="U1" s="554"/>
      <c r="V1" s="554"/>
      <c r="W1" s="554"/>
      <c r="X1" s="554"/>
      <c r="Y1" s="554"/>
      <c r="Z1" s="554"/>
      <c r="AA1" s="555"/>
      <c r="AB1" s="20"/>
    </row>
    <row r="2" ht="7.5" customHeight="1">
      <c r="A2" s="556"/>
      <c r="B2" s="557"/>
      <c r="C2" s="558"/>
      <c r="D2" s="558"/>
      <c r="E2" s="558"/>
      <c r="F2" s="558"/>
      <c r="G2" s="558"/>
      <c r="H2" s="558"/>
      <c r="I2" s="558"/>
      <c r="J2" s="558"/>
      <c r="K2" s="558"/>
      <c r="L2" s="558"/>
      <c r="M2" s="558"/>
      <c r="N2" s="558"/>
      <c r="O2" s="558"/>
      <c r="P2" s="558"/>
      <c r="Q2" s="558"/>
      <c r="R2" s="558"/>
      <c r="S2" s="558"/>
      <c r="T2" s="558"/>
      <c r="U2" s="558"/>
      <c r="V2" s="558"/>
      <c r="W2" s="558"/>
      <c r="X2" s="558"/>
      <c r="Y2" s="558"/>
      <c r="Z2" s="558"/>
      <c r="AA2" s="559"/>
      <c r="AB2" s="560"/>
    </row>
    <row r="3">
      <c r="A3" s="561"/>
      <c r="B3" s="562"/>
      <c r="C3" s="563" t="s">
        <v>1042</v>
      </c>
      <c r="D3" s="564"/>
      <c r="E3" s="564"/>
      <c r="F3" s="564"/>
      <c r="G3" s="564"/>
      <c r="H3" s="564"/>
      <c r="I3" s="564"/>
      <c r="J3" s="564"/>
      <c r="K3" s="564"/>
      <c r="L3" s="564"/>
      <c r="M3" s="564"/>
      <c r="N3" s="564"/>
      <c r="O3" s="564"/>
      <c r="P3" s="564"/>
      <c r="Q3" s="564"/>
      <c r="R3" s="564"/>
      <c r="S3" s="564"/>
      <c r="T3" s="564"/>
      <c r="U3" s="564"/>
      <c r="V3" s="564"/>
      <c r="W3" s="564"/>
      <c r="X3" s="404"/>
      <c r="Y3" s="565"/>
      <c r="Z3" s="566"/>
      <c r="AA3" s="567"/>
      <c r="AB3" s="568"/>
    </row>
    <row r="4" ht="3.75" customHeight="1">
      <c r="A4" s="556"/>
      <c r="B4" s="569"/>
      <c r="C4" s="570"/>
      <c r="D4" s="571"/>
      <c r="E4" s="571"/>
      <c r="F4" s="571"/>
      <c r="G4" s="571"/>
      <c r="H4" s="571"/>
      <c r="I4" s="571"/>
      <c r="J4" s="571"/>
      <c r="K4" s="571"/>
      <c r="L4" s="571"/>
      <c r="M4" s="571"/>
      <c r="N4" s="571"/>
      <c r="O4" s="571"/>
      <c r="P4" s="571"/>
      <c r="Q4" s="571"/>
      <c r="R4" s="571"/>
      <c r="S4" s="571"/>
      <c r="T4" s="571"/>
      <c r="U4" s="571"/>
      <c r="V4" s="571"/>
      <c r="W4" s="571"/>
      <c r="X4" s="571"/>
      <c r="Y4" s="571"/>
      <c r="Z4" s="570"/>
      <c r="AA4" s="572"/>
      <c r="AB4" s="560"/>
    </row>
    <row r="5">
      <c r="A5" s="561"/>
      <c r="B5" s="562"/>
      <c r="C5" s="573" t="s">
        <v>1043</v>
      </c>
      <c r="D5" s="564"/>
      <c r="E5" s="564"/>
      <c r="F5" s="564"/>
      <c r="G5" s="564"/>
      <c r="H5" s="564"/>
      <c r="I5" s="564"/>
      <c r="J5" s="564"/>
      <c r="K5" s="564"/>
      <c r="L5" s="564"/>
      <c r="M5" s="564"/>
      <c r="N5" s="564"/>
      <c r="O5" s="564"/>
      <c r="P5" s="564"/>
      <c r="Q5" s="564"/>
      <c r="R5" s="564"/>
      <c r="S5" s="564"/>
      <c r="T5" s="564"/>
      <c r="U5" s="564"/>
      <c r="V5" s="564"/>
      <c r="W5" s="564"/>
      <c r="X5" s="564"/>
      <c r="Y5" s="564"/>
      <c r="Z5" s="404"/>
      <c r="AA5" s="567"/>
      <c r="AB5" s="568"/>
    </row>
    <row r="6" ht="3.75" customHeight="1">
      <c r="A6" s="556"/>
      <c r="B6" s="569"/>
      <c r="C6" s="570"/>
      <c r="D6" s="571"/>
      <c r="E6" s="571"/>
      <c r="F6" s="571"/>
      <c r="G6" s="571"/>
      <c r="H6" s="571"/>
      <c r="I6" s="571"/>
      <c r="J6" s="571"/>
      <c r="K6" s="571"/>
      <c r="L6" s="571"/>
      <c r="M6" s="571"/>
      <c r="N6" s="571"/>
      <c r="O6" s="571"/>
      <c r="P6" s="571"/>
      <c r="Q6" s="571"/>
      <c r="R6" s="571"/>
      <c r="S6" s="571"/>
      <c r="T6" s="571"/>
      <c r="U6" s="571"/>
      <c r="V6" s="571"/>
      <c r="W6" s="571"/>
      <c r="X6" s="571"/>
      <c r="Y6" s="571"/>
      <c r="Z6" s="570"/>
      <c r="AA6" s="572"/>
      <c r="AB6" s="560"/>
    </row>
    <row r="7">
      <c r="A7" s="561"/>
      <c r="B7" s="562"/>
      <c r="C7" s="574" t="s">
        <v>1044</v>
      </c>
      <c r="D7" s="564"/>
      <c r="E7" s="564"/>
      <c r="F7" s="564"/>
      <c r="G7" s="564"/>
      <c r="H7" s="564"/>
      <c r="I7" s="564"/>
      <c r="J7" s="564"/>
      <c r="K7" s="564"/>
      <c r="L7" s="564"/>
      <c r="M7" s="564"/>
      <c r="N7" s="564"/>
      <c r="O7" s="564"/>
      <c r="P7" s="564"/>
      <c r="Q7" s="564"/>
      <c r="R7" s="564"/>
      <c r="S7" s="564"/>
      <c r="T7" s="564"/>
      <c r="U7" s="564"/>
      <c r="V7" s="564"/>
      <c r="W7" s="564"/>
      <c r="X7" s="564"/>
      <c r="Y7" s="564"/>
      <c r="Z7" s="404"/>
      <c r="AA7" s="567"/>
      <c r="AB7" s="568"/>
    </row>
    <row r="8" ht="3.75" customHeight="1">
      <c r="A8" s="556"/>
      <c r="B8" s="569"/>
      <c r="C8" s="570"/>
      <c r="D8" s="571"/>
      <c r="E8" s="571"/>
      <c r="F8" s="571"/>
      <c r="G8" s="571"/>
      <c r="H8" s="571"/>
      <c r="I8" s="571"/>
      <c r="J8" s="571"/>
      <c r="K8" s="571"/>
      <c r="L8" s="571"/>
      <c r="M8" s="571"/>
      <c r="N8" s="571"/>
      <c r="O8" s="571"/>
      <c r="P8" s="571"/>
      <c r="Q8" s="571"/>
      <c r="R8" s="571"/>
      <c r="S8" s="571"/>
      <c r="T8" s="571"/>
      <c r="U8" s="571"/>
      <c r="V8" s="571"/>
      <c r="W8" s="571"/>
      <c r="X8" s="571"/>
      <c r="Y8" s="571"/>
      <c r="Z8" s="570"/>
      <c r="AA8" s="572"/>
      <c r="AB8" s="560"/>
    </row>
    <row r="9">
      <c r="A9" s="561"/>
      <c r="B9" s="562"/>
      <c r="C9" s="575" t="s">
        <v>1045</v>
      </c>
      <c r="D9" s="564"/>
      <c r="E9" s="564"/>
      <c r="F9" s="564"/>
      <c r="G9" s="564"/>
      <c r="H9" s="564"/>
      <c r="I9" s="564"/>
      <c r="J9" s="564"/>
      <c r="K9" s="564"/>
      <c r="L9" s="564"/>
      <c r="M9" s="564"/>
      <c r="N9" s="564"/>
      <c r="O9" s="564"/>
      <c r="P9" s="564"/>
      <c r="Q9" s="564"/>
      <c r="R9" s="564"/>
      <c r="S9" s="564"/>
      <c r="T9" s="564"/>
      <c r="U9" s="564"/>
      <c r="V9" s="564"/>
      <c r="W9" s="404"/>
      <c r="X9" s="565"/>
      <c r="Y9" s="566"/>
      <c r="Z9" s="566"/>
      <c r="AA9" s="567"/>
      <c r="AB9" s="568"/>
    </row>
    <row r="10" ht="3.75" customHeight="1">
      <c r="A10" s="556"/>
      <c r="B10" s="569"/>
      <c r="C10" s="570"/>
      <c r="D10" s="570"/>
      <c r="E10" s="570"/>
      <c r="F10" s="570"/>
      <c r="G10" s="570"/>
      <c r="H10" s="570"/>
      <c r="I10" s="570"/>
      <c r="J10" s="570"/>
      <c r="K10" s="570"/>
      <c r="L10" s="570"/>
      <c r="M10" s="570"/>
      <c r="N10" s="570"/>
      <c r="O10" s="570"/>
      <c r="P10" s="570"/>
      <c r="Q10" s="570"/>
      <c r="R10" s="570"/>
      <c r="S10" s="570"/>
      <c r="T10" s="570"/>
      <c r="U10" s="570"/>
      <c r="V10" s="570"/>
      <c r="W10" s="570"/>
      <c r="X10" s="570"/>
      <c r="Y10" s="576"/>
      <c r="Z10" s="576"/>
      <c r="AA10" s="572"/>
      <c r="AB10" s="560"/>
    </row>
    <row r="11">
      <c r="A11" s="556"/>
      <c r="B11" s="577"/>
      <c r="C11" s="578" t="s">
        <v>1046</v>
      </c>
      <c r="D11" s="564"/>
      <c r="E11" s="404"/>
      <c r="F11" s="579"/>
      <c r="G11" s="580"/>
      <c r="H11" s="580"/>
      <c r="I11" s="580"/>
      <c r="J11" s="580"/>
      <c r="K11" s="580"/>
      <c r="L11" s="580"/>
      <c r="M11" s="580"/>
      <c r="N11" s="580"/>
      <c r="O11" s="566"/>
      <c r="P11" s="566"/>
      <c r="Q11" s="566"/>
      <c r="R11" s="566"/>
      <c r="S11" s="566"/>
      <c r="T11" s="566"/>
      <c r="U11" s="566"/>
      <c r="V11" s="566"/>
      <c r="W11" s="566"/>
      <c r="X11" s="566"/>
      <c r="Y11" s="566"/>
      <c r="Z11" s="581"/>
      <c r="AA11" s="572"/>
      <c r="AB11" s="560"/>
    </row>
    <row r="12" ht="3.75" customHeight="1">
      <c r="A12" s="556"/>
      <c r="B12" s="569"/>
      <c r="C12" s="582"/>
      <c r="D12" s="583"/>
      <c r="E12" s="583"/>
      <c r="F12" s="583"/>
      <c r="G12" s="583"/>
      <c r="H12" s="583"/>
      <c r="I12" s="583"/>
      <c r="J12" s="583"/>
      <c r="K12" s="583"/>
      <c r="L12" s="583"/>
      <c r="M12" s="583"/>
      <c r="N12" s="583"/>
      <c r="O12" s="584"/>
      <c r="P12" s="584"/>
      <c r="Q12" s="584"/>
      <c r="R12" s="584"/>
      <c r="S12" s="584"/>
      <c r="T12" s="584"/>
      <c r="U12" s="584"/>
      <c r="V12" s="584"/>
      <c r="W12" s="584"/>
      <c r="X12" s="584"/>
      <c r="Y12" s="566"/>
      <c r="Z12" s="581"/>
      <c r="AA12" s="572"/>
      <c r="AB12" s="560"/>
    </row>
    <row r="13">
      <c r="A13" s="556"/>
      <c r="B13" s="577"/>
      <c r="C13" s="578" t="s">
        <v>1047</v>
      </c>
      <c r="D13" s="564"/>
      <c r="E13" s="564"/>
      <c r="F13" s="404"/>
      <c r="G13" s="579"/>
      <c r="H13" s="580"/>
      <c r="I13" s="580"/>
      <c r="J13" s="580"/>
      <c r="K13" s="580"/>
      <c r="L13" s="580"/>
      <c r="M13" s="580"/>
      <c r="N13" s="580"/>
      <c r="O13" s="566"/>
      <c r="P13" s="566"/>
      <c r="Q13" s="566"/>
      <c r="R13" s="566"/>
      <c r="S13" s="566"/>
      <c r="T13" s="566"/>
      <c r="U13" s="566"/>
      <c r="V13" s="566"/>
      <c r="W13" s="566"/>
      <c r="X13" s="566"/>
      <c r="Y13" s="566"/>
      <c r="Z13" s="581"/>
      <c r="AA13" s="572"/>
      <c r="AB13" s="560"/>
    </row>
    <row r="14" ht="3.75" customHeight="1">
      <c r="A14" s="556"/>
      <c r="B14" s="569"/>
      <c r="C14" s="582"/>
      <c r="D14" s="583"/>
      <c r="E14" s="583"/>
      <c r="F14" s="583"/>
      <c r="G14" s="583"/>
      <c r="H14" s="583"/>
      <c r="I14" s="583"/>
      <c r="J14" s="583"/>
      <c r="K14" s="583"/>
      <c r="L14" s="583"/>
      <c r="M14" s="583"/>
      <c r="N14" s="583"/>
      <c r="O14" s="584"/>
      <c r="P14" s="584"/>
      <c r="Q14" s="584"/>
      <c r="R14" s="584"/>
      <c r="S14" s="584"/>
      <c r="T14" s="584"/>
      <c r="U14" s="584"/>
      <c r="V14" s="584"/>
      <c r="W14" s="584"/>
      <c r="X14" s="584"/>
      <c r="Y14" s="566"/>
      <c r="Z14" s="581"/>
      <c r="AA14" s="572"/>
      <c r="AB14" s="560"/>
    </row>
    <row r="15">
      <c r="A15" s="556"/>
      <c r="B15" s="577"/>
      <c r="C15" s="578" t="s">
        <v>1048</v>
      </c>
      <c r="D15" s="564"/>
      <c r="E15" s="404"/>
      <c r="F15" s="579"/>
      <c r="G15" s="580"/>
      <c r="H15" s="580"/>
      <c r="I15" s="580"/>
      <c r="J15" s="580"/>
      <c r="K15" s="580"/>
      <c r="L15" s="580"/>
      <c r="M15" s="580"/>
      <c r="N15" s="580"/>
      <c r="O15" s="566"/>
      <c r="P15" s="566"/>
      <c r="Q15" s="566"/>
      <c r="R15" s="566"/>
      <c r="S15" s="566"/>
      <c r="T15" s="566"/>
      <c r="U15" s="566"/>
      <c r="V15" s="566"/>
      <c r="W15" s="566"/>
      <c r="X15" s="566"/>
      <c r="Y15" s="566"/>
      <c r="Z15" s="581"/>
      <c r="AA15" s="572"/>
      <c r="AB15" s="560"/>
    </row>
    <row r="16" ht="3.75" customHeight="1">
      <c r="A16" s="556"/>
      <c r="B16" s="569"/>
      <c r="C16" s="582"/>
      <c r="D16" s="583"/>
      <c r="E16" s="583"/>
      <c r="F16" s="583"/>
      <c r="G16" s="583"/>
      <c r="H16" s="583"/>
      <c r="I16" s="583"/>
      <c r="J16" s="583"/>
      <c r="K16" s="583"/>
      <c r="L16" s="583"/>
      <c r="M16" s="583"/>
      <c r="N16" s="583"/>
      <c r="O16" s="584"/>
      <c r="P16" s="584"/>
      <c r="Q16" s="584"/>
      <c r="R16" s="584"/>
      <c r="S16" s="584"/>
      <c r="T16" s="584"/>
      <c r="U16" s="584"/>
      <c r="V16" s="584"/>
      <c r="W16" s="584"/>
      <c r="X16" s="584"/>
      <c r="Y16" s="566"/>
      <c r="Z16" s="581"/>
      <c r="AA16" s="572"/>
      <c r="AB16" s="560"/>
    </row>
    <row r="17">
      <c r="A17" s="556"/>
      <c r="B17" s="577"/>
      <c r="C17" s="578" t="s">
        <v>1049</v>
      </c>
      <c r="D17" s="564"/>
      <c r="E17" s="564"/>
      <c r="F17" s="404"/>
      <c r="G17" s="566"/>
      <c r="H17" s="566"/>
      <c r="I17" s="566"/>
      <c r="J17" s="566"/>
      <c r="K17" s="566"/>
      <c r="L17" s="566"/>
      <c r="M17" s="566"/>
      <c r="N17" s="566"/>
      <c r="O17" s="566"/>
      <c r="P17" s="566"/>
      <c r="Q17" s="566"/>
      <c r="R17" s="566"/>
      <c r="S17" s="566"/>
      <c r="T17" s="566"/>
      <c r="U17" s="566"/>
      <c r="V17" s="566"/>
      <c r="W17" s="566"/>
      <c r="X17" s="566"/>
      <c r="Y17" s="566"/>
      <c r="Z17" s="581"/>
      <c r="AA17" s="572"/>
      <c r="AB17" s="560"/>
    </row>
    <row r="18" ht="3.75" customHeight="1">
      <c r="A18" s="556"/>
      <c r="B18" s="569"/>
      <c r="C18" s="582"/>
      <c r="D18" s="583"/>
      <c r="E18" s="583"/>
      <c r="F18" s="583"/>
      <c r="G18" s="583"/>
      <c r="H18" s="583"/>
      <c r="I18" s="583"/>
      <c r="J18" s="583"/>
      <c r="K18" s="583"/>
      <c r="L18" s="583"/>
      <c r="M18" s="583"/>
      <c r="N18" s="583"/>
      <c r="O18" s="584"/>
      <c r="P18" s="584"/>
      <c r="Q18" s="584"/>
      <c r="R18" s="584"/>
      <c r="S18" s="584"/>
      <c r="T18" s="584"/>
      <c r="U18" s="584"/>
      <c r="V18" s="584"/>
      <c r="W18" s="584"/>
      <c r="X18" s="584"/>
      <c r="Y18" s="566"/>
      <c r="Z18" s="581"/>
      <c r="AA18" s="572"/>
      <c r="AB18" s="560"/>
    </row>
    <row r="19">
      <c r="A19" s="556"/>
      <c r="B19" s="577"/>
      <c r="C19" s="578" t="s">
        <v>1050</v>
      </c>
      <c r="D19" s="564"/>
      <c r="E19" s="564"/>
      <c r="F19" s="564"/>
      <c r="G19" s="564"/>
      <c r="H19" s="404"/>
      <c r="I19" s="565"/>
      <c r="J19" s="566"/>
      <c r="K19" s="566"/>
      <c r="L19" s="566"/>
      <c r="M19" s="566"/>
      <c r="N19" s="566"/>
      <c r="O19" s="566"/>
      <c r="P19" s="566"/>
      <c r="Q19" s="566"/>
      <c r="R19" s="566"/>
      <c r="S19" s="566"/>
      <c r="T19" s="566"/>
      <c r="U19" s="566"/>
      <c r="V19" s="566"/>
      <c r="W19" s="566"/>
      <c r="X19" s="566"/>
      <c r="Y19" s="566"/>
      <c r="Z19" s="581"/>
      <c r="AA19" s="572"/>
      <c r="AB19" s="560"/>
    </row>
    <row r="20" ht="3.75" customHeight="1">
      <c r="A20" s="556"/>
      <c r="B20" s="569"/>
      <c r="C20" s="582"/>
      <c r="D20" s="583"/>
      <c r="E20" s="583"/>
      <c r="F20" s="583"/>
      <c r="G20" s="583"/>
      <c r="H20" s="583"/>
      <c r="I20" s="583"/>
      <c r="J20" s="583"/>
      <c r="K20" s="583"/>
      <c r="L20" s="583"/>
      <c r="M20" s="583"/>
      <c r="N20" s="583"/>
      <c r="O20" s="584"/>
      <c r="P20" s="584"/>
      <c r="Q20" s="584"/>
      <c r="R20" s="584"/>
      <c r="S20" s="584"/>
      <c r="T20" s="584"/>
      <c r="U20" s="584"/>
      <c r="V20" s="584"/>
      <c r="W20" s="584"/>
      <c r="X20" s="584"/>
      <c r="Y20" s="566"/>
      <c r="Z20" s="581"/>
      <c r="AA20" s="572"/>
      <c r="AB20" s="560"/>
    </row>
    <row r="21">
      <c r="A21" s="556"/>
      <c r="B21" s="577"/>
      <c r="C21" s="578" t="s">
        <v>1051</v>
      </c>
      <c r="D21" s="564"/>
      <c r="E21" s="564"/>
      <c r="F21" s="404"/>
      <c r="G21" s="565"/>
      <c r="H21" s="566"/>
      <c r="I21" s="566"/>
      <c r="J21" s="566"/>
      <c r="K21" s="566"/>
      <c r="L21" s="566"/>
      <c r="M21" s="566"/>
      <c r="N21" s="566"/>
      <c r="O21" s="565"/>
      <c r="P21" s="566"/>
      <c r="Q21" s="566"/>
      <c r="R21" s="566"/>
      <c r="S21" s="566"/>
      <c r="T21" s="566"/>
      <c r="U21" s="566"/>
      <c r="V21" s="566"/>
      <c r="W21" s="566"/>
      <c r="X21" s="566"/>
      <c r="Y21" s="566"/>
      <c r="Z21" s="581"/>
      <c r="AA21" s="572"/>
      <c r="AB21" s="560"/>
    </row>
    <row r="22" ht="3.75" customHeight="1">
      <c r="A22" s="556"/>
      <c r="B22" s="569"/>
      <c r="C22" s="582"/>
      <c r="D22" s="583"/>
      <c r="E22" s="583"/>
      <c r="F22" s="583"/>
      <c r="G22" s="583"/>
      <c r="H22" s="583"/>
      <c r="I22" s="583"/>
      <c r="J22" s="583"/>
      <c r="K22" s="583"/>
      <c r="L22" s="583"/>
      <c r="M22" s="583"/>
      <c r="N22" s="583"/>
      <c r="O22" s="584"/>
      <c r="P22" s="584"/>
      <c r="Q22" s="584"/>
      <c r="R22" s="584"/>
      <c r="S22" s="584"/>
      <c r="T22" s="584"/>
      <c r="U22" s="584"/>
      <c r="V22" s="584"/>
      <c r="W22" s="584"/>
      <c r="X22" s="584"/>
      <c r="Y22" s="566"/>
      <c r="Z22" s="581"/>
      <c r="AA22" s="572"/>
      <c r="AB22" s="560"/>
    </row>
    <row r="23">
      <c r="A23" s="556"/>
      <c r="B23" s="577"/>
      <c r="C23" s="578" t="s">
        <v>1052</v>
      </c>
      <c r="D23" s="564"/>
      <c r="E23" s="564"/>
      <c r="F23" s="564"/>
      <c r="G23" s="564"/>
      <c r="H23" s="564"/>
      <c r="I23" s="404"/>
      <c r="J23" s="565"/>
      <c r="K23" s="566"/>
      <c r="L23" s="566"/>
      <c r="M23" s="566"/>
      <c r="N23" s="566"/>
      <c r="O23" s="566"/>
      <c r="P23" s="566"/>
      <c r="Q23" s="566"/>
      <c r="R23" s="566"/>
      <c r="S23" s="566"/>
      <c r="T23" s="566"/>
      <c r="U23" s="566"/>
      <c r="V23" s="566"/>
      <c r="W23" s="566"/>
      <c r="X23" s="566"/>
      <c r="Y23" s="566"/>
      <c r="Z23" s="581"/>
      <c r="AA23" s="572"/>
      <c r="AB23" s="560"/>
    </row>
    <row r="24" ht="3.75" customHeight="1">
      <c r="A24" s="556"/>
      <c r="B24" s="569"/>
      <c r="C24" s="582"/>
      <c r="D24" s="583"/>
      <c r="E24" s="583"/>
      <c r="F24" s="583"/>
      <c r="G24" s="583"/>
      <c r="H24" s="583"/>
      <c r="I24" s="583"/>
      <c r="J24" s="583"/>
      <c r="K24" s="583"/>
      <c r="L24" s="583"/>
      <c r="M24" s="583"/>
      <c r="N24" s="583"/>
      <c r="O24" s="584"/>
      <c r="P24" s="584"/>
      <c r="Q24" s="584"/>
      <c r="R24" s="584"/>
      <c r="S24" s="584"/>
      <c r="T24" s="584"/>
      <c r="U24" s="584"/>
      <c r="V24" s="584"/>
      <c r="W24" s="584"/>
      <c r="X24" s="584"/>
      <c r="Y24" s="566"/>
      <c r="Z24" s="581"/>
      <c r="AA24" s="572"/>
      <c r="AB24" s="560"/>
    </row>
    <row r="25">
      <c r="A25" s="556"/>
      <c r="B25" s="577"/>
      <c r="C25" s="578" t="s">
        <v>1053</v>
      </c>
      <c r="D25" s="564"/>
      <c r="E25" s="564"/>
      <c r="F25" s="404"/>
      <c r="G25" s="565"/>
      <c r="H25" s="566"/>
      <c r="I25" s="566"/>
      <c r="J25" s="566"/>
      <c r="K25" s="566"/>
      <c r="L25" s="566"/>
      <c r="M25" s="566"/>
      <c r="N25" s="566"/>
      <c r="O25" s="565"/>
      <c r="P25" s="566"/>
      <c r="Q25" s="566"/>
      <c r="R25" s="566"/>
      <c r="S25" s="566"/>
      <c r="T25" s="566"/>
      <c r="U25" s="566"/>
      <c r="V25" s="566"/>
      <c r="W25" s="566"/>
      <c r="X25" s="566"/>
      <c r="Y25" s="566"/>
      <c r="Z25" s="581"/>
      <c r="AA25" s="572"/>
      <c r="AB25" s="560"/>
    </row>
    <row r="26" ht="3.75" customHeight="1">
      <c r="A26" s="556"/>
      <c r="B26" s="569"/>
      <c r="C26" s="582"/>
      <c r="D26" s="583"/>
      <c r="E26" s="583"/>
      <c r="F26" s="583"/>
      <c r="G26" s="583"/>
      <c r="H26" s="583"/>
      <c r="I26" s="583"/>
      <c r="J26" s="583"/>
      <c r="K26" s="583"/>
      <c r="L26" s="583"/>
      <c r="M26" s="583"/>
      <c r="N26" s="583"/>
      <c r="O26" s="584"/>
      <c r="P26" s="584"/>
      <c r="Q26" s="584"/>
      <c r="R26" s="584"/>
      <c r="S26" s="584"/>
      <c r="T26" s="584"/>
      <c r="U26" s="584"/>
      <c r="V26" s="584"/>
      <c r="W26" s="584"/>
      <c r="X26" s="584"/>
      <c r="Y26" s="566"/>
      <c r="Z26" s="581"/>
      <c r="AA26" s="572"/>
      <c r="AB26" s="560"/>
    </row>
    <row r="27">
      <c r="A27" s="556"/>
      <c r="B27" s="585"/>
      <c r="C27" s="578" t="s">
        <v>1054</v>
      </c>
      <c r="D27" s="564"/>
      <c r="E27" s="564"/>
      <c r="F27" s="564"/>
      <c r="G27" s="564"/>
      <c r="H27" s="564"/>
      <c r="I27" s="564"/>
      <c r="J27" s="404"/>
      <c r="K27" s="565"/>
      <c r="L27" s="566"/>
      <c r="M27" s="566"/>
      <c r="N27" s="566"/>
      <c r="O27" s="566"/>
      <c r="P27" s="566"/>
      <c r="Q27" s="566"/>
      <c r="R27" s="566"/>
      <c r="S27" s="566"/>
      <c r="T27" s="566"/>
      <c r="U27" s="566"/>
      <c r="V27" s="566"/>
      <c r="W27" s="566"/>
      <c r="X27" s="566"/>
      <c r="Y27" s="566"/>
      <c r="Z27" s="581"/>
      <c r="AA27" s="586"/>
      <c r="AB27" s="560"/>
    </row>
    <row r="28" ht="60.0" customHeight="1">
      <c r="A28" s="556"/>
      <c r="B28" s="585"/>
      <c r="C28" s="587" t="s">
        <v>1055</v>
      </c>
      <c r="Z28" s="588"/>
      <c r="AA28" s="589"/>
      <c r="AB28" s="560"/>
    </row>
    <row r="29" ht="37.5" customHeight="1">
      <c r="A29" s="556"/>
      <c r="B29" s="577"/>
      <c r="C29" s="590" t="s">
        <v>536</v>
      </c>
      <c r="D29" s="168"/>
      <c r="E29" s="591"/>
      <c r="F29" s="592" t="str">
        <f t="array" ref="F29">IFERROR(VLOOKUP(C29,Dex!$B$3:$N689,2,FALSE),"")</f>
        <v/>
      </c>
      <c r="G29" s="593"/>
      <c r="H29" s="590" t="s">
        <v>90</v>
      </c>
      <c r="I29" s="168"/>
      <c r="J29" s="591"/>
      <c r="K29" s="592" t="str">
        <f t="array" ref="K29">IFERROR(VLOOKUP(H29,Dex!$B$3:$N689,2,FALSE),"")</f>
        <v/>
      </c>
      <c r="L29" s="594"/>
      <c r="M29" s="590" t="s">
        <v>278</v>
      </c>
      <c r="N29" s="168"/>
      <c r="O29" s="591"/>
      <c r="P29" s="592" t="str">
        <f t="array" ref="P29">IFERROR(VLOOKUP(M29,Dex!$B$3:$N689,2,FALSE),"")</f>
        <v/>
      </c>
      <c r="Q29" s="594"/>
      <c r="R29" s="590" t="s">
        <v>490</v>
      </c>
      <c r="S29" s="168"/>
      <c r="T29" s="591"/>
      <c r="U29" s="592" t="str">
        <f t="array" ref="U29">IFERROR(VLOOKUP(R29,Dex!$B$3:$N689,2,FALSE),"")</f>
        <v/>
      </c>
      <c r="V29" s="594"/>
      <c r="W29" s="590" t="s">
        <v>360</v>
      </c>
      <c r="X29" s="168"/>
      <c r="Y29" s="591"/>
      <c r="Z29" s="592" t="str">
        <f t="array" ref="Z29">IFERROR(VLOOKUP(W29,Dex!$B$3:$N689,2,FALSE),"")</f>
        <v/>
      </c>
      <c r="AA29" s="572"/>
      <c r="AB29" s="560"/>
    </row>
    <row r="30">
      <c r="A30" s="595"/>
      <c r="B30" s="596"/>
      <c r="C30" s="597" t="s">
        <v>1056</v>
      </c>
      <c r="D30" s="598"/>
      <c r="E30" s="599"/>
      <c r="F30" s="600" t="s">
        <v>80</v>
      </c>
      <c r="G30" s="601"/>
      <c r="H30" s="597" t="s">
        <v>1056</v>
      </c>
      <c r="I30" s="598"/>
      <c r="J30" s="599"/>
      <c r="K30" s="600" t="s">
        <v>1057</v>
      </c>
      <c r="L30" s="602"/>
      <c r="M30" s="597" t="s">
        <v>1056</v>
      </c>
      <c r="N30" s="598"/>
      <c r="O30" s="599"/>
      <c r="P30" s="600" t="s">
        <v>1057</v>
      </c>
      <c r="Q30" s="602"/>
      <c r="R30" s="597" t="s">
        <v>1056</v>
      </c>
      <c r="S30" s="598"/>
      <c r="T30" s="599"/>
      <c r="U30" s="600" t="s">
        <v>1057</v>
      </c>
      <c r="V30" s="602"/>
      <c r="W30" s="597" t="s">
        <v>1056</v>
      </c>
      <c r="X30" s="598"/>
      <c r="Y30" s="599"/>
      <c r="Z30" s="600" t="s">
        <v>1057</v>
      </c>
      <c r="AA30" s="603"/>
      <c r="AB30" s="604"/>
    </row>
    <row r="31" ht="24.0" customHeight="1">
      <c r="A31" s="556"/>
      <c r="B31" s="577"/>
      <c r="C31" s="605" t="str">
        <f>IMAGE("https://raw.githubusercontent.com/msikma/pokesprite/master/items/berry/oran.png",1)</f>
        <v/>
      </c>
      <c r="D31" s="606" t="s">
        <v>1058</v>
      </c>
      <c r="E31" s="607"/>
      <c r="F31" s="608">
        <v>1.0</v>
      </c>
      <c r="G31" s="609"/>
      <c r="H31" s="605" t="str">
        <f>IMAGE("https://raw.githubusercontent.com/msikma/pokesprite/master/items/berry/oran.png",1)</f>
        <v/>
      </c>
      <c r="I31" s="606" t="s">
        <v>1058</v>
      </c>
      <c r="J31" s="607"/>
      <c r="K31" s="608">
        <v>1.0</v>
      </c>
      <c r="L31" s="610"/>
      <c r="M31" s="605" t="str">
        <f>IMAGE("https://raw.githubusercontent.com/msikma/pokesprite/master/items/berry/oran.png",1)</f>
        <v/>
      </c>
      <c r="N31" s="606" t="s">
        <v>1058</v>
      </c>
      <c r="O31" s="607"/>
      <c r="P31" s="608">
        <v>1.0</v>
      </c>
      <c r="Q31" s="610"/>
      <c r="R31" s="605" t="str">
        <f>IMAGE("https://raw.githubusercontent.com/msikma/pokesprite/master/items/berry/oran.png",1)</f>
        <v/>
      </c>
      <c r="S31" s="606" t="s">
        <v>1058</v>
      </c>
      <c r="T31" s="607"/>
      <c r="U31" s="608">
        <v>1.0</v>
      </c>
      <c r="V31" s="610"/>
      <c r="W31" s="605" t="str">
        <f>IMAGE("https://raw.githubusercontent.com/msikma/pokesprite/master/items/berry/oran.png",1)</f>
        <v/>
      </c>
      <c r="X31" s="606" t="s">
        <v>1058</v>
      </c>
      <c r="Y31" s="607"/>
      <c r="Z31" s="608">
        <v>1.0</v>
      </c>
      <c r="AA31" s="572"/>
      <c r="AB31" s="560"/>
    </row>
    <row r="32" ht="24.0" customHeight="1">
      <c r="A32" s="556"/>
      <c r="B32" s="577"/>
      <c r="C32" s="611" t="str">
        <f>IMAGE("https://raw.githubusercontent.com/msikma/pokesprite/master/items-outline/valuable-item/stardust.png",1)</f>
        <v/>
      </c>
      <c r="D32" s="612" t="s">
        <v>1059</v>
      </c>
      <c r="E32" s="613"/>
      <c r="F32" s="614">
        <v>0.8</v>
      </c>
      <c r="G32" s="609"/>
      <c r="H32" s="611" t="str">
        <f>IMAGE("https://raw.githubusercontent.com/msikma/pokesprite/master/items-outline/valuable-item/stardust.png",1)</f>
        <v/>
      </c>
      <c r="I32" s="612" t="s">
        <v>1059</v>
      </c>
      <c r="J32" s="613"/>
      <c r="K32" s="614">
        <v>0.8</v>
      </c>
      <c r="L32" s="610"/>
      <c r="M32" s="611" t="str">
        <f>IMAGE("https://raw.githubusercontent.com/msikma/pokesprite/master/items-outline/valuable-item/stardust.png",1)</f>
        <v/>
      </c>
      <c r="N32" s="612" t="s">
        <v>1059</v>
      </c>
      <c r="O32" s="613"/>
      <c r="P32" s="614">
        <v>0.8</v>
      </c>
      <c r="Q32" s="610"/>
      <c r="R32" s="611" t="str">
        <f>IMAGE("https://raw.githubusercontent.com/msikma/pokesprite/master/items-outline/valuable-item/stardust.png",1)</f>
        <v/>
      </c>
      <c r="S32" s="612" t="s">
        <v>1059</v>
      </c>
      <c r="T32" s="613"/>
      <c r="U32" s="614">
        <v>0.8</v>
      </c>
      <c r="V32" s="610"/>
      <c r="W32" s="611" t="str">
        <f>IMAGE("https://raw.githubusercontent.com/msikma/pokesprite/master/items-outline/valuable-item/stardust.png",1)</f>
        <v/>
      </c>
      <c r="X32" s="612" t="s">
        <v>1059</v>
      </c>
      <c r="Y32" s="613"/>
      <c r="Z32" s="614">
        <v>0.8</v>
      </c>
      <c r="AA32" s="572"/>
      <c r="AB32" s="560"/>
    </row>
    <row r="33" ht="24.0" customHeight="1">
      <c r="A33" s="556"/>
      <c r="B33" s="577"/>
      <c r="C33" s="615" t="str">
        <f>IMAGE("https://raw.githubusercontent.com/msikma/pokesprite/master/items-outline/medicine/muscle-wing.png",1)</f>
        <v/>
      </c>
      <c r="D33" s="616" t="s">
        <v>1060</v>
      </c>
      <c r="E33" s="617"/>
      <c r="F33" s="618">
        <v>0.8</v>
      </c>
      <c r="G33" s="609"/>
      <c r="H33" s="615" t="str">
        <f>IMAGE("https://raw.githubusercontent.com/msikma/pokesprite/master/items-outline/medicine/muscle-wing.png",1)</f>
        <v/>
      </c>
      <c r="I33" s="616" t="s">
        <v>1060</v>
      </c>
      <c r="J33" s="617"/>
      <c r="K33" s="618">
        <v>0.8</v>
      </c>
      <c r="L33" s="610"/>
      <c r="M33" s="615" t="str">
        <f>IMAGE("https://raw.githubusercontent.com/msikma/pokesprite/master/items-outline/medicine/muscle-wing.png",1)</f>
        <v/>
      </c>
      <c r="N33" s="616" t="s">
        <v>1060</v>
      </c>
      <c r="O33" s="617"/>
      <c r="P33" s="618">
        <v>0.8</v>
      </c>
      <c r="Q33" s="610"/>
      <c r="R33" s="615" t="str">
        <f>IMAGE("https://raw.githubusercontent.com/msikma/pokesprite/master/items-outline/medicine/muscle-wing.png",1)</f>
        <v/>
      </c>
      <c r="S33" s="616" t="s">
        <v>1060</v>
      </c>
      <c r="T33" s="617"/>
      <c r="U33" s="618">
        <v>0.8</v>
      </c>
      <c r="V33" s="610"/>
      <c r="W33" s="615" t="str">
        <f>IMAGE("https://raw.githubusercontent.com/msikma/pokesprite/master/items-outline/medicine/muscle-wing.png",1)</f>
        <v/>
      </c>
      <c r="X33" s="616" t="s">
        <v>1060</v>
      </c>
      <c r="Y33" s="617"/>
      <c r="Z33" s="618">
        <v>0.8</v>
      </c>
      <c r="AA33" s="572"/>
      <c r="AB33" s="560"/>
    </row>
    <row r="34" ht="24.0" customHeight="1">
      <c r="A34" s="556"/>
      <c r="B34" s="577"/>
      <c r="C34" s="619" t="str">
        <f>IMAGE("https://raw.githubusercontent.com/msikma/pokesprite/master/items-outline/berry/chesto.png",1)</f>
        <v/>
      </c>
      <c r="D34" s="620" t="s">
        <v>1061</v>
      </c>
      <c r="E34" s="621"/>
      <c r="F34" s="622">
        <v>0.5</v>
      </c>
      <c r="G34" s="609"/>
      <c r="H34" s="619" t="str">
        <f>IMAGE("https://raw.githubusercontent.com/msikma/pokesprite/master/items-outline/berry/chesto.png",1)</f>
        <v/>
      </c>
      <c r="I34" s="620" t="s">
        <v>1061</v>
      </c>
      <c r="J34" s="621"/>
      <c r="K34" s="622">
        <v>0.5</v>
      </c>
      <c r="L34" s="610"/>
      <c r="M34" s="619" t="str">
        <f>IMAGE("https://raw.githubusercontent.com/msikma/pokesprite/master/items-outline/berry/chesto.png",1)</f>
        <v/>
      </c>
      <c r="N34" s="620" t="s">
        <v>1061</v>
      </c>
      <c r="O34" s="621"/>
      <c r="P34" s="622">
        <v>0.5</v>
      </c>
      <c r="Q34" s="610"/>
      <c r="R34" s="619" t="str">
        <f>IMAGE("https://raw.githubusercontent.com/msikma/pokesprite/master/items-outline/berry/chesto.png",1)</f>
        <v/>
      </c>
      <c r="S34" s="620" t="s">
        <v>1061</v>
      </c>
      <c r="T34" s="621"/>
      <c r="U34" s="622">
        <v>0.5</v>
      </c>
      <c r="V34" s="610"/>
      <c r="W34" s="619" t="s">
        <v>1062</v>
      </c>
      <c r="X34" s="620" t="s">
        <v>1062</v>
      </c>
      <c r="Y34" s="621"/>
      <c r="Z34" s="622" t="s">
        <v>1062</v>
      </c>
      <c r="AA34" s="572"/>
      <c r="AB34" s="560"/>
    </row>
    <row r="35" ht="24.0" customHeight="1">
      <c r="A35" s="556"/>
      <c r="B35" s="577"/>
      <c r="C35" s="623" t="str">
        <f>IMAGE("https://raw.githubusercontent.com/msikma/pokesprite/master/items-outline/berry/coba.png",1)</f>
        <v/>
      </c>
      <c r="D35" s="624" t="s">
        <v>1063</v>
      </c>
      <c r="E35" s="625"/>
      <c r="F35" s="626">
        <v>0.5</v>
      </c>
      <c r="G35" s="609"/>
      <c r="H35" s="623" t="str">
        <f>IMAGE("https://raw.githubusercontent.com/msikma/pokesprite/master/items-outline/berry/coba.png",1)</f>
        <v/>
      </c>
      <c r="I35" s="624" t="s">
        <v>1063</v>
      </c>
      <c r="J35" s="625"/>
      <c r="K35" s="626">
        <v>0.5</v>
      </c>
      <c r="L35" s="610"/>
      <c r="M35" s="623" t="str">
        <f>IMAGE("https://raw.githubusercontent.com/msikma/pokesprite/master/items-outline/berry/coba.png",1)</f>
        <v/>
      </c>
      <c r="N35" s="624" t="s">
        <v>1063</v>
      </c>
      <c r="O35" s="625"/>
      <c r="P35" s="626">
        <v>0.5</v>
      </c>
      <c r="Q35" s="610"/>
      <c r="R35" s="623" t="str">
        <f>IMAGE("https://raw.githubusercontent.com/msikma/pokesprite/master/items-outline/berry/coba.png",1)</f>
        <v/>
      </c>
      <c r="S35" s="624" t="s">
        <v>1063</v>
      </c>
      <c r="T35" s="625"/>
      <c r="U35" s="626">
        <v>0.5</v>
      </c>
      <c r="V35" s="610"/>
      <c r="W35" s="623" t="str">
        <f>IMAGE("https://raw.githubusercontent.com/msikma/pokesprite/master/items-outline/berry/coba.png",1)</f>
        <v/>
      </c>
      <c r="X35" s="624" t="s">
        <v>1063</v>
      </c>
      <c r="Y35" s="625"/>
      <c r="Z35" s="626">
        <v>0.5</v>
      </c>
      <c r="AA35" s="572"/>
      <c r="AB35" s="560"/>
    </row>
    <row r="36" ht="24.0" customHeight="1">
      <c r="A36" s="556"/>
      <c r="B36" s="577"/>
      <c r="C36" s="611" t="str">
        <f>IMAGE("https://raw.githubusercontent.com/msikma/pokesprite/master/items-outline/medicine/berry-juice.png",1)</f>
        <v/>
      </c>
      <c r="D36" s="612" t="s">
        <v>1064</v>
      </c>
      <c r="E36" s="613"/>
      <c r="F36" s="627">
        <v>0.3</v>
      </c>
      <c r="G36" s="609"/>
      <c r="H36" s="611" t="str">
        <f>IMAGE("https://raw.githubusercontent.com/msikma/pokesprite/master/items-outline/medicine/berry-juice.png",1)</f>
        <v/>
      </c>
      <c r="I36" s="612" t="s">
        <v>1064</v>
      </c>
      <c r="J36" s="613"/>
      <c r="K36" s="627">
        <v>0.3</v>
      </c>
      <c r="L36" s="610"/>
      <c r="M36" s="611" t="str">
        <f>IMAGE("https://raw.githubusercontent.com/msikma/pokesprite/master/items-outline/medicine/berry-juice.png",1)</f>
        <v/>
      </c>
      <c r="N36" s="612" t="s">
        <v>1064</v>
      </c>
      <c r="O36" s="613"/>
      <c r="P36" s="627">
        <v>0.3</v>
      </c>
      <c r="Q36" s="610"/>
      <c r="R36" s="611" t="str">
        <f>IMAGE("https://raw.githubusercontent.com/msikma/pokesprite/master/items-outline/medicine/berry-juice.png",1)</f>
        <v/>
      </c>
      <c r="S36" s="612" t="s">
        <v>1064</v>
      </c>
      <c r="T36" s="613"/>
      <c r="U36" s="627">
        <v>0.3</v>
      </c>
      <c r="V36" s="610"/>
      <c r="W36" s="611" t="str">
        <f>IMAGE("https://raw.githubusercontent.com/msikma/pokesprite/master/items-outline/berry/sitrus.png",1)</f>
        <v/>
      </c>
      <c r="X36" s="612" t="s">
        <v>1065</v>
      </c>
      <c r="Y36" s="613"/>
      <c r="Z36" s="627">
        <v>0.3</v>
      </c>
      <c r="AA36" s="572"/>
      <c r="AB36" s="560"/>
    </row>
    <row r="37" ht="24.0" customHeight="1">
      <c r="A37" s="556"/>
      <c r="B37" s="577"/>
      <c r="C37" s="615" t="str">
        <f>IMAGE("https://raw.githubusercontent.com/msikma/pokesprite/master/items-outline/ball/heal.png",1)</f>
        <v/>
      </c>
      <c r="D37" s="616" t="s">
        <v>1066</v>
      </c>
      <c r="E37" s="617"/>
      <c r="F37" s="628">
        <v>0.3</v>
      </c>
      <c r="G37" s="609"/>
      <c r="H37" s="615" t="str">
        <f>IMAGE("https://raw.githubusercontent.com/msikma/pokesprite/master/items-outline/ball/heal.png",1)</f>
        <v/>
      </c>
      <c r="I37" s="616" t="s">
        <v>1066</v>
      </c>
      <c r="J37" s="617"/>
      <c r="K37" s="628">
        <v>0.3</v>
      </c>
      <c r="L37" s="610"/>
      <c r="M37" s="615" t="str">
        <f>IMAGE("https://raw.githubusercontent.com/msikma/pokesprite/master/items-outline/ball/heal.png",1)</f>
        <v/>
      </c>
      <c r="N37" s="616" t="s">
        <v>1066</v>
      </c>
      <c r="O37" s="617"/>
      <c r="P37" s="628">
        <v>0.3</v>
      </c>
      <c r="Q37" s="610"/>
      <c r="R37" s="615" t="str">
        <f>IMAGE("https://raw.githubusercontent.com/msikma/pokesprite/master/items-outline/ball/heal.png",1)</f>
        <v/>
      </c>
      <c r="S37" s="616" t="s">
        <v>1066</v>
      </c>
      <c r="T37" s="617"/>
      <c r="U37" s="628">
        <v>0.3</v>
      </c>
      <c r="V37" s="610"/>
      <c r="W37" s="615" t="str">
        <f>IMAGE("https://raw.githubusercontent.com/msikma/pokesprite/master/items-outline/ball/heal.png",1)</f>
        <v/>
      </c>
      <c r="X37" s="616" t="s">
        <v>1066</v>
      </c>
      <c r="Y37" s="617"/>
      <c r="Z37" s="628">
        <v>0.3</v>
      </c>
      <c r="AA37" s="572"/>
      <c r="AB37" s="560"/>
    </row>
    <row r="38" ht="24.0" customHeight="1">
      <c r="A38" s="556"/>
      <c r="B38" s="577"/>
      <c r="C38" s="619" t="str">
        <f>IMAGE("https://raw.githubusercontent.com/msikma/pokesprite/master/items-outline/berry/leppa.png",1)</f>
        <v/>
      </c>
      <c r="D38" s="620" t="s">
        <v>1067</v>
      </c>
      <c r="E38" s="621"/>
      <c r="F38" s="629">
        <v>0.25</v>
      </c>
      <c r="G38" s="609"/>
      <c r="H38" s="619" t="str">
        <f>IMAGE("https://raw.githubusercontent.com/msikma/pokesprite/master/items-outline/berry/leppa.png",1)</f>
        <v/>
      </c>
      <c r="I38" s="620" t="s">
        <v>1067</v>
      </c>
      <c r="J38" s="621"/>
      <c r="K38" s="629">
        <v>0.25</v>
      </c>
      <c r="L38" s="610"/>
      <c r="M38" s="619" t="str">
        <f>IMAGE("https://raw.githubusercontent.com/msikma/pokesprite/master/items-outline/berry/leppa.png",1)</f>
        <v/>
      </c>
      <c r="N38" s="620" t="s">
        <v>1067</v>
      </c>
      <c r="O38" s="621"/>
      <c r="P38" s="629">
        <v>0.25</v>
      </c>
      <c r="Q38" s="610"/>
      <c r="R38" s="619" t="str">
        <f>IMAGE("https://raw.githubusercontent.com/msikma/pokesprite/master/items-outline/berry/leppa.png",1)</f>
        <v/>
      </c>
      <c r="S38" s="620" t="s">
        <v>1067</v>
      </c>
      <c r="T38" s="621"/>
      <c r="U38" s="629">
        <v>0.25</v>
      </c>
      <c r="V38" s="610"/>
      <c r="W38" s="619" t="str">
        <f>IMAGE("https://raw.githubusercontent.com/msikma/pokesprite/master/items-outline/berry/leppa.png",1)</f>
        <v/>
      </c>
      <c r="X38" s="620" t="s">
        <v>1067</v>
      </c>
      <c r="Y38" s="621"/>
      <c r="Z38" s="629">
        <v>0.25</v>
      </c>
      <c r="AA38" s="572"/>
      <c r="AB38" s="560"/>
    </row>
    <row r="39" ht="24.0" customHeight="1">
      <c r="A39" s="556"/>
      <c r="B39" s="577"/>
      <c r="C39" s="623" t="str">
        <f>IMAGE("https://raw.githubusercontent.com/msikma/pokesprite/master/items/other-item/wishing-piece.png",1)</f>
        <v/>
      </c>
      <c r="D39" s="630" t="s">
        <v>1068</v>
      </c>
      <c r="E39" s="625"/>
      <c r="F39" s="631">
        <v>0.25</v>
      </c>
      <c r="G39" s="609"/>
      <c r="H39" s="623" t="str">
        <f>IMAGE("https://raw.githubusercontent.com/msikma/pokesprite/master/items/other-item/wishing-piece.png",1)</f>
        <v/>
      </c>
      <c r="I39" s="630" t="s">
        <v>1068</v>
      </c>
      <c r="J39" s="625"/>
      <c r="K39" s="631">
        <v>0.25</v>
      </c>
      <c r="L39" s="610"/>
      <c r="M39" s="623" t="str">
        <f>IMAGE("https://raw.githubusercontent.com/msikma/pokesprite/master/items/other-item/wishing-piece.png",1)</f>
        <v/>
      </c>
      <c r="N39" s="630" t="s">
        <v>1068</v>
      </c>
      <c r="O39" s="625"/>
      <c r="P39" s="631">
        <v>0.25</v>
      </c>
      <c r="Q39" s="610"/>
      <c r="R39" s="623" t="str">
        <f>IMAGE("https://raw.githubusercontent.com/msikma/pokesprite/master/items/other-item/wishing-piece.png",1)</f>
        <v/>
      </c>
      <c r="S39" s="630" t="s">
        <v>1068</v>
      </c>
      <c r="T39" s="625"/>
      <c r="U39" s="631">
        <v>0.25</v>
      </c>
      <c r="V39" s="610"/>
      <c r="W39" s="623" t="str">
        <f>IMAGE("https://raw.githubusercontent.com/msikma/pokesprite/master/items/other-item/wishing-piece.png",1)</f>
        <v/>
      </c>
      <c r="X39" s="630" t="s">
        <v>1068</v>
      </c>
      <c r="Y39" s="625"/>
      <c r="Z39" s="631">
        <v>0.25</v>
      </c>
      <c r="AA39" s="572"/>
      <c r="AB39" s="560"/>
    </row>
    <row r="40" ht="24.0" customHeight="1">
      <c r="A40" s="556"/>
      <c r="B40" s="577"/>
      <c r="C40" s="632" t="str">
        <f>IMAGE("https://raw.githubusercontent.com/msikma/pokesprite/master/items-outline/medicine/protein.png",1)</f>
        <v/>
      </c>
      <c r="D40" s="633" t="s">
        <v>1069</v>
      </c>
      <c r="E40" s="634"/>
      <c r="F40" s="635">
        <v>0.05</v>
      </c>
      <c r="G40" s="636"/>
      <c r="H40" s="632" t="str">
        <f>IMAGE("https://raw.githubusercontent.com/msikma/pokesprite/master/items-outline/medicine/protein.png",1)</f>
        <v/>
      </c>
      <c r="I40" s="633" t="s">
        <v>1069</v>
      </c>
      <c r="J40" s="634"/>
      <c r="K40" s="635">
        <v>0.05</v>
      </c>
      <c r="L40" s="610"/>
      <c r="M40" s="632" t="str">
        <f>IMAGE("https://raw.githubusercontent.com/msikma/pokesprite/master/items-outline/medicine/protein.png",1)</f>
        <v/>
      </c>
      <c r="N40" s="633" t="s">
        <v>1069</v>
      </c>
      <c r="O40" s="634"/>
      <c r="P40" s="635">
        <v>0.05</v>
      </c>
      <c r="Q40" s="610"/>
      <c r="R40" s="632" t="str">
        <f>IMAGE("https://raw.githubusercontent.com/msikma/pokesprite/master/items-outline/medicine/protein.png",1)</f>
        <v/>
      </c>
      <c r="S40" s="633" t="s">
        <v>1069</v>
      </c>
      <c r="T40" s="634"/>
      <c r="U40" s="635">
        <v>0.05</v>
      </c>
      <c r="V40" s="610"/>
      <c r="W40" s="632" t="str">
        <f>IMAGE("https://raw.githubusercontent.com/msikma/pokesprite/master/items-outline/medicine/protein.png",1)</f>
        <v/>
      </c>
      <c r="X40" s="633" t="s">
        <v>1069</v>
      </c>
      <c r="Y40" s="634"/>
      <c r="Z40" s="635">
        <v>0.05</v>
      </c>
      <c r="AA40" s="572"/>
      <c r="AB40" s="560"/>
    </row>
    <row r="41" ht="24.0" customHeight="1">
      <c r="A41" s="556"/>
      <c r="B41" s="577"/>
      <c r="C41" s="637" t="str">
        <f>IMAGE("https://raw.githubusercontent.com/msikma/pokesprite/master/items-outline/medicine/pp-up.png",1)</f>
        <v/>
      </c>
      <c r="D41" s="638" t="s">
        <v>1070</v>
      </c>
      <c r="E41" s="639"/>
      <c r="F41" s="640">
        <v>0.04</v>
      </c>
      <c r="G41" s="636"/>
      <c r="H41" s="637" t="str">
        <f>IMAGE("https://raw.githubusercontent.com/msikma/pokesprite/master/items-outline/medicine/pp-up.png",1)</f>
        <v/>
      </c>
      <c r="I41" s="638" t="s">
        <v>1070</v>
      </c>
      <c r="J41" s="639"/>
      <c r="K41" s="640">
        <v>0.04</v>
      </c>
      <c r="L41" s="610"/>
      <c r="M41" s="637" t="str">
        <f>IMAGE("https://raw.githubusercontent.com/msikma/pokesprite/master/items-outline/medicine/pp-up.png",1)</f>
        <v/>
      </c>
      <c r="N41" s="638" t="s">
        <v>1070</v>
      </c>
      <c r="O41" s="639"/>
      <c r="P41" s="640">
        <v>0.04</v>
      </c>
      <c r="Q41" s="610"/>
      <c r="R41" s="637" t="str">
        <f>IMAGE("https://raw.githubusercontent.com/msikma/pokesprite/master/items-outline/medicine/pp-up.png",1)</f>
        <v/>
      </c>
      <c r="S41" s="638" t="s">
        <v>1070</v>
      </c>
      <c r="T41" s="639"/>
      <c r="U41" s="640">
        <v>0.04</v>
      </c>
      <c r="V41" s="610"/>
      <c r="W41" s="637" t="str">
        <f>IMAGE("https://raw.githubusercontent.com/msikma/pokesprite/master/items-outline/medicine/pp-up.png",1)</f>
        <v/>
      </c>
      <c r="X41" s="638" t="s">
        <v>1070</v>
      </c>
      <c r="Y41" s="639"/>
      <c r="Z41" s="640">
        <v>0.04</v>
      </c>
      <c r="AA41" s="572"/>
      <c r="AB41" s="560"/>
    </row>
    <row r="42" ht="24.75" customHeight="1">
      <c r="A42" s="556"/>
      <c r="B42" s="577"/>
      <c r="C42" s="641" t="str">
        <f>IMAGE("https://raw.githubusercontent.com/msikma/pokesprite/master/items-outline/hold-item/lucky-egg.png",1)</f>
        <v/>
      </c>
      <c r="D42" s="642" t="s">
        <v>1071</v>
      </c>
      <c r="E42" s="643"/>
      <c r="F42" s="644">
        <v>0.01</v>
      </c>
      <c r="G42" s="645"/>
      <c r="H42" s="641" t="str">
        <f>IMAGE("https://raw.githubusercontent.com/msikma/pokesprite/master/items-outline/hold-item/lucky-egg.png",1)</f>
        <v/>
      </c>
      <c r="I42" s="642" t="s">
        <v>1071</v>
      </c>
      <c r="J42" s="643"/>
      <c r="K42" s="644">
        <v>0.01</v>
      </c>
      <c r="L42" s="646"/>
      <c r="M42" s="641" t="str">
        <f>IMAGE("https://raw.githubusercontent.com/msikma/pokesprite/master/items-outline/hold-item/lucky-egg.png",1)</f>
        <v/>
      </c>
      <c r="N42" s="642" t="s">
        <v>1071</v>
      </c>
      <c r="O42" s="643"/>
      <c r="P42" s="644">
        <v>0.01</v>
      </c>
      <c r="Q42" s="646"/>
      <c r="R42" s="641" t="str">
        <f>IMAGE("https://raw.githubusercontent.com/msikma/pokesprite/master/items-outline/hold-item/lucky-egg.png",1)</f>
        <v/>
      </c>
      <c r="S42" s="642" t="s">
        <v>1071</v>
      </c>
      <c r="T42" s="643"/>
      <c r="U42" s="644">
        <v>0.01</v>
      </c>
      <c r="V42" s="646"/>
      <c r="W42" s="641" t="str">
        <f>IMAGE("https://raw.githubusercontent.com/msikma/pokesprite/master/items-outline/hold-item/lucky-egg.png",1)</f>
        <v/>
      </c>
      <c r="X42" s="642" t="s">
        <v>1071</v>
      </c>
      <c r="Y42" s="643"/>
      <c r="Z42" s="644">
        <v>0.01</v>
      </c>
      <c r="AA42" s="572"/>
      <c r="AB42" s="560"/>
    </row>
    <row r="43" ht="60.0" customHeight="1">
      <c r="A43" s="556"/>
      <c r="B43" s="577"/>
      <c r="C43" s="647" t="s">
        <v>1072</v>
      </c>
      <c r="D43" s="331"/>
      <c r="E43" s="331"/>
      <c r="F43" s="331"/>
      <c r="G43" s="331"/>
      <c r="H43" s="331"/>
      <c r="I43" s="331"/>
      <c r="J43" s="331"/>
      <c r="K43" s="331"/>
      <c r="L43" s="331"/>
      <c r="M43" s="331"/>
      <c r="N43" s="331"/>
      <c r="O43" s="331"/>
      <c r="P43" s="331"/>
      <c r="Q43" s="331"/>
      <c r="R43" s="331"/>
      <c r="S43" s="331"/>
      <c r="T43" s="331"/>
      <c r="U43" s="331"/>
      <c r="V43" s="331"/>
      <c r="W43" s="331"/>
      <c r="X43" s="331"/>
      <c r="Y43" s="331"/>
      <c r="Z43" s="332"/>
      <c r="AA43" s="648"/>
      <c r="AB43" s="560"/>
    </row>
    <row r="44" ht="37.5" customHeight="1">
      <c r="A44" s="556"/>
      <c r="B44" s="577"/>
      <c r="C44" s="590" t="s">
        <v>529</v>
      </c>
      <c r="D44" s="168"/>
      <c r="E44" s="591"/>
      <c r="F44" s="592" t="str">
        <f t="array" ref="F44">IFERROR(VLOOKUP(C44,Dex!$B$3:$N689,2,FALSE),"")</f>
        <v/>
      </c>
      <c r="G44" s="593"/>
      <c r="H44" s="590" t="s">
        <v>677</v>
      </c>
      <c r="I44" s="168"/>
      <c r="J44" s="591"/>
      <c r="K44" s="592" t="str">
        <f t="array" ref="K44">IFERROR(VLOOKUP(H44,Dex!$B$3:$N689,2,FALSE),"")</f>
        <v/>
      </c>
      <c r="L44" s="594"/>
      <c r="M44" s="590" t="s">
        <v>488</v>
      </c>
      <c r="N44" s="168"/>
      <c r="O44" s="591"/>
      <c r="P44" s="592" t="str">
        <f t="array" ref="P44">IFERROR(VLOOKUP(M44,Dex!$B$3:$N689,2,FALSE),"")</f>
        <v/>
      </c>
      <c r="Q44" s="594"/>
      <c r="R44" s="590" t="s">
        <v>491</v>
      </c>
      <c r="S44" s="168"/>
      <c r="T44" s="591"/>
      <c r="U44" s="592" t="str">
        <f t="array" ref="U44">IFERROR(VLOOKUP(R44,Dex!$B$3:$N689,2,FALSE),"")</f>
        <v/>
      </c>
      <c r="V44" s="594"/>
      <c r="W44" s="590" t="s">
        <v>489</v>
      </c>
      <c r="X44" s="168"/>
      <c r="Y44" s="591"/>
      <c r="Z44" s="592" t="str">
        <f t="array" ref="Z44">IFERROR(VLOOKUP(W44,Dex!$B$3:$N689,2,FALSE),"")</f>
        <v/>
      </c>
      <c r="AA44" s="572"/>
      <c r="AB44" s="560"/>
    </row>
    <row r="45">
      <c r="A45" s="595"/>
      <c r="B45" s="596"/>
      <c r="C45" s="597" t="s">
        <v>1056</v>
      </c>
      <c r="D45" s="598"/>
      <c r="E45" s="599"/>
      <c r="F45" s="600" t="s">
        <v>1057</v>
      </c>
      <c r="G45" s="601"/>
      <c r="H45" s="597" t="s">
        <v>1056</v>
      </c>
      <c r="I45" s="598"/>
      <c r="J45" s="599"/>
      <c r="K45" s="600" t="s">
        <v>1057</v>
      </c>
      <c r="L45" s="602"/>
      <c r="M45" s="597" t="s">
        <v>1056</v>
      </c>
      <c r="N45" s="598"/>
      <c r="O45" s="599"/>
      <c r="P45" s="600" t="s">
        <v>1057</v>
      </c>
      <c r="Q45" s="602"/>
      <c r="R45" s="597" t="s">
        <v>1056</v>
      </c>
      <c r="S45" s="598"/>
      <c r="T45" s="599"/>
      <c r="U45" s="600" t="s">
        <v>1057</v>
      </c>
      <c r="V45" s="602"/>
      <c r="W45" s="597" t="s">
        <v>1056</v>
      </c>
      <c r="X45" s="598"/>
      <c r="Y45" s="599"/>
      <c r="Z45" s="600" t="s">
        <v>1057</v>
      </c>
      <c r="AA45" s="603"/>
      <c r="AB45" s="604"/>
    </row>
    <row r="46" ht="24.0" customHeight="1">
      <c r="A46" s="556"/>
      <c r="B46" s="577"/>
      <c r="C46" s="649" t="str">
        <f>IMAGE("https://raw.githubusercontent.com/msikma/pokesprite/master/items-outline/valuable-item/stardust.png",1)</f>
        <v/>
      </c>
      <c r="D46" s="650" t="s">
        <v>1059</v>
      </c>
      <c r="E46" s="613"/>
      <c r="F46" s="614">
        <v>0.8</v>
      </c>
      <c r="G46" s="609"/>
      <c r="H46" s="649" t="str">
        <f>IMAGE("https://raw.githubusercontent.com/msikma/pokesprite/master/items-outline/valuable-item/stardust.png",1)</f>
        <v/>
      </c>
      <c r="I46" s="650" t="s">
        <v>1059</v>
      </c>
      <c r="J46" s="613"/>
      <c r="K46" s="614">
        <v>0.8</v>
      </c>
      <c r="L46" s="610"/>
      <c r="M46" s="649" t="str">
        <f>IMAGE("https://raw.githubusercontent.com/msikma/pokesprite/master/items-outline/valuable-item/stardust.png",1)</f>
        <v/>
      </c>
      <c r="N46" s="650" t="s">
        <v>1059</v>
      </c>
      <c r="O46" s="613"/>
      <c r="P46" s="614">
        <v>0.8</v>
      </c>
      <c r="Q46" s="610"/>
      <c r="R46" s="649" t="str">
        <f>IMAGE("https://raw.githubusercontent.com/msikma/pokesprite/master/items-outline/valuable-item/stardust.png",1)</f>
        <v/>
      </c>
      <c r="S46" s="650" t="s">
        <v>1059</v>
      </c>
      <c r="T46" s="613"/>
      <c r="U46" s="614">
        <v>0.8</v>
      </c>
      <c r="V46" s="610"/>
      <c r="W46" s="649" t="str">
        <f>IMAGE("https://raw.githubusercontent.com/msikma/pokesprite/master/items-outline/valuable-item/stardust.png",1)</f>
        <v/>
      </c>
      <c r="X46" s="650" t="s">
        <v>1059</v>
      </c>
      <c r="Y46" s="613"/>
      <c r="Z46" s="614">
        <v>0.8</v>
      </c>
      <c r="AA46" s="572"/>
      <c r="AB46" s="560"/>
    </row>
    <row r="47" ht="24.0" customHeight="1">
      <c r="A47" s="556"/>
      <c r="B47" s="577"/>
      <c r="C47" s="651" t="str">
        <f>IMAGE("https://raw.githubusercontent.com/msikma/pokesprite/master/items-outline/medicine/genius-wing.png",1)</f>
        <v/>
      </c>
      <c r="D47" s="652" t="s">
        <v>1073</v>
      </c>
      <c r="E47" s="617"/>
      <c r="F47" s="618">
        <v>0.8</v>
      </c>
      <c r="G47" s="609"/>
      <c r="H47" s="651" t="str">
        <f>IMAGE("https://raw.githubusercontent.com/msikma/pokesprite/master/items-outline/medicine/genius-wing.png",1)</f>
        <v/>
      </c>
      <c r="I47" s="652" t="s">
        <v>1073</v>
      </c>
      <c r="J47" s="617"/>
      <c r="K47" s="618">
        <v>0.8</v>
      </c>
      <c r="L47" s="610"/>
      <c r="M47" s="651" t="str">
        <f>IMAGE("https://raw.githubusercontent.com/msikma/pokesprite/master/items-outline/medicine/genius-wing.png",1)</f>
        <v/>
      </c>
      <c r="N47" s="652" t="s">
        <v>1073</v>
      </c>
      <c r="O47" s="617"/>
      <c r="P47" s="618">
        <v>0.8</v>
      </c>
      <c r="Q47" s="610"/>
      <c r="R47" s="651" t="str">
        <f>IMAGE("https://raw.githubusercontent.com/msikma/pokesprite/master/items-outline/medicine/genius-wing.png",1)</f>
        <v/>
      </c>
      <c r="S47" s="652" t="s">
        <v>1073</v>
      </c>
      <c r="T47" s="617"/>
      <c r="U47" s="618">
        <v>0.8</v>
      </c>
      <c r="V47" s="610"/>
      <c r="W47" s="651" t="str">
        <f>IMAGE("https://raw.githubusercontent.com/msikma/pokesprite/master/items-outline/medicine/genius-wing.png",1)</f>
        <v/>
      </c>
      <c r="X47" s="652" t="s">
        <v>1073</v>
      </c>
      <c r="Y47" s="617"/>
      <c r="Z47" s="618">
        <v>0.8</v>
      </c>
      <c r="AA47" s="572"/>
      <c r="AB47" s="560"/>
    </row>
    <row r="48" ht="24.0" customHeight="1">
      <c r="A48" s="556"/>
      <c r="B48" s="577"/>
      <c r="C48" s="653" t="str">
        <f>IMAGE("https://raw.githubusercontent.com/msikma/pokesprite/master/items-outline/berry/chesto.png",1)</f>
        <v/>
      </c>
      <c r="D48" s="654" t="s">
        <v>1061</v>
      </c>
      <c r="E48" s="621"/>
      <c r="F48" s="622">
        <v>0.5</v>
      </c>
      <c r="G48" s="609"/>
      <c r="H48" s="653" t="str">
        <f>IMAGE("https://raw.githubusercontent.com/msikma/pokesprite/master/items-outline/berry/chesto.png",1)</f>
        <v/>
      </c>
      <c r="I48" s="654" t="s">
        <v>1061</v>
      </c>
      <c r="J48" s="621"/>
      <c r="K48" s="622">
        <v>0.5</v>
      </c>
      <c r="L48" s="610"/>
      <c r="M48" s="653" t="str">
        <f>IMAGE("https://raw.githubusercontent.com/msikma/pokesprite/master/items-outline/berry/chesto.png",1)</f>
        <v/>
      </c>
      <c r="N48" s="654" t="s">
        <v>1061</v>
      </c>
      <c r="O48" s="621"/>
      <c r="P48" s="622">
        <v>0.5</v>
      </c>
      <c r="Q48" s="610"/>
      <c r="R48" s="653" t="str">
        <f>IMAGE("https://raw.githubusercontent.com/msikma/pokesprite/master/items-outline/berry/chesto.png",1)</f>
        <v/>
      </c>
      <c r="S48" s="654" t="s">
        <v>1061</v>
      </c>
      <c r="T48" s="621"/>
      <c r="U48" s="622">
        <v>0.5</v>
      </c>
      <c r="V48" s="610"/>
      <c r="W48" s="653" t="str">
        <f>IMAGE("https://raw.githubusercontent.com/msikma/pokesprite/master/items-outline/berry/chesto.png",1)</f>
        <v/>
      </c>
      <c r="X48" s="654" t="s">
        <v>1061</v>
      </c>
      <c r="Y48" s="621"/>
      <c r="Z48" s="622">
        <v>0.5</v>
      </c>
      <c r="AA48" s="572"/>
      <c r="AB48" s="560"/>
    </row>
    <row r="49" ht="24.0" customHeight="1">
      <c r="A49" s="556"/>
      <c r="B49" s="577"/>
      <c r="C49" s="655" t="str">
        <f>IMAGE("https://raw.githubusercontent.com/msikma/pokesprite/master/items-outline/berry/colbur.png",1)</f>
        <v/>
      </c>
      <c r="D49" s="656" t="s">
        <v>1074</v>
      </c>
      <c r="E49" s="625"/>
      <c r="F49" s="626">
        <v>0.5</v>
      </c>
      <c r="G49" s="609"/>
      <c r="H49" s="655" t="str">
        <f>IMAGE("https://raw.githubusercontent.com/msikma/pokesprite/master/items-outline/berry/colbur.png",1)</f>
        <v/>
      </c>
      <c r="I49" s="656" t="s">
        <v>1074</v>
      </c>
      <c r="J49" s="625"/>
      <c r="K49" s="626">
        <v>0.5</v>
      </c>
      <c r="L49" s="610"/>
      <c r="M49" s="655" t="str">
        <f>IMAGE("https://raw.githubusercontent.com/msikma/pokesprite/master/items-outline/berry/colbur.png",1)</f>
        <v/>
      </c>
      <c r="N49" s="656" t="s">
        <v>1074</v>
      </c>
      <c r="O49" s="625"/>
      <c r="P49" s="626">
        <v>0.5</v>
      </c>
      <c r="Q49" s="610"/>
      <c r="R49" s="655" t="str">
        <f>IMAGE("https://raw.githubusercontent.com/msikma/pokesprite/master/items-outline/berry/colbur.png",1)</f>
        <v/>
      </c>
      <c r="S49" s="656" t="s">
        <v>1074</v>
      </c>
      <c r="T49" s="625"/>
      <c r="U49" s="626">
        <v>0.5</v>
      </c>
      <c r="V49" s="610"/>
      <c r="W49" s="655" t="str">
        <f>IMAGE("https://raw.githubusercontent.com/msikma/pokesprite/master/items-outline/berry/colbur.png",1)</f>
        <v/>
      </c>
      <c r="X49" s="656" t="s">
        <v>1074</v>
      </c>
      <c r="Y49" s="625"/>
      <c r="Z49" s="626">
        <v>0.5</v>
      </c>
      <c r="AA49" s="572"/>
      <c r="AB49" s="560"/>
    </row>
    <row r="50" ht="24.0" customHeight="1">
      <c r="A50" s="556"/>
      <c r="B50" s="577"/>
      <c r="C50" s="649" t="str">
        <f>IMAGE("https://raw.githubusercontent.com/msikma/pokesprite/master/items-outline/berry/sitrus.png",1)</f>
        <v/>
      </c>
      <c r="D50" s="650" t="s">
        <v>1065</v>
      </c>
      <c r="E50" s="613"/>
      <c r="F50" s="627">
        <v>0.3</v>
      </c>
      <c r="G50" s="609"/>
      <c r="H50" s="649" t="str">
        <f>IMAGE("https://raw.githubusercontent.com/msikma/pokesprite/master/items-outline/berry/sitrus.png",1)</f>
        <v/>
      </c>
      <c r="I50" s="650" t="s">
        <v>1065</v>
      </c>
      <c r="J50" s="613"/>
      <c r="K50" s="627">
        <v>0.3</v>
      </c>
      <c r="L50" s="610"/>
      <c r="M50" s="649" t="str">
        <f>IMAGE("https://raw.githubusercontent.com/msikma/pokesprite/master/items-outline/berry/sitrus.png",1)</f>
        <v/>
      </c>
      <c r="N50" s="650" t="s">
        <v>1065</v>
      </c>
      <c r="O50" s="613"/>
      <c r="P50" s="627">
        <v>0.3</v>
      </c>
      <c r="Q50" s="610"/>
      <c r="R50" s="649" t="str">
        <f>IMAGE("https://raw.githubusercontent.com/msikma/pokesprite/master/items-outline/berry/sitrus.png",1)</f>
        <v/>
      </c>
      <c r="S50" s="650" t="s">
        <v>1065</v>
      </c>
      <c r="T50" s="613"/>
      <c r="U50" s="627">
        <v>0.3</v>
      </c>
      <c r="V50" s="610"/>
      <c r="W50" s="649" t="str">
        <f>IMAGE("https://raw.githubusercontent.com/msikma/pokesprite/master/items-outline/berry/sitrus.png",1)</f>
        <v/>
      </c>
      <c r="X50" s="650" t="s">
        <v>1065</v>
      </c>
      <c r="Y50" s="613"/>
      <c r="Z50" s="627">
        <v>0.3</v>
      </c>
      <c r="AA50" s="572"/>
      <c r="AB50" s="560"/>
    </row>
    <row r="51" ht="24.0" customHeight="1">
      <c r="A51" s="556"/>
      <c r="B51" s="577"/>
      <c r="C51" s="651" t="str">
        <f>IMAGE("https://raw.githubusercontent.com/msikma/pokesprite/master/items-outline/ball/heal.png",1)</f>
        <v/>
      </c>
      <c r="D51" s="652" t="s">
        <v>1066</v>
      </c>
      <c r="E51" s="617"/>
      <c r="F51" s="628">
        <v>0.3</v>
      </c>
      <c r="G51" s="609"/>
      <c r="H51" s="651" t="str">
        <f>IMAGE("https://raw.githubusercontent.com/msikma/pokesprite/master/items-outline/ball/heal.png",1)</f>
        <v/>
      </c>
      <c r="I51" s="652" t="s">
        <v>1066</v>
      </c>
      <c r="J51" s="617"/>
      <c r="K51" s="628">
        <v>0.3</v>
      </c>
      <c r="L51" s="610"/>
      <c r="M51" s="651" t="str">
        <f>IMAGE("https://raw.githubusercontent.com/msikma/pokesprite/master/items-outline/ball/heal.png",1)</f>
        <v/>
      </c>
      <c r="N51" s="652" t="s">
        <v>1066</v>
      </c>
      <c r="O51" s="617"/>
      <c r="P51" s="628">
        <v>0.3</v>
      </c>
      <c r="Q51" s="610"/>
      <c r="R51" s="651" t="str">
        <f>IMAGE("https://raw.githubusercontent.com/msikma/pokesprite/master/items-outline/ball/heal.png",1)</f>
        <v/>
      </c>
      <c r="S51" s="652" t="s">
        <v>1066</v>
      </c>
      <c r="T51" s="617"/>
      <c r="U51" s="628">
        <v>0.3</v>
      </c>
      <c r="V51" s="610"/>
      <c r="W51" s="651" t="str">
        <f>IMAGE("https://raw.githubusercontent.com/msikma/pokesprite/master/items-outline/ball/heal.png",1)</f>
        <v/>
      </c>
      <c r="X51" s="652" t="s">
        <v>1066</v>
      </c>
      <c r="Y51" s="617"/>
      <c r="Z51" s="628">
        <v>0.3</v>
      </c>
      <c r="AA51" s="572"/>
      <c r="AB51" s="560"/>
    </row>
    <row r="52" ht="24.0" customHeight="1">
      <c r="A52" s="556"/>
      <c r="B52" s="577"/>
      <c r="C52" s="653" t="str">
        <f>IMAGE("https://raw.githubusercontent.com/msikma/pokesprite/master/items-outline/berry/leppa.png",1)</f>
        <v/>
      </c>
      <c r="D52" s="654" t="s">
        <v>1067</v>
      </c>
      <c r="E52" s="621"/>
      <c r="F52" s="629">
        <v>0.25</v>
      </c>
      <c r="G52" s="609"/>
      <c r="H52" s="653" t="str">
        <f>IMAGE("https://raw.githubusercontent.com/msikma/pokesprite/master/items-outline/berry/leppa.png",1)</f>
        <v/>
      </c>
      <c r="I52" s="654" t="s">
        <v>1067</v>
      </c>
      <c r="J52" s="621"/>
      <c r="K52" s="629">
        <v>0.25</v>
      </c>
      <c r="L52" s="610"/>
      <c r="M52" s="653" t="str">
        <f>IMAGE("https://raw.githubusercontent.com/msikma/pokesprite/master/items-outline/berry/leppa.png",1)</f>
        <v/>
      </c>
      <c r="N52" s="654" t="s">
        <v>1067</v>
      </c>
      <c r="O52" s="621"/>
      <c r="P52" s="629">
        <v>0.25</v>
      </c>
      <c r="Q52" s="610"/>
      <c r="R52" s="653" t="str">
        <f>IMAGE("https://raw.githubusercontent.com/msikma/pokesprite/master/items-outline/berry/leppa.png",1)</f>
        <v/>
      </c>
      <c r="S52" s="654" t="s">
        <v>1067</v>
      </c>
      <c r="T52" s="621"/>
      <c r="U52" s="629">
        <v>0.25</v>
      </c>
      <c r="V52" s="610"/>
      <c r="W52" s="653" t="str">
        <f>IMAGE("https://raw.githubusercontent.com/msikma/pokesprite/master/items-outline/berry/leppa.png",1)</f>
        <v/>
      </c>
      <c r="X52" s="654" t="s">
        <v>1067</v>
      </c>
      <c r="Y52" s="621"/>
      <c r="Z52" s="629">
        <v>0.25</v>
      </c>
      <c r="AA52" s="572"/>
      <c r="AB52" s="560"/>
    </row>
    <row r="53" ht="24.0" customHeight="1">
      <c r="A53" s="556"/>
      <c r="B53" s="577"/>
      <c r="C53" s="655"/>
      <c r="D53" s="657" t="s">
        <v>1068</v>
      </c>
      <c r="E53" s="625"/>
      <c r="F53" s="631">
        <v>0.25</v>
      </c>
      <c r="G53" s="609"/>
      <c r="H53" s="655" t="str">
        <f>IMAGE("https://raw.githubusercontent.com/msikma/pokesprite/master/items/other-item/wishing-piece.png",1)</f>
        <v/>
      </c>
      <c r="I53" s="657" t="s">
        <v>1068</v>
      </c>
      <c r="J53" s="625"/>
      <c r="K53" s="631">
        <v>0.25</v>
      </c>
      <c r="L53" s="610"/>
      <c r="M53" s="655" t="str">
        <f>IMAGE("https://raw.githubusercontent.com/msikma/pokesprite/master/items/other-item/wishing-piece.png",1)</f>
        <v/>
      </c>
      <c r="N53" s="657" t="s">
        <v>1068</v>
      </c>
      <c r="O53" s="625"/>
      <c r="P53" s="631">
        <v>0.25</v>
      </c>
      <c r="Q53" s="610"/>
      <c r="R53" s="655" t="str">
        <f>IMAGE("https://raw.githubusercontent.com/msikma/pokesprite/master/items/other-item/wishing-piece.png",1)</f>
        <v/>
      </c>
      <c r="S53" s="657" t="s">
        <v>1068</v>
      </c>
      <c r="T53" s="625"/>
      <c r="U53" s="631">
        <v>0.25</v>
      </c>
      <c r="V53" s="610"/>
      <c r="W53" s="655" t="str">
        <f>IMAGE("https://raw.githubusercontent.com/msikma/pokesprite/master/items/other-item/wishing-piece.png",1)</f>
        <v/>
      </c>
      <c r="X53" s="657" t="s">
        <v>1068</v>
      </c>
      <c r="Y53" s="625"/>
      <c r="Z53" s="631">
        <v>0.25</v>
      </c>
      <c r="AA53" s="572"/>
      <c r="AB53" s="560"/>
    </row>
    <row r="54" ht="24.0" customHeight="1">
      <c r="A54" s="556"/>
      <c r="B54" s="577"/>
      <c r="C54" s="658" t="str">
        <f>IMAGE("https://raw.githubusercontent.com/msikma/pokesprite/master/items-outline/medicine/calcium.png",1)</f>
        <v/>
      </c>
      <c r="D54" s="659" t="s">
        <v>1075</v>
      </c>
      <c r="E54" s="634"/>
      <c r="F54" s="635">
        <v>0.05</v>
      </c>
      <c r="G54" s="636"/>
      <c r="H54" s="658" t="str">
        <f>IMAGE("https://raw.githubusercontent.com/msikma/pokesprite/master/items-outline/medicine/calcium.png",1)</f>
        <v/>
      </c>
      <c r="I54" s="659" t="s">
        <v>1075</v>
      </c>
      <c r="J54" s="634"/>
      <c r="K54" s="635">
        <v>0.05</v>
      </c>
      <c r="L54" s="610"/>
      <c r="M54" s="658" t="str">
        <f>IMAGE("https://raw.githubusercontent.com/msikma/pokesprite/master/items-outline/medicine/calcium.png",1)</f>
        <v/>
      </c>
      <c r="N54" s="659" t="s">
        <v>1075</v>
      </c>
      <c r="O54" s="634"/>
      <c r="P54" s="635">
        <v>0.05</v>
      </c>
      <c r="Q54" s="610"/>
      <c r="R54" s="658" t="str">
        <f>IMAGE("https://raw.githubusercontent.com/msikma/pokesprite/master/items-outline/medicine/calcium.png",1)</f>
        <v/>
      </c>
      <c r="S54" s="659" t="s">
        <v>1075</v>
      </c>
      <c r="T54" s="634"/>
      <c r="U54" s="635">
        <v>0.05</v>
      </c>
      <c r="V54" s="610"/>
      <c r="W54" s="658" t="str">
        <f>IMAGE("https://raw.githubusercontent.com/msikma/pokesprite/master/items-outline/medicine/calcium.png",1)</f>
        <v/>
      </c>
      <c r="X54" s="659" t="s">
        <v>1075</v>
      </c>
      <c r="Y54" s="634"/>
      <c r="Z54" s="635">
        <v>0.05</v>
      </c>
      <c r="AA54" s="572"/>
      <c r="AB54" s="560"/>
    </row>
    <row r="55" ht="24.0" customHeight="1">
      <c r="A55" s="556"/>
      <c r="B55" s="577"/>
      <c r="C55" s="660" t="str">
        <f>IMAGE("https://raw.githubusercontent.com/msikma/pokesprite/master/items-outline/medicine/pp-up.png",1)</f>
        <v/>
      </c>
      <c r="D55" s="661" t="s">
        <v>1070</v>
      </c>
      <c r="E55" s="639"/>
      <c r="F55" s="640">
        <v>0.04</v>
      </c>
      <c r="G55" s="636"/>
      <c r="H55" s="660" t="str">
        <f>IMAGE("https://raw.githubusercontent.com/msikma/pokesprite/master/items-outline/medicine/pp-up.png",1)</f>
        <v/>
      </c>
      <c r="I55" s="661" t="s">
        <v>1070</v>
      </c>
      <c r="J55" s="639"/>
      <c r="K55" s="640">
        <v>0.04</v>
      </c>
      <c r="L55" s="610"/>
      <c r="M55" s="660" t="str">
        <f>IMAGE("https://raw.githubusercontent.com/msikma/pokesprite/master/items-outline/medicine/pp-up.png",1)</f>
        <v/>
      </c>
      <c r="N55" s="661" t="s">
        <v>1070</v>
      </c>
      <c r="O55" s="639"/>
      <c r="P55" s="640">
        <v>0.04</v>
      </c>
      <c r="Q55" s="610"/>
      <c r="R55" s="660" t="str">
        <f>IMAGE("https://raw.githubusercontent.com/msikma/pokesprite/master/items-outline/medicine/pp-up.png",1)</f>
        <v/>
      </c>
      <c r="S55" s="661" t="s">
        <v>1070</v>
      </c>
      <c r="T55" s="639"/>
      <c r="U55" s="640">
        <v>0.04</v>
      </c>
      <c r="V55" s="610"/>
      <c r="W55" s="660" t="str">
        <f>IMAGE("https://raw.githubusercontent.com/msikma/pokesprite/master/items-outline/medicine/pp-up.png",1)</f>
        <v/>
      </c>
      <c r="X55" s="661" t="s">
        <v>1070</v>
      </c>
      <c r="Y55" s="639"/>
      <c r="Z55" s="640">
        <v>0.04</v>
      </c>
      <c r="AA55" s="572"/>
      <c r="AB55" s="560"/>
    </row>
    <row r="56" ht="24.75" customHeight="1">
      <c r="A56" s="556"/>
      <c r="B56" s="577"/>
      <c r="C56" s="662" t="str">
        <f>IMAGE("https://raw.githubusercontent.com/msikma/pokesprite/master/items-outline/hold-item/lucky-egg.png",1)</f>
        <v/>
      </c>
      <c r="D56" s="663" t="s">
        <v>1071</v>
      </c>
      <c r="E56" s="643"/>
      <c r="F56" s="644">
        <v>0.01</v>
      </c>
      <c r="G56" s="645"/>
      <c r="H56" s="662" t="str">
        <f>IMAGE("https://raw.githubusercontent.com/msikma/pokesprite/master/items-outline/hold-item/lucky-egg.png",1)</f>
        <v/>
      </c>
      <c r="I56" s="663" t="s">
        <v>1071</v>
      </c>
      <c r="J56" s="643"/>
      <c r="K56" s="644">
        <v>0.01</v>
      </c>
      <c r="L56" s="646"/>
      <c r="M56" s="662" t="str">
        <f>IMAGE("https://raw.githubusercontent.com/msikma/pokesprite/master/items-outline/hold-item/lucky-egg.png",1)</f>
        <v/>
      </c>
      <c r="N56" s="663" t="s">
        <v>1071</v>
      </c>
      <c r="O56" s="643"/>
      <c r="P56" s="644">
        <v>0.01</v>
      </c>
      <c r="Q56" s="646"/>
      <c r="R56" s="662" t="str">
        <f>IMAGE("https://raw.githubusercontent.com/msikma/pokesprite/master/items-outline/hold-item/lucky-egg.png",1)</f>
        <v/>
      </c>
      <c r="S56" s="663" t="s">
        <v>1071</v>
      </c>
      <c r="T56" s="643"/>
      <c r="U56" s="644">
        <v>0.01</v>
      </c>
      <c r="V56" s="646"/>
      <c r="W56" s="662" t="str">
        <f>IMAGE("https://raw.githubusercontent.com/msikma/pokesprite/master/items-outline/hold-item/lucky-egg.png",1)</f>
        <v/>
      </c>
      <c r="X56" s="663" t="s">
        <v>1071</v>
      </c>
      <c r="Y56" s="643"/>
      <c r="Z56" s="644">
        <v>0.01</v>
      </c>
      <c r="AA56" s="572"/>
      <c r="AB56" s="560"/>
    </row>
    <row r="57" ht="60.0" customHeight="1">
      <c r="A57" s="556"/>
      <c r="B57" s="577"/>
      <c r="C57" s="664" t="s">
        <v>1076</v>
      </c>
      <c r="D57" s="331"/>
      <c r="E57" s="331"/>
      <c r="F57" s="331"/>
      <c r="G57" s="331"/>
      <c r="H57" s="331"/>
      <c r="I57" s="331"/>
      <c r="J57" s="331"/>
      <c r="K57" s="331"/>
      <c r="L57" s="331"/>
      <c r="M57" s="331"/>
      <c r="N57" s="331"/>
      <c r="O57" s="331"/>
      <c r="P57" s="331"/>
      <c r="Q57" s="331"/>
      <c r="R57" s="331"/>
      <c r="S57" s="331"/>
      <c r="T57" s="331"/>
      <c r="U57" s="331"/>
      <c r="V57" s="331"/>
      <c r="W57" s="331"/>
      <c r="X57" s="331"/>
      <c r="Y57" s="331"/>
      <c r="Z57" s="332"/>
      <c r="AA57" s="648"/>
      <c r="AB57" s="560"/>
    </row>
    <row r="58" ht="37.5" customHeight="1">
      <c r="A58" s="556"/>
      <c r="B58" s="577"/>
      <c r="C58" s="590" t="s">
        <v>404</v>
      </c>
      <c r="D58" s="168"/>
      <c r="E58" s="591"/>
      <c r="F58" s="592" t="str">
        <f t="array" ref="F58">IFERROR(VLOOKUP(C58,Dex!$B$3:$N689,2,FALSE),"")</f>
        <v/>
      </c>
      <c r="G58" s="593"/>
      <c r="H58" s="590" t="s">
        <v>325</v>
      </c>
      <c r="I58" s="168"/>
      <c r="J58" s="591"/>
      <c r="K58" s="592" t="str">
        <f t="array" ref="K58">IFERROR(VLOOKUP(H58,Dex!$B$3:$N689,2,FALSE),"")</f>
        <v/>
      </c>
      <c r="L58" s="594"/>
      <c r="M58" s="590" t="s">
        <v>585</v>
      </c>
      <c r="N58" s="168"/>
      <c r="O58" s="591"/>
      <c r="P58" s="592" t="str">
        <f t="array" ref="P58">IFERROR(VLOOKUP(M58,Dex!$B$3:$N689,2,FALSE),"")</f>
        <v/>
      </c>
      <c r="Q58" s="594"/>
      <c r="R58" s="590" t="s">
        <v>456</v>
      </c>
      <c r="S58" s="168"/>
      <c r="T58" s="591"/>
      <c r="U58" s="592" t="str">
        <f t="array" ref="U58">IFERROR(VLOOKUP(R58,Dex!$B$3:$N689,2,FALSE),"")</f>
        <v/>
      </c>
      <c r="V58" s="594"/>
      <c r="W58" s="590" t="s">
        <v>93</v>
      </c>
      <c r="X58" s="168"/>
      <c r="Y58" s="591"/>
      <c r="Z58" s="592" t="str">
        <f t="array" ref="Z58">IFERROR(VLOOKUP(W58,Dex!$B$3:$N689,2,FALSE),"")</f>
        <v/>
      </c>
      <c r="AA58" s="572"/>
      <c r="AB58" s="560"/>
    </row>
    <row r="59">
      <c r="A59" s="595"/>
      <c r="B59" s="596"/>
      <c r="C59" s="597" t="s">
        <v>1056</v>
      </c>
      <c r="D59" s="598"/>
      <c r="E59" s="599"/>
      <c r="F59" s="600" t="s">
        <v>1057</v>
      </c>
      <c r="G59" s="601"/>
      <c r="H59" s="597" t="s">
        <v>1056</v>
      </c>
      <c r="I59" s="598"/>
      <c r="J59" s="599"/>
      <c r="K59" s="600" t="s">
        <v>1057</v>
      </c>
      <c r="L59" s="602"/>
      <c r="M59" s="597" t="s">
        <v>1056</v>
      </c>
      <c r="N59" s="598"/>
      <c r="O59" s="599"/>
      <c r="P59" s="600" t="s">
        <v>1057</v>
      </c>
      <c r="Q59" s="602"/>
      <c r="R59" s="597" t="s">
        <v>1056</v>
      </c>
      <c r="S59" s="598"/>
      <c r="T59" s="599"/>
      <c r="U59" s="600" t="s">
        <v>1057</v>
      </c>
      <c r="V59" s="602"/>
      <c r="W59" s="597" t="s">
        <v>1056</v>
      </c>
      <c r="X59" s="598"/>
      <c r="Y59" s="599"/>
      <c r="Z59" s="600" t="s">
        <v>1057</v>
      </c>
      <c r="AA59" s="603"/>
      <c r="AB59" s="604"/>
    </row>
    <row r="60" ht="24.0" customHeight="1">
      <c r="A60" s="556"/>
      <c r="B60" s="577"/>
      <c r="C60" s="649" t="str">
        <f>IMAGE("https://raw.githubusercontent.com/msikma/pokesprite/master/items-outline/medicine/swift-wing.png",1)</f>
        <v/>
      </c>
      <c r="D60" s="650" t="s">
        <v>1077</v>
      </c>
      <c r="E60" s="665"/>
      <c r="F60" s="614">
        <v>0.8</v>
      </c>
      <c r="G60" s="609"/>
      <c r="H60" s="649" t="str">
        <f>IMAGE("https://raw.githubusercontent.com/msikma/pokesprite/master/items-outline/medicine/swift-wing.png",1)</f>
        <v/>
      </c>
      <c r="I60" s="650" t="s">
        <v>1077</v>
      </c>
      <c r="J60" s="665"/>
      <c r="K60" s="614">
        <v>0.8</v>
      </c>
      <c r="L60" s="610"/>
      <c r="M60" s="649" t="str">
        <f>IMAGE("https://raw.githubusercontent.com/msikma/pokesprite/master/items-outline/medicine/swift-wing.png",1)</f>
        <v/>
      </c>
      <c r="N60" s="650" t="s">
        <v>1077</v>
      </c>
      <c r="O60" s="665"/>
      <c r="P60" s="614">
        <v>0.8</v>
      </c>
      <c r="Q60" s="610"/>
      <c r="R60" s="649" t="str">
        <f>IMAGE("https://raw.githubusercontent.com/msikma/pokesprite/master/items-outline/medicine/swift-wing.png",1)</f>
        <v/>
      </c>
      <c r="S60" s="650" t="s">
        <v>1077</v>
      </c>
      <c r="T60" s="665"/>
      <c r="U60" s="614">
        <v>0.8</v>
      </c>
      <c r="V60" s="610"/>
      <c r="W60" s="649" t="str">
        <f>IMAGE("https://raw.githubusercontent.com/msikma/pokesprite/master/items-outline/medicine/swift-wing.png",1)</f>
        <v/>
      </c>
      <c r="X60" s="650" t="s">
        <v>1077</v>
      </c>
      <c r="Y60" s="665"/>
      <c r="Z60" s="614">
        <v>0.8</v>
      </c>
      <c r="AA60" s="572"/>
      <c r="AB60" s="560"/>
    </row>
    <row r="61" ht="24.0" customHeight="1">
      <c r="A61" s="556"/>
      <c r="B61" s="577"/>
      <c r="C61" s="651" t="str">
        <f>IMAGE("https://raw.githubusercontent.com/msikma/pokesprite/master/items-outline/valuable-item/stardust.png",1)</f>
        <v/>
      </c>
      <c r="D61" s="652" t="s">
        <v>1059</v>
      </c>
      <c r="E61" s="666"/>
      <c r="F61" s="618">
        <v>0.8</v>
      </c>
      <c r="G61" s="609"/>
      <c r="H61" s="651" t="str">
        <f>IMAGE("https://raw.githubusercontent.com/msikma/pokesprite/master/items-outline/valuable-item/stardust.png",1)</f>
        <v/>
      </c>
      <c r="I61" s="652" t="s">
        <v>1059</v>
      </c>
      <c r="J61" s="666"/>
      <c r="K61" s="618">
        <v>0.8</v>
      </c>
      <c r="L61" s="610"/>
      <c r="M61" s="651" t="str">
        <f>IMAGE("https://raw.githubusercontent.com/msikma/pokesprite/master/items-outline/valuable-item/stardust.png",1)</f>
        <v/>
      </c>
      <c r="N61" s="652" t="s">
        <v>1059</v>
      </c>
      <c r="O61" s="666"/>
      <c r="P61" s="618">
        <v>0.8</v>
      </c>
      <c r="Q61" s="610"/>
      <c r="R61" s="651" t="str">
        <f>IMAGE("https://raw.githubusercontent.com/msikma/pokesprite/master/items-outline/valuable-item/stardust.png",1)</f>
        <v/>
      </c>
      <c r="S61" s="652" t="s">
        <v>1059</v>
      </c>
      <c r="T61" s="666"/>
      <c r="U61" s="618">
        <v>0.8</v>
      </c>
      <c r="V61" s="610"/>
      <c r="W61" s="651" t="str">
        <f>IMAGE("https://raw.githubusercontent.com/msikma/pokesprite/master/items-outline/valuable-item/stardust.png",1)</f>
        <v/>
      </c>
      <c r="X61" s="652" t="s">
        <v>1059</v>
      </c>
      <c r="Y61" s="666"/>
      <c r="Z61" s="618">
        <v>0.8</v>
      </c>
      <c r="AA61" s="572"/>
      <c r="AB61" s="560"/>
    </row>
    <row r="62" ht="24.0" customHeight="1">
      <c r="A62" s="556"/>
      <c r="B62" s="577"/>
      <c r="C62" s="653" t="str">
        <f>IMAGE("https://raw.githubusercontent.com/msikma/pokesprite/master/items-outline/berry/charti.png",1)</f>
        <v/>
      </c>
      <c r="D62" s="654" t="s">
        <v>1078</v>
      </c>
      <c r="E62" s="667"/>
      <c r="F62" s="622">
        <v>0.5</v>
      </c>
      <c r="G62" s="609"/>
      <c r="H62" s="653" t="str">
        <f>IMAGE("https://raw.githubusercontent.com/msikma/pokesprite/master/items-outline/berry/charti.png",1)</f>
        <v/>
      </c>
      <c r="I62" s="654" t="s">
        <v>1078</v>
      </c>
      <c r="J62" s="667"/>
      <c r="K62" s="622">
        <v>0.5</v>
      </c>
      <c r="L62" s="610"/>
      <c r="M62" s="653" t="str">
        <f>IMAGE("https://raw.githubusercontent.com/msikma/pokesprite/master/items-outline/berry/charti.png",1)</f>
        <v/>
      </c>
      <c r="N62" s="654" t="s">
        <v>1078</v>
      </c>
      <c r="O62" s="667"/>
      <c r="P62" s="622">
        <v>0.5</v>
      </c>
      <c r="Q62" s="610"/>
      <c r="R62" s="653" t="str">
        <f>IMAGE("https://raw.githubusercontent.com/msikma/pokesprite/master/items-outline/berry/charti.png",1)</f>
        <v/>
      </c>
      <c r="S62" s="654" t="s">
        <v>1078</v>
      </c>
      <c r="T62" s="667"/>
      <c r="U62" s="622">
        <v>0.5</v>
      </c>
      <c r="V62" s="610"/>
      <c r="W62" s="653" t="str">
        <f>IMAGE("https://raw.githubusercontent.com/msikma/pokesprite/master/items-outline/berry/charti.png",1)</f>
        <v/>
      </c>
      <c r="X62" s="654" t="s">
        <v>1078</v>
      </c>
      <c r="Y62" s="667"/>
      <c r="Z62" s="622">
        <v>0.5</v>
      </c>
      <c r="AA62" s="572"/>
      <c r="AB62" s="560"/>
    </row>
    <row r="63" ht="24.0" customHeight="1">
      <c r="A63" s="556"/>
      <c r="B63" s="577"/>
      <c r="C63" s="655" t="str">
        <f>IMAGE("https://raw.githubusercontent.com/msikma/pokesprite/master/items-outline/medicine/swift-wing.png",1)</f>
        <v/>
      </c>
      <c r="D63" s="656" t="s">
        <v>1077</v>
      </c>
      <c r="E63" s="668"/>
      <c r="F63" s="626">
        <v>0.5</v>
      </c>
      <c r="G63" s="609"/>
      <c r="H63" s="655" t="str">
        <f>IMAGE("https://raw.githubusercontent.com/msikma/pokesprite/master/items-outline/medicine/swift-wing.png",1)</f>
        <v/>
      </c>
      <c r="I63" s="656" t="s">
        <v>1077</v>
      </c>
      <c r="J63" s="668"/>
      <c r="K63" s="626">
        <v>0.5</v>
      </c>
      <c r="L63" s="610"/>
      <c r="M63" s="655" t="str">
        <f>IMAGE("https://raw.githubusercontent.com/msikma/pokesprite/master/items-outline/medicine/swift-wing.png",1)</f>
        <v/>
      </c>
      <c r="N63" s="656" t="s">
        <v>1077</v>
      </c>
      <c r="O63" s="668"/>
      <c r="P63" s="626">
        <v>0.5</v>
      </c>
      <c r="Q63" s="610"/>
      <c r="R63" s="655" t="str">
        <f>IMAGE("https://raw.githubusercontent.com/msikma/pokesprite/master/items-outline/medicine/swift-wing.png",1)</f>
        <v/>
      </c>
      <c r="S63" s="656" t="s">
        <v>1077</v>
      </c>
      <c r="T63" s="668"/>
      <c r="U63" s="626">
        <v>0.5</v>
      </c>
      <c r="V63" s="610"/>
      <c r="W63" s="655" t="str">
        <f>IMAGE("https://raw.githubusercontent.com/msikma/pokesprite/master/items-outline/medicine/swift-wing.png",1)</f>
        <v/>
      </c>
      <c r="X63" s="656" t="s">
        <v>1077</v>
      </c>
      <c r="Y63" s="668"/>
      <c r="Z63" s="626">
        <v>0.5</v>
      </c>
      <c r="AA63" s="572"/>
      <c r="AB63" s="560"/>
    </row>
    <row r="64" ht="24.0" customHeight="1">
      <c r="A64" s="556"/>
      <c r="B64" s="577"/>
      <c r="C64" s="649" t="str">
        <f>IMAGE("https://raw.githubusercontent.com/msikma/pokesprite/master/items-outline/berry/sitrus.png",1)</f>
        <v/>
      </c>
      <c r="D64" s="650" t="s">
        <v>1065</v>
      </c>
      <c r="E64" s="665"/>
      <c r="F64" s="669">
        <v>0.3</v>
      </c>
      <c r="G64" s="609"/>
      <c r="H64" s="649" t="str">
        <f>IMAGE("https://raw.githubusercontent.com/msikma/pokesprite/master/items-outline/berry/sitrus.png",1)</f>
        <v/>
      </c>
      <c r="I64" s="650" t="s">
        <v>1065</v>
      </c>
      <c r="J64" s="665"/>
      <c r="K64" s="669">
        <v>0.3</v>
      </c>
      <c r="L64" s="610"/>
      <c r="M64" s="649" t="str">
        <f>IMAGE("https://raw.githubusercontent.com/msikma/pokesprite/master/items-outline/berry/sitrus.png",1)</f>
        <v/>
      </c>
      <c r="N64" s="650" t="s">
        <v>1065</v>
      </c>
      <c r="O64" s="665"/>
      <c r="P64" s="669">
        <v>0.3</v>
      </c>
      <c r="Q64" s="610"/>
      <c r="R64" s="649" t="str">
        <f>IMAGE("https://raw.githubusercontent.com/msikma/pokesprite/master/items-outline/berry/sitrus.png",1)</f>
        <v/>
      </c>
      <c r="S64" s="650" t="s">
        <v>1065</v>
      </c>
      <c r="T64" s="665"/>
      <c r="U64" s="669">
        <v>0.3</v>
      </c>
      <c r="V64" s="610"/>
      <c r="W64" s="649" t="str">
        <f>IMAGE("https://raw.githubusercontent.com/msikma/pokesprite/master/items-outline/berry/sitrus.png",1)</f>
        <v/>
      </c>
      <c r="X64" s="650" t="s">
        <v>1065</v>
      </c>
      <c r="Y64" s="665"/>
      <c r="Z64" s="669">
        <v>0.3</v>
      </c>
      <c r="AA64" s="572"/>
      <c r="AB64" s="560"/>
    </row>
    <row r="65" ht="24.0" customHeight="1">
      <c r="A65" s="556"/>
      <c r="B65" s="577"/>
      <c r="C65" s="651" t="str">
        <f>IMAGE("https://raw.githubusercontent.com/msikma/pokesprite/master/items-outline/evo-item/moon-stone.png",1)</f>
        <v/>
      </c>
      <c r="D65" s="652" t="s">
        <v>1079</v>
      </c>
      <c r="E65" s="666"/>
      <c r="F65" s="670">
        <v>0.3</v>
      </c>
      <c r="G65" s="609"/>
      <c r="H65" s="651" t="str">
        <f>IMAGE("https://raw.githubusercontent.com/msikma/pokesprite/master/items-outline/evo-item/moon-stone.png",1)</f>
        <v/>
      </c>
      <c r="I65" s="652" t="s">
        <v>1079</v>
      </c>
      <c r="J65" s="666"/>
      <c r="K65" s="670">
        <v>0.3</v>
      </c>
      <c r="L65" s="610"/>
      <c r="M65" s="651" t="str">
        <f>IMAGE("https://raw.githubusercontent.com/msikma/pokesprite/master/items-outline/evo-item/moon-stone.png",1)</f>
        <v/>
      </c>
      <c r="N65" s="652" t="s">
        <v>1079</v>
      </c>
      <c r="O65" s="666"/>
      <c r="P65" s="670">
        <v>0.3</v>
      </c>
      <c r="Q65" s="610"/>
      <c r="R65" s="651" t="str">
        <f>IMAGE("https://raw.githubusercontent.com/msikma/pokesprite/master/items-outline/evo-item/moon-stone.png",1)</f>
        <v/>
      </c>
      <c r="S65" s="652" t="s">
        <v>1079</v>
      </c>
      <c r="T65" s="666"/>
      <c r="U65" s="670">
        <v>0.3</v>
      </c>
      <c r="V65" s="610"/>
      <c r="W65" s="651" t="str">
        <f>IMAGE("https://raw.githubusercontent.com/msikma/pokesprite/master/items-outline/evo-item/moon-stone.png",1)</f>
        <v/>
      </c>
      <c r="X65" s="652" t="s">
        <v>1079</v>
      </c>
      <c r="Y65" s="666"/>
      <c r="Z65" s="670">
        <v>0.3</v>
      </c>
      <c r="AA65" s="572"/>
      <c r="AB65" s="560"/>
    </row>
    <row r="66" ht="24.0" customHeight="1">
      <c r="A66" s="556"/>
      <c r="B66" s="577"/>
      <c r="C66" s="653" t="str">
        <f>IMAGE("https://raw.githubusercontent.com/msikma/pokesprite/master/items-outline/berry/leppa.png",1)</f>
        <v/>
      </c>
      <c r="D66" s="654" t="s">
        <v>1067</v>
      </c>
      <c r="E66" s="667"/>
      <c r="F66" s="671">
        <v>0.25</v>
      </c>
      <c r="G66" s="609"/>
      <c r="H66" s="653" t="str">
        <f>IMAGE("https://raw.githubusercontent.com/msikma/pokesprite/master/items-outline/berry/leppa.png",1)</f>
        <v/>
      </c>
      <c r="I66" s="654" t="s">
        <v>1067</v>
      </c>
      <c r="J66" s="667"/>
      <c r="K66" s="671">
        <v>0.25</v>
      </c>
      <c r="L66" s="610"/>
      <c r="M66" s="653" t="str">
        <f>IMAGE("https://raw.githubusercontent.com/msikma/pokesprite/master/items-outline/berry/leppa.png",1)</f>
        <v/>
      </c>
      <c r="N66" s="654" t="s">
        <v>1067</v>
      </c>
      <c r="O66" s="667"/>
      <c r="P66" s="671">
        <v>0.25</v>
      </c>
      <c r="Q66" s="610"/>
      <c r="R66" s="653" t="str">
        <f>IMAGE("https://raw.githubusercontent.com/msikma/pokesprite/master/items-outline/berry/leppa.png",1)</f>
        <v/>
      </c>
      <c r="S66" s="654" t="s">
        <v>1067</v>
      </c>
      <c r="T66" s="667"/>
      <c r="U66" s="671">
        <v>0.25</v>
      </c>
      <c r="V66" s="610"/>
      <c r="W66" s="653" t="str">
        <f>IMAGE("https://raw.githubusercontent.com/msikma/pokesprite/master/items-outline/berry/leppa.png",1)</f>
        <v/>
      </c>
      <c r="X66" s="654" t="s">
        <v>1067</v>
      </c>
      <c r="Y66" s="667"/>
      <c r="Z66" s="671">
        <v>0.25</v>
      </c>
      <c r="AA66" s="572"/>
      <c r="AB66" s="560"/>
    </row>
    <row r="67" ht="24.0" customHeight="1">
      <c r="A67" s="556"/>
      <c r="B67" s="577"/>
      <c r="C67" s="655" t="str">
        <f>IMAGE("https://raw.githubusercontent.com/msikma/pokesprite/master/items/other-item/wishing-piece.png",1)</f>
        <v/>
      </c>
      <c r="D67" s="657" t="s">
        <v>1068</v>
      </c>
      <c r="E67" s="668"/>
      <c r="F67" s="631">
        <v>0.25</v>
      </c>
      <c r="G67" s="609"/>
      <c r="H67" s="655" t="str">
        <f>IMAGE("https://raw.githubusercontent.com/msikma/pokesprite/master/items/other-item/wishing-piece.png",1)</f>
        <v/>
      </c>
      <c r="I67" s="657" t="s">
        <v>1068</v>
      </c>
      <c r="J67" s="668"/>
      <c r="K67" s="631">
        <v>0.25</v>
      </c>
      <c r="L67" s="610"/>
      <c r="M67" s="655" t="str">
        <f>IMAGE("https://raw.githubusercontent.com/msikma/pokesprite/master/items/other-item/wishing-piece.png",1)</f>
        <v/>
      </c>
      <c r="N67" s="657" t="s">
        <v>1068</v>
      </c>
      <c r="O67" s="668"/>
      <c r="P67" s="631">
        <v>0.25</v>
      </c>
      <c r="Q67" s="610"/>
      <c r="R67" s="655" t="str">
        <f>IMAGE("https://raw.githubusercontent.com/msikma/pokesprite/master/items/other-item/wishing-piece.png",1)</f>
        <v/>
      </c>
      <c r="S67" s="657" t="s">
        <v>1068</v>
      </c>
      <c r="T67" s="668"/>
      <c r="U67" s="631">
        <v>0.25</v>
      </c>
      <c r="V67" s="610"/>
      <c r="W67" s="655" t="str">
        <f>IMAGE("https://raw.githubusercontent.com/msikma/pokesprite/master/items/other-item/wishing-piece.png",1)</f>
        <v/>
      </c>
      <c r="X67" s="657" t="s">
        <v>1068</v>
      </c>
      <c r="Y67" s="668"/>
      <c r="Z67" s="631">
        <v>0.25</v>
      </c>
      <c r="AA67" s="572"/>
      <c r="AB67" s="560"/>
    </row>
    <row r="68" ht="24.0" customHeight="1">
      <c r="A68" s="556"/>
      <c r="B68" s="577"/>
      <c r="C68" s="658" t="str">
        <f>IMAGE("https://raw.githubusercontent.com/msikma/pokesprite/master/items-outline/medicine/carbos.png",1)</f>
        <v/>
      </c>
      <c r="D68" s="672" t="s">
        <v>1080</v>
      </c>
      <c r="E68" s="673"/>
      <c r="F68" s="674">
        <v>0.05</v>
      </c>
      <c r="G68" s="636"/>
      <c r="H68" s="658" t="str">
        <f>IMAGE("https://raw.githubusercontent.com/msikma/pokesprite/master/items-outline/medicine/carbos.png",1)</f>
        <v/>
      </c>
      <c r="I68" s="672" t="s">
        <v>1080</v>
      </c>
      <c r="J68" s="673"/>
      <c r="K68" s="674">
        <v>0.05</v>
      </c>
      <c r="L68" s="610"/>
      <c r="M68" s="658" t="str">
        <f>IMAGE("https://raw.githubusercontent.com/msikma/pokesprite/master/items-outline/medicine/carbos.png",1)</f>
        <v/>
      </c>
      <c r="N68" s="672" t="s">
        <v>1080</v>
      </c>
      <c r="O68" s="673"/>
      <c r="P68" s="674">
        <v>0.05</v>
      </c>
      <c r="Q68" s="610"/>
      <c r="R68" s="658" t="str">
        <f>IMAGE("https://raw.githubusercontent.com/msikma/pokesprite/master/items-outline/medicine/carbos.png",1)</f>
        <v/>
      </c>
      <c r="S68" s="672" t="s">
        <v>1080</v>
      </c>
      <c r="T68" s="673"/>
      <c r="U68" s="674">
        <v>0.05</v>
      </c>
      <c r="V68" s="610"/>
      <c r="W68" s="658" t="str">
        <f>IMAGE("https://raw.githubusercontent.com/msikma/pokesprite/master/items-outline/medicine/carbos.png",1)</f>
        <v/>
      </c>
      <c r="X68" s="672" t="s">
        <v>1080</v>
      </c>
      <c r="Y68" s="673"/>
      <c r="Z68" s="674">
        <v>0.05</v>
      </c>
      <c r="AA68" s="572"/>
      <c r="AB68" s="560"/>
    </row>
    <row r="69" ht="24.0" customHeight="1">
      <c r="A69" s="556"/>
      <c r="B69" s="577"/>
      <c r="C69" s="632" t="str">
        <f>IMAGE("https://raw.githubusercontent.com/msikma/pokesprite/master/items-outline/medicine/pp-up.png",1)</f>
        <v/>
      </c>
      <c r="D69" s="675" t="s">
        <v>1070</v>
      </c>
      <c r="E69" s="673"/>
      <c r="F69" s="640">
        <v>0.04</v>
      </c>
      <c r="G69" s="636"/>
      <c r="H69" s="632" t="str">
        <f>IMAGE("https://raw.githubusercontent.com/msikma/pokesprite/master/items-outline/medicine/pp-up.png",1)</f>
        <v/>
      </c>
      <c r="I69" s="675" t="s">
        <v>1070</v>
      </c>
      <c r="J69" s="673"/>
      <c r="K69" s="640">
        <v>0.04</v>
      </c>
      <c r="L69" s="610"/>
      <c r="M69" s="632" t="str">
        <f>IMAGE("https://raw.githubusercontent.com/msikma/pokesprite/master/items-outline/medicine/pp-up.png",1)</f>
        <v/>
      </c>
      <c r="N69" s="675" t="s">
        <v>1070</v>
      </c>
      <c r="O69" s="673"/>
      <c r="P69" s="640">
        <v>0.04</v>
      </c>
      <c r="Q69" s="610"/>
      <c r="R69" s="632" t="str">
        <f>IMAGE("https://raw.githubusercontent.com/msikma/pokesprite/master/items-outline/medicine/pp-up.png",1)</f>
        <v/>
      </c>
      <c r="S69" s="675" t="s">
        <v>1070</v>
      </c>
      <c r="T69" s="673"/>
      <c r="U69" s="640">
        <v>0.04</v>
      </c>
      <c r="V69" s="610"/>
      <c r="W69" s="632" t="str">
        <f>IMAGE("https://raw.githubusercontent.com/msikma/pokesprite/master/items-outline/medicine/pp-up.png",1)</f>
        <v/>
      </c>
      <c r="X69" s="675" t="s">
        <v>1070</v>
      </c>
      <c r="Y69" s="673"/>
      <c r="Z69" s="640">
        <v>0.04</v>
      </c>
      <c r="AA69" s="572"/>
      <c r="AB69" s="560"/>
    </row>
    <row r="70" ht="24.75" customHeight="1">
      <c r="A70" s="556"/>
      <c r="B70" s="577"/>
      <c r="C70" s="676" t="str">
        <f>IMAGE("https://raw.githubusercontent.com/msikma/pokesprite/master/items-outline/hold-item/lucky-egg.png",1)</f>
        <v/>
      </c>
      <c r="D70" s="677" t="s">
        <v>1071</v>
      </c>
      <c r="E70" s="678"/>
      <c r="F70" s="679">
        <v>0.01</v>
      </c>
      <c r="G70" s="645"/>
      <c r="H70" s="676" t="str">
        <f>IMAGE("https://raw.githubusercontent.com/msikma/pokesprite/master/items-outline/hold-item/lucky-egg.png",1)</f>
        <v/>
      </c>
      <c r="I70" s="677" t="s">
        <v>1071</v>
      </c>
      <c r="J70" s="678"/>
      <c r="K70" s="679">
        <v>0.01</v>
      </c>
      <c r="L70" s="646"/>
      <c r="M70" s="676" t="str">
        <f>IMAGE("https://raw.githubusercontent.com/msikma/pokesprite/master/items-outline/hold-item/lucky-egg.png",1)</f>
        <v/>
      </c>
      <c r="N70" s="677" t="s">
        <v>1071</v>
      </c>
      <c r="O70" s="678"/>
      <c r="P70" s="679">
        <v>0.01</v>
      </c>
      <c r="Q70" s="646"/>
      <c r="R70" s="676" t="str">
        <f>IMAGE("https://raw.githubusercontent.com/msikma/pokesprite/master/items-outline/hold-item/lucky-egg.png",1)</f>
        <v/>
      </c>
      <c r="S70" s="677" t="s">
        <v>1071</v>
      </c>
      <c r="T70" s="678"/>
      <c r="U70" s="679">
        <v>0.01</v>
      </c>
      <c r="V70" s="646"/>
      <c r="W70" s="676" t="str">
        <f>IMAGE("https://raw.githubusercontent.com/msikma/pokesprite/master/items-outline/hold-item/lucky-egg.png",1)</f>
        <v/>
      </c>
      <c r="X70" s="677" t="s">
        <v>1071</v>
      </c>
      <c r="Y70" s="678"/>
      <c r="Z70" s="679">
        <v>0.01</v>
      </c>
      <c r="AA70" s="572"/>
      <c r="AB70" s="560"/>
    </row>
    <row r="71" ht="60.0" customHeight="1">
      <c r="A71" s="556"/>
      <c r="B71" s="577"/>
      <c r="C71" s="680" t="s">
        <v>1081</v>
      </c>
      <c r="Z71" s="588"/>
      <c r="AA71" s="648"/>
      <c r="AB71" s="560"/>
    </row>
    <row r="72" ht="37.5" customHeight="1">
      <c r="A72" s="556"/>
      <c r="B72" s="577"/>
      <c r="C72" s="590" t="s">
        <v>609</v>
      </c>
      <c r="D72" s="168"/>
      <c r="E72" s="591"/>
      <c r="F72" s="592" t="str">
        <f t="array" ref="F72">IFERROR(VLOOKUP(C72,Dex!$B$3:$N689,2,FALSE),"")</f>
        <v/>
      </c>
      <c r="G72" s="593"/>
      <c r="H72" s="590" t="s">
        <v>481</v>
      </c>
      <c r="I72" s="168"/>
      <c r="J72" s="591"/>
      <c r="K72" s="592" t="str">
        <f t="array" ref="K72">IFERROR(VLOOKUP(H72,Dex!$B$3:$N689,2,FALSE),"")</f>
        <v/>
      </c>
      <c r="L72" s="594"/>
      <c r="M72" s="590" t="s">
        <v>282</v>
      </c>
      <c r="N72" s="168"/>
      <c r="O72" s="591"/>
      <c r="P72" s="592" t="str">
        <f t="array" ref="P72">IFERROR(VLOOKUP(M72,Dex!$B$3:$N689,2,FALSE),"")</f>
        <v/>
      </c>
      <c r="Q72" s="594"/>
      <c r="R72" s="590" t="s">
        <v>369</v>
      </c>
      <c r="S72" s="168"/>
      <c r="T72" s="591"/>
      <c r="U72" s="592" t="str">
        <f t="array" ref="U72">IFERROR(VLOOKUP(R72,Dex!$B$3:$N689,2,FALSE),"")</f>
        <v/>
      </c>
      <c r="V72" s="594"/>
      <c r="W72" s="590" t="s">
        <v>640</v>
      </c>
      <c r="X72" s="168"/>
      <c r="Y72" s="591"/>
      <c r="Z72" s="592" t="str">
        <f t="array" ref="Z72">IFERROR(VLOOKUP(W72,Dex!$B$3:$N689,2,FALSE),"")</f>
        <v/>
      </c>
      <c r="AA72" s="572"/>
      <c r="AB72" s="560"/>
    </row>
    <row r="73">
      <c r="A73" s="595"/>
      <c r="B73" s="596"/>
      <c r="C73" s="597" t="s">
        <v>1056</v>
      </c>
      <c r="D73" s="598"/>
      <c r="E73" s="599"/>
      <c r="F73" s="600" t="s">
        <v>1057</v>
      </c>
      <c r="G73" s="601"/>
      <c r="H73" s="597" t="s">
        <v>1056</v>
      </c>
      <c r="I73" s="598"/>
      <c r="J73" s="599"/>
      <c r="K73" s="600" t="s">
        <v>1057</v>
      </c>
      <c r="L73" s="602"/>
      <c r="M73" s="597" t="s">
        <v>1056</v>
      </c>
      <c r="N73" s="598"/>
      <c r="O73" s="599"/>
      <c r="P73" s="600" t="s">
        <v>1057</v>
      </c>
      <c r="Q73" s="602"/>
      <c r="R73" s="597" t="s">
        <v>1056</v>
      </c>
      <c r="S73" s="598"/>
      <c r="T73" s="599"/>
      <c r="U73" s="600" t="s">
        <v>1057</v>
      </c>
      <c r="V73" s="602"/>
      <c r="W73" s="597" t="s">
        <v>1056</v>
      </c>
      <c r="X73" s="598"/>
      <c r="Y73" s="599"/>
      <c r="Z73" s="600" t="s">
        <v>1057</v>
      </c>
      <c r="AA73" s="603"/>
      <c r="AB73" s="604"/>
    </row>
    <row r="74" ht="24.0" customHeight="1">
      <c r="A74" s="556"/>
      <c r="B74" s="577"/>
      <c r="C74" s="649" t="str">
        <f>IMAGE("https://raw.githubusercontent.com/msikma/pokesprite/master/items-outline/valuable-item/stardust.png",1)</f>
        <v/>
      </c>
      <c r="D74" s="650" t="s">
        <v>1059</v>
      </c>
      <c r="E74" s="665"/>
      <c r="F74" s="614">
        <v>0.8</v>
      </c>
      <c r="G74" s="609"/>
      <c r="H74" s="649" t="str">
        <f>IMAGE("https://raw.githubusercontent.com/msikma/pokesprite/master/items-outline/valuable-item/stardust.png",1)</f>
        <v/>
      </c>
      <c r="I74" s="650" t="s">
        <v>1059</v>
      </c>
      <c r="J74" s="665"/>
      <c r="K74" s="614">
        <v>0.8</v>
      </c>
      <c r="L74" s="610"/>
      <c r="M74" s="649" t="str">
        <f>IMAGE("https://raw.githubusercontent.com/msikma/pokesprite/master/items-outline/valuable-item/stardust.png",1)</f>
        <v/>
      </c>
      <c r="N74" s="650" t="s">
        <v>1059</v>
      </c>
      <c r="O74" s="665"/>
      <c r="P74" s="614">
        <v>0.8</v>
      </c>
      <c r="Q74" s="610"/>
      <c r="R74" s="649" t="str">
        <f>IMAGE("https://raw.githubusercontent.com/msikma/pokesprite/master/items-outline/valuable-item/stardust.png",1)</f>
        <v/>
      </c>
      <c r="S74" s="650" t="s">
        <v>1059</v>
      </c>
      <c r="T74" s="665"/>
      <c r="U74" s="614">
        <v>0.8</v>
      </c>
      <c r="V74" s="610"/>
      <c r="W74" s="649" t="str">
        <f>IMAGE("https://raw.githubusercontent.com/msikma/pokesprite/master/items-outline/valuable-item/stardust.png",1)</f>
        <v/>
      </c>
      <c r="X74" s="650" t="s">
        <v>1059</v>
      </c>
      <c r="Y74" s="665"/>
      <c r="Z74" s="614">
        <v>0.8</v>
      </c>
      <c r="AA74" s="572"/>
      <c r="AB74" s="560"/>
    </row>
    <row r="75" ht="24.0" customHeight="1">
      <c r="A75" s="556"/>
      <c r="B75" s="577"/>
      <c r="C75" s="651" t="str">
        <f>IMAGE("https://raw.githubusercontent.com/msikma/pokesprite/master/items-outline/medicine/health-wing.png",1)</f>
        <v/>
      </c>
      <c r="D75" s="652" t="s">
        <v>1082</v>
      </c>
      <c r="E75" s="666"/>
      <c r="F75" s="618">
        <v>0.8</v>
      </c>
      <c r="G75" s="609"/>
      <c r="H75" s="651" t="str">
        <f>IMAGE("https://raw.githubusercontent.com/msikma/pokesprite/master/items-outline/medicine/health-wing.png",1)</f>
        <v/>
      </c>
      <c r="I75" s="652" t="s">
        <v>1082</v>
      </c>
      <c r="J75" s="666"/>
      <c r="K75" s="618">
        <v>0.8</v>
      </c>
      <c r="L75" s="610"/>
      <c r="M75" s="651" t="str">
        <f>IMAGE("https://raw.githubusercontent.com/msikma/pokesprite/master/items-outline/medicine/health-wing.png",1)</f>
        <v/>
      </c>
      <c r="N75" s="652" t="s">
        <v>1082</v>
      </c>
      <c r="O75" s="666"/>
      <c r="P75" s="618">
        <v>0.8</v>
      </c>
      <c r="Q75" s="610"/>
      <c r="R75" s="651" t="str">
        <f>IMAGE("https://raw.githubusercontent.com/msikma/pokesprite/master/items-outline/medicine/health-wing.png",1)</f>
        <v/>
      </c>
      <c r="S75" s="652" t="s">
        <v>1082</v>
      </c>
      <c r="T75" s="666"/>
      <c r="U75" s="618">
        <v>0.8</v>
      </c>
      <c r="V75" s="610"/>
      <c r="W75" s="651" t="str">
        <f>IMAGE("https://raw.githubusercontent.com/msikma/pokesprite/master/items-outline/medicine/health-wing.png",1)</f>
        <v/>
      </c>
      <c r="X75" s="652" t="s">
        <v>1082</v>
      </c>
      <c r="Y75" s="666"/>
      <c r="Z75" s="618">
        <v>0.8</v>
      </c>
      <c r="AA75" s="572"/>
      <c r="AB75" s="560"/>
    </row>
    <row r="76" ht="24.0" customHeight="1">
      <c r="A76" s="556"/>
      <c r="B76" s="577"/>
      <c r="C76" s="637"/>
      <c r="D76" s="681" t="s">
        <v>1068</v>
      </c>
      <c r="E76" s="682"/>
      <c r="F76" s="683">
        <v>0.5</v>
      </c>
      <c r="G76" s="609"/>
      <c r="H76" s="637"/>
      <c r="I76" s="681" t="s">
        <v>1068</v>
      </c>
      <c r="J76" s="682"/>
      <c r="K76" s="683">
        <v>0.5</v>
      </c>
      <c r="L76" s="610"/>
      <c r="M76" s="637"/>
      <c r="N76" s="681" t="s">
        <v>1068</v>
      </c>
      <c r="O76" s="682"/>
      <c r="P76" s="683">
        <v>0.5</v>
      </c>
      <c r="Q76" s="610"/>
      <c r="R76" s="637"/>
      <c r="S76" s="681" t="s">
        <v>1068</v>
      </c>
      <c r="T76" s="682"/>
      <c r="U76" s="683">
        <v>0.5</v>
      </c>
      <c r="V76" s="610"/>
      <c r="W76" s="637"/>
      <c r="X76" s="681" t="s">
        <v>1068</v>
      </c>
      <c r="Y76" s="682"/>
      <c r="Z76" s="683">
        <v>0.5</v>
      </c>
      <c r="AA76" s="572"/>
      <c r="AB76" s="560"/>
    </row>
    <row r="77" ht="24.0" customHeight="1">
      <c r="A77" s="556"/>
      <c r="B77" s="577"/>
      <c r="C77" s="619" t="str">
        <f>IMAGE("https://raw.githubusercontent.com/msikma/pokesprite/master/items-outline/berry/sitrus.png",1)</f>
        <v/>
      </c>
      <c r="D77" s="684" t="s">
        <v>1065</v>
      </c>
      <c r="E77" s="667"/>
      <c r="F77" s="685">
        <v>0.3</v>
      </c>
      <c r="G77" s="609"/>
      <c r="H77" s="619" t="str">
        <f>IMAGE("https://raw.githubusercontent.com/msikma/pokesprite/master/items-outline/berry/sitrus.png",1)</f>
        <v/>
      </c>
      <c r="I77" s="684" t="s">
        <v>1065</v>
      </c>
      <c r="J77" s="667"/>
      <c r="K77" s="685">
        <v>0.3</v>
      </c>
      <c r="L77" s="610"/>
      <c r="M77" s="619" t="str">
        <f>IMAGE("https://raw.githubusercontent.com/msikma/pokesprite/master/items-outline/berry/sitrus.png",1)</f>
        <v/>
      </c>
      <c r="N77" s="684" t="s">
        <v>1065</v>
      </c>
      <c r="O77" s="667"/>
      <c r="P77" s="685">
        <v>0.3</v>
      </c>
      <c r="Q77" s="610"/>
      <c r="R77" s="619" t="str">
        <f>IMAGE("https://raw.githubusercontent.com/msikma/pokesprite/master/items-outline/berry/sitrus.png",1)</f>
        <v/>
      </c>
      <c r="S77" s="684" t="s">
        <v>1065</v>
      </c>
      <c r="T77" s="667"/>
      <c r="U77" s="685">
        <v>0.3</v>
      </c>
      <c r="V77" s="610"/>
      <c r="W77" s="619" t="str">
        <f>IMAGE("https://raw.githubusercontent.com/msikma/pokesprite/master/items-outline/berry/sitrus.png",1)</f>
        <v/>
      </c>
      <c r="X77" s="684" t="s">
        <v>1065</v>
      </c>
      <c r="Y77" s="667"/>
      <c r="Z77" s="685">
        <v>0.3</v>
      </c>
      <c r="AA77" s="572"/>
      <c r="AB77" s="560"/>
    </row>
    <row r="78" ht="24.0" customHeight="1">
      <c r="A78" s="556"/>
      <c r="B78" s="577"/>
      <c r="C78" s="615" t="str">
        <f>IMAGE("https://raw.githubusercontent.com/msikma/pokesprite/master/items-outline/berry/passho.png",1)</f>
        <v/>
      </c>
      <c r="D78" s="616" t="s">
        <v>1083</v>
      </c>
      <c r="E78" s="666"/>
      <c r="F78" s="686">
        <v>0.3</v>
      </c>
      <c r="G78" s="609"/>
      <c r="H78" s="615" t="str">
        <f>IMAGE("https://raw.githubusercontent.com/msikma/pokesprite/master/items-outline/berry/passho.png",1)</f>
        <v/>
      </c>
      <c r="I78" s="616" t="s">
        <v>1083</v>
      </c>
      <c r="J78" s="666"/>
      <c r="K78" s="686">
        <v>0.3</v>
      </c>
      <c r="L78" s="610"/>
      <c r="M78" s="615" t="str">
        <f>IMAGE("https://raw.githubusercontent.com/msikma/pokesprite/master/items-outline/berry/passho.png",1)</f>
        <v/>
      </c>
      <c r="N78" s="616" t="s">
        <v>1083</v>
      </c>
      <c r="O78" s="666"/>
      <c r="P78" s="686">
        <v>0.3</v>
      </c>
      <c r="Q78" s="610"/>
      <c r="R78" s="615" t="str">
        <f>IMAGE("https://raw.githubusercontent.com/msikma/pokesprite/master/items-outline/berry/passho.png",1)</f>
        <v/>
      </c>
      <c r="S78" s="616" t="s">
        <v>1083</v>
      </c>
      <c r="T78" s="666"/>
      <c r="U78" s="686">
        <v>0.3</v>
      </c>
      <c r="V78" s="610"/>
      <c r="W78" s="615" t="str">
        <f>IMAGE("https://raw.githubusercontent.com/msikma/pokesprite/master/items-outline/berry/passho.png",1)</f>
        <v/>
      </c>
      <c r="X78" s="616" t="s">
        <v>1083</v>
      </c>
      <c r="Y78" s="666"/>
      <c r="Z78" s="686">
        <v>0.3</v>
      </c>
      <c r="AA78" s="572"/>
      <c r="AB78" s="560"/>
    </row>
    <row r="79" ht="24.0" customHeight="1">
      <c r="A79" s="556"/>
      <c r="B79" s="577"/>
      <c r="C79" s="619" t="str">
        <f>IMAGE("https://raw.githubusercontent.com/msikma/pokesprite/master/items-outline/berry/leppa.png",1)</f>
        <v/>
      </c>
      <c r="D79" s="684" t="s">
        <v>1067</v>
      </c>
      <c r="E79" s="667"/>
      <c r="F79" s="671">
        <v>0.25</v>
      </c>
      <c r="G79" s="609"/>
      <c r="H79" s="619" t="str">
        <f>IMAGE("https://raw.githubusercontent.com/msikma/pokesprite/master/items-outline/berry/leppa.png",1)</f>
        <v/>
      </c>
      <c r="I79" s="684" t="s">
        <v>1067</v>
      </c>
      <c r="J79" s="667"/>
      <c r="K79" s="671">
        <v>0.25</v>
      </c>
      <c r="L79" s="610"/>
      <c r="M79" s="619" t="str">
        <f>IMAGE("https://raw.githubusercontent.com/msikma/pokesprite/master/items-outline/berry/leppa.png",1)</f>
        <v/>
      </c>
      <c r="N79" s="684" t="s">
        <v>1067</v>
      </c>
      <c r="O79" s="667"/>
      <c r="P79" s="671">
        <v>0.25</v>
      </c>
      <c r="Q79" s="610"/>
      <c r="R79" s="619" t="str">
        <f>IMAGE("https://raw.githubusercontent.com/msikma/pokesprite/master/items-outline/berry/leppa.png",1)</f>
        <v/>
      </c>
      <c r="S79" s="684" t="s">
        <v>1067</v>
      </c>
      <c r="T79" s="667"/>
      <c r="U79" s="671">
        <v>0.25</v>
      </c>
      <c r="V79" s="610"/>
      <c r="W79" s="619" t="str">
        <f>IMAGE("https://raw.githubusercontent.com/msikma/pokesprite/master/items-outline/berry/leppa.png",1)</f>
        <v/>
      </c>
      <c r="X79" s="684" t="s">
        <v>1067</v>
      </c>
      <c r="Y79" s="667"/>
      <c r="Z79" s="671">
        <v>0.25</v>
      </c>
      <c r="AA79" s="572"/>
      <c r="AB79" s="560"/>
    </row>
    <row r="80" ht="24.0" customHeight="1">
      <c r="A80" s="556"/>
      <c r="B80" s="577"/>
      <c r="C80" s="623" t="str">
        <f>IMAGE("https://raw.githubusercontent.com/msikma/pokesprite/master/items-outline/valuable-item/nugget.png",1)</f>
        <v/>
      </c>
      <c r="D80" s="624" t="s">
        <v>1084</v>
      </c>
      <c r="E80" s="668"/>
      <c r="F80" s="687">
        <v>0.25</v>
      </c>
      <c r="G80" s="609"/>
      <c r="H80" s="623" t="str">
        <f>IMAGE("https://raw.githubusercontent.com/msikma/pokesprite/master/items-outline/valuable-item/nugget.png",1)</f>
        <v/>
      </c>
      <c r="I80" s="624" t="s">
        <v>1084</v>
      </c>
      <c r="J80" s="668"/>
      <c r="K80" s="687">
        <v>0.25</v>
      </c>
      <c r="L80" s="610"/>
      <c r="M80" s="623" t="str">
        <f>IMAGE("https://raw.githubusercontent.com/msikma/pokesprite/master/items-outline/valuable-item/nugget.png",1)</f>
        <v/>
      </c>
      <c r="N80" s="624" t="s">
        <v>1084</v>
      </c>
      <c r="O80" s="668"/>
      <c r="P80" s="687">
        <v>0.25</v>
      </c>
      <c r="Q80" s="610"/>
      <c r="R80" s="623" t="str">
        <f>IMAGE("https://raw.githubusercontent.com/msikma/pokesprite/master/items-outline/valuable-item/nugget.png",1)</f>
        <v/>
      </c>
      <c r="S80" s="624" t="s">
        <v>1084</v>
      </c>
      <c r="T80" s="668"/>
      <c r="U80" s="687">
        <v>0.25</v>
      </c>
      <c r="V80" s="610"/>
      <c r="W80" s="623" t="str">
        <f>IMAGE("https://raw.githubusercontent.com/msikma/pokesprite/master/items-outline/valuable-item/nugget.png",1)</f>
        <v/>
      </c>
      <c r="X80" s="624" t="s">
        <v>1084</v>
      </c>
      <c r="Y80" s="668"/>
      <c r="Z80" s="687">
        <v>0.25</v>
      </c>
      <c r="AA80" s="572"/>
      <c r="AB80" s="560"/>
    </row>
    <row r="81" ht="24.0" customHeight="1">
      <c r="A81" s="556"/>
      <c r="B81" s="577"/>
      <c r="C81" s="632" t="str">
        <f>IMAGE("https://raw.githubusercontent.com/msikma/pokesprite/master/items-outline/medicine/hp-up.png",1)</f>
        <v/>
      </c>
      <c r="D81" s="688" t="s">
        <v>1085</v>
      </c>
      <c r="E81" s="673"/>
      <c r="F81" s="674">
        <v>0.05</v>
      </c>
      <c r="G81" s="636"/>
      <c r="H81" s="632" t="str">
        <f>IMAGE("https://raw.githubusercontent.com/msikma/pokesprite/master/items-outline/medicine/hp-up.png",1)</f>
        <v/>
      </c>
      <c r="I81" s="688" t="s">
        <v>1085</v>
      </c>
      <c r="J81" s="673"/>
      <c r="K81" s="674">
        <v>0.05</v>
      </c>
      <c r="L81" s="610"/>
      <c r="M81" s="632" t="str">
        <f>IMAGE("https://raw.githubusercontent.com/msikma/pokesprite/master/items-outline/medicine/hp-up.png",1)</f>
        <v/>
      </c>
      <c r="N81" s="688" t="s">
        <v>1085</v>
      </c>
      <c r="O81" s="673"/>
      <c r="P81" s="674">
        <v>0.05</v>
      </c>
      <c r="Q81" s="610"/>
      <c r="R81" s="632" t="str">
        <f>IMAGE("https://raw.githubusercontent.com/msikma/pokesprite/master/items-outline/medicine/hp-up.png",1)</f>
        <v/>
      </c>
      <c r="S81" s="688" t="s">
        <v>1085</v>
      </c>
      <c r="T81" s="673"/>
      <c r="U81" s="674">
        <v>0.05</v>
      </c>
      <c r="V81" s="610"/>
      <c r="W81" s="632" t="str">
        <f>IMAGE("https://raw.githubusercontent.com/msikma/pokesprite/master/items-outline/medicine/hp-up.png",1)</f>
        <v/>
      </c>
      <c r="X81" s="688" t="s">
        <v>1085</v>
      </c>
      <c r="Y81" s="673"/>
      <c r="Z81" s="674">
        <v>0.05</v>
      </c>
      <c r="AA81" s="572"/>
      <c r="AB81" s="560"/>
    </row>
    <row r="82" ht="24.0" customHeight="1">
      <c r="A82" s="556"/>
      <c r="B82" s="577"/>
      <c r="C82" s="658" t="str">
        <f>IMAGE("https://raw.githubusercontent.com/msikma/pokesprite/master/items-outline/medicine/pp-up.png",1)</f>
        <v/>
      </c>
      <c r="D82" s="672" t="s">
        <v>1070</v>
      </c>
      <c r="E82" s="673"/>
      <c r="F82" s="689">
        <v>0.04</v>
      </c>
      <c r="G82" s="636"/>
      <c r="H82" s="658" t="str">
        <f>IMAGE("https://raw.githubusercontent.com/msikma/pokesprite/master/items-outline/medicine/pp-up.png",1)</f>
        <v/>
      </c>
      <c r="I82" s="672" t="s">
        <v>1070</v>
      </c>
      <c r="J82" s="673"/>
      <c r="K82" s="689">
        <v>0.04</v>
      </c>
      <c r="L82" s="610"/>
      <c r="M82" s="658" t="str">
        <f>IMAGE("https://raw.githubusercontent.com/msikma/pokesprite/master/items-outline/medicine/pp-up.png",1)</f>
        <v/>
      </c>
      <c r="N82" s="672" t="s">
        <v>1070</v>
      </c>
      <c r="O82" s="673"/>
      <c r="P82" s="689">
        <v>0.04</v>
      </c>
      <c r="Q82" s="610"/>
      <c r="R82" s="658" t="str">
        <f>IMAGE("https://raw.githubusercontent.com/msikma/pokesprite/master/items-outline/medicine/pp-up.png",1)</f>
        <v/>
      </c>
      <c r="S82" s="672" t="s">
        <v>1070</v>
      </c>
      <c r="T82" s="673"/>
      <c r="U82" s="689">
        <v>0.04</v>
      </c>
      <c r="V82" s="610"/>
      <c r="W82" s="658" t="str">
        <f>IMAGE("https://raw.githubusercontent.com/msikma/pokesprite/master/items-outline/medicine/pp-up.png",1)</f>
        <v/>
      </c>
      <c r="X82" s="672" t="s">
        <v>1070</v>
      </c>
      <c r="Y82" s="673"/>
      <c r="Z82" s="689">
        <v>0.04</v>
      </c>
      <c r="AA82" s="572"/>
      <c r="AB82" s="560"/>
    </row>
    <row r="83" ht="24.75" customHeight="1">
      <c r="A83" s="556"/>
      <c r="B83" s="577"/>
      <c r="C83" s="690" t="str">
        <f>IMAGE("https://raw.githubusercontent.com/msikma/pokesprite/master/items-outline/hold-item/lucky-egg.png",1)</f>
        <v/>
      </c>
      <c r="D83" s="691" t="s">
        <v>1071</v>
      </c>
      <c r="E83" s="678"/>
      <c r="F83" s="679">
        <v>0.01</v>
      </c>
      <c r="G83" s="645"/>
      <c r="H83" s="690" t="str">
        <f>IMAGE("https://raw.githubusercontent.com/msikma/pokesprite/master/items-outline/hold-item/lucky-egg.png",1)</f>
        <v/>
      </c>
      <c r="I83" s="691" t="s">
        <v>1071</v>
      </c>
      <c r="J83" s="678"/>
      <c r="K83" s="679">
        <v>0.01</v>
      </c>
      <c r="L83" s="646"/>
      <c r="M83" s="690" t="str">
        <f>IMAGE("https://raw.githubusercontent.com/msikma/pokesprite/master/items-outline/hold-item/lucky-egg.png",1)</f>
        <v/>
      </c>
      <c r="N83" s="691" t="s">
        <v>1071</v>
      </c>
      <c r="O83" s="678"/>
      <c r="P83" s="679">
        <v>0.01</v>
      </c>
      <c r="Q83" s="646"/>
      <c r="R83" s="690" t="str">
        <f>IMAGE("https://raw.githubusercontent.com/msikma/pokesprite/master/items-outline/hold-item/lucky-egg.png",1)</f>
        <v/>
      </c>
      <c r="S83" s="691" t="s">
        <v>1071</v>
      </c>
      <c r="T83" s="678"/>
      <c r="U83" s="679">
        <v>0.01</v>
      </c>
      <c r="V83" s="646"/>
      <c r="W83" s="690" t="str">
        <f>IMAGE("https://raw.githubusercontent.com/msikma/pokesprite/master/items-outline/hold-item/lucky-egg.png",1)</f>
        <v/>
      </c>
      <c r="X83" s="691" t="s">
        <v>1071</v>
      </c>
      <c r="Y83" s="678"/>
      <c r="Z83" s="679">
        <v>0.01</v>
      </c>
      <c r="AA83" s="572"/>
      <c r="AB83" s="560"/>
    </row>
    <row r="84" ht="60.0" customHeight="1">
      <c r="A84" s="556"/>
      <c r="B84" s="577"/>
      <c r="C84" s="680" t="s">
        <v>1086</v>
      </c>
      <c r="Z84" s="588"/>
      <c r="AA84" s="648"/>
      <c r="AB84" s="560"/>
    </row>
    <row r="85" ht="37.5" customHeight="1">
      <c r="A85" s="556"/>
      <c r="B85" s="577"/>
      <c r="C85" s="590" t="s">
        <v>283</v>
      </c>
      <c r="D85" s="168"/>
      <c r="E85" s="591"/>
      <c r="F85" s="592" t="str">
        <f t="array" ref="F85">IFERROR(VLOOKUP(C85,Dex!$B$3:$N689,2,FALSE),"")</f>
        <v/>
      </c>
      <c r="G85" s="593"/>
      <c r="H85" s="590" t="s">
        <v>657</v>
      </c>
      <c r="I85" s="168"/>
      <c r="J85" s="591"/>
      <c r="K85" s="592" t="str">
        <f t="array" ref="K85">IFERROR(VLOOKUP(H85,Dex!$B$3:$N689,2,FALSE),"")</f>
        <v/>
      </c>
      <c r="L85" s="594"/>
      <c r="M85" s="590" t="s">
        <v>499</v>
      </c>
      <c r="N85" s="168"/>
      <c r="O85" s="591"/>
      <c r="P85" s="592" t="str">
        <f t="array" ref="P85">IFERROR(VLOOKUP(M85,Dex!$B$3:$N689,2,FALSE),"")</f>
        <v/>
      </c>
      <c r="Q85" s="594"/>
      <c r="R85" s="590" t="s">
        <v>1087</v>
      </c>
      <c r="S85" s="168"/>
      <c r="T85" s="591"/>
      <c r="U85" s="592" t="str">
        <f t="array" ref="U85">IFERROR(VLOOKUP(R85,Dex!$B$3:$N689,2,FALSE),"")</f>
        <v/>
      </c>
      <c r="V85" s="594"/>
      <c r="W85" s="590" t="s">
        <v>672</v>
      </c>
      <c r="X85" s="168"/>
      <c r="Y85" s="591"/>
      <c r="Z85" s="592" t="str">
        <f t="array" ref="Z85">IFERROR(VLOOKUP(W85,Dex!$B$3:$N689,2,FALSE),"")</f>
        <v/>
      </c>
      <c r="AA85" s="572"/>
      <c r="AB85" s="560"/>
    </row>
    <row r="86">
      <c r="A86" s="595"/>
      <c r="B86" s="596"/>
      <c r="C86" s="597" t="s">
        <v>1056</v>
      </c>
      <c r="D86" s="598"/>
      <c r="E86" s="599"/>
      <c r="F86" s="600" t="s">
        <v>1057</v>
      </c>
      <c r="G86" s="601"/>
      <c r="H86" s="597" t="s">
        <v>1056</v>
      </c>
      <c r="I86" s="598"/>
      <c r="J86" s="599"/>
      <c r="K86" s="600" t="s">
        <v>1057</v>
      </c>
      <c r="L86" s="602"/>
      <c r="M86" s="597" t="s">
        <v>1056</v>
      </c>
      <c r="N86" s="598"/>
      <c r="O86" s="599"/>
      <c r="P86" s="600" t="s">
        <v>1057</v>
      </c>
      <c r="Q86" s="602"/>
      <c r="R86" s="597" t="s">
        <v>1056</v>
      </c>
      <c r="S86" s="598"/>
      <c r="T86" s="599"/>
      <c r="U86" s="600" t="s">
        <v>1057</v>
      </c>
      <c r="V86" s="602"/>
      <c r="W86" s="597" t="s">
        <v>1056</v>
      </c>
      <c r="X86" s="598"/>
      <c r="Y86" s="599"/>
      <c r="Z86" s="600" t="s">
        <v>1057</v>
      </c>
      <c r="AA86" s="603"/>
      <c r="AB86" s="604"/>
    </row>
    <row r="87" ht="24.0" customHeight="1">
      <c r="A87" s="556"/>
      <c r="B87" s="577"/>
      <c r="C87" s="605" t="str">
        <f>IMAGE("https://raw.githubusercontent.com/msikma/pokesprite/master/items-outline/ball/quick.png",1)</f>
        <v/>
      </c>
      <c r="D87" s="606" t="s">
        <v>1088</v>
      </c>
      <c r="E87" s="607"/>
      <c r="F87" s="608">
        <v>1.0</v>
      </c>
      <c r="G87" s="609"/>
      <c r="H87" s="605" t="str">
        <f>IMAGE("https://raw.githubusercontent.com/msikma/pokesprite/master/items-outline/ball/quick.png",1)</f>
        <v/>
      </c>
      <c r="I87" s="606" t="s">
        <v>1088</v>
      </c>
      <c r="J87" s="607"/>
      <c r="K87" s="608">
        <v>1.0</v>
      </c>
      <c r="L87" s="610"/>
      <c r="M87" s="605" t="str">
        <f>IMAGE("https://raw.githubusercontent.com/msikma/pokesprite/master/items-outline/ball/quick.png",1)</f>
        <v/>
      </c>
      <c r="N87" s="606" t="s">
        <v>1088</v>
      </c>
      <c r="O87" s="607"/>
      <c r="P87" s="608">
        <v>1.0</v>
      </c>
      <c r="Q87" s="610"/>
      <c r="R87" s="605" t="str">
        <f>IMAGE("https://raw.githubusercontent.com/msikma/pokesprite/master/items-outline/ball/quick.png",1)</f>
        <v/>
      </c>
      <c r="S87" s="606" t="s">
        <v>1088</v>
      </c>
      <c r="T87" s="607"/>
      <c r="U87" s="608">
        <v>1.0</v>
      </c>
      <c r="V87" s="610"/>
      <c r="W87" s="605" t="str">
        <f>IMAGE("https://raw.githubusercontent.com/msikma/pokesprite/master/items-outline/ball/quick.png",1)</f>
        <v/>
      </c>
      <c r="X87" s="606" t="s">
        <v>1088</v>
      </c>
      <c r="Y87" s="607"/>
      <c r="Z87" s="608">
        <v>1.0</v>
      </c>
      <c r="AA87" s="572"/>
      <c r="AB87" s="560"/>
    </row>
    <row r="88" ht="24.0" customHeight="1">
      <c r="A88" s="556"/>
      <c r="B88" s="577"/>
      <c r="C88" s="692" t="str">
        <f>IMAGE("https://raw.githubusercontent.com/msikma/pokesprite/master/items-outline/valuable-item/stardust.png",1)</f>
        <v/>
      </c>
      <c r="D88" s="693" t="s">
        <v>1059</v>
      </c>
      <c r="E88" s="694"/>
      <c r="F88" s="614">
        <v>0.8</v>
      </c>
      <c r="G88" s="609"/>
      <c r="H88" s="692" t="str">
        <f>IMAGE("https://raw.githubusercontent.com/msikma/pokesprite/master/items-outline/valuable-item/stardust.png",1)</f>
        <v/>
      </c>
      <c r="I88" s="693" t="s">
        <v>1059</v>
      </c>
      <c r="J88" s="694"/>
      <c r="K88" s="614">
        <v>0.8</v>
      </c>
      <c r="L88" s="610"/>
      <c r="M88" s="692" t="str">
        <f>IMAGE("https://raw.githubusercontent.com/msikma/pokesprite/master/items-outline/valuable-item/stardust.png",1)</f>
        <v/>
      </c>
      <c r="N88" s="693" t="s">
        <v>1059</v>
      </c>
      <c r="O88" s="694"/>
      <c r="P88" s="614">
        <v>0.8</v>
      </c>
      <c r="Q88" s="610"/>
      <c r="R88" s="692" t="str">
        <f>IMAGE("https://raw.githubusercontent.com/msikma/pokesprite/master/items-outline/valuable-item/stardust.png",1)</f>
        <v/>
      </c>
      <c r="S88" s="693" t="s">
        <v>1059</v>
      </c>
      <c r="T88" s="694"/>
      <c r="U88" s="614">
        <v>0.8</v>
      </c>
      <c r="V88" s="610"/>
      <c r="W88" s="692" t="str">
        <f>IMAGE("https://raw.githubusercontent.com/msikma/pokesprite/master/items-outline/valuable-item/stardust.png",1)</f>
        <v/>
      </c>
      <c r="X88" s="693" t="s">
        <v>1059</v>
      </c>
      <c r="Y88" s="694"/>
      <c r="Z88" s="614">
        <v>0.8</v>
      </c>
      <c r="AA88" s="572"/>
      <c r="AB88" s="560"/>
    </row>
    <row r="89" ht="24.0" customHeight="1">
      <c r="A89" s="556"/>
      <c r="B89" s="577"/>
      <c r="C89" s="637" t="str">
        <f>IMAGE("https://raw.githubusercontent.com/msikma/pokesprite/master/items-outline/medicine/swift-wing.png",1)</f>
        <v/>
      </c>
      <c r="D89" s="695" t="s">
        <v>1077</v>
      </c>
      <c r="E89" s="696"/>
      <c r="F89" s="618">
        <v>0.8</v>
      </c>
      <c r="G89" s="609"/>
      <c r="H89" s="637" t="str">
        <f>IMAGE("https://raw.githubusercontent.com/msikma/pokesprite/master/items-outline/medicine/swift-wing.png",1)</f>
        <v/>
      </c>
      <c r="I89" s="695" t="s">
        <v>1077</v>
      </c>
      <c r="J89" s="696"/>
      <c r="K89" s="618">
        <v>0.8</v>
      </c>
      <c r="L89" s="610"/>
      <c r="M89" s="637" t="str">
        <f>IMAGE("https://raw.githubusercontent.com/msikma/pokesprite/master/items-outline/medicine/swift-wing.png",1)</f>
        <v/>
      </c>
      <c r="N89" s="695" t="s">
        <v>1077</v>
      </c>
      <c r="O89" s="696"/>
      <c r="P89" s="618">
        <v>0.8</v>
      </c>
      <c r="Q89" s="610"/>
      <c r="R89" s="637" t="str">
        <f>IMAGE("https://raw.githubusercontent.com/msikma/pokesprite/master/items-outline/medicine/swift-wing.png",1)</f>
        <v/>
      </c>
      <c r="S89" s="695" t="s">
        <v>1077</v>
      </c>
      <c r="T89" s="696"/>
      <c r="U89" s="618">
        <v>0.8</v>
      </c>
      <c r="V89" s="610"/>
      <c r="W89" s="637" t="str">
        <f>IMAGE("https://raw.githubusercontent.com/msikma/pokesprite/master/items-outline/medicine/swift-wing.png",1)</f>
        <v/>
      </c>
      <c r="X89" s="695" t="s">
        <v>1077</v>
      </c>
      <c r="Y89" s="696"/>
      <c r="Z89" s="618">
        <v>0.8</v>
      </c>
      <c r="AA89" s="572"/>
      <c r="AB89" s="560"/>
    </row>
    <row r="90" ht="24.0" customHeight="1">
      <c r="A90" s="556"/>
      <c r="B90" s="577"/>
      <c r="C90" s="697"/>
      <c r="D90" s="698" t="s">
        <v>1068</v>
      </c>
      <c r="E90" s="699"/>
      <c r="F90" s="683">
        <v>0.5</v>
      </c>
      <c r="G90" s="609"/>
      <c r="H90" s="697"/>
      <c r="I90" s="698" t="s">
        <v>1068</v>
      </c>
      <c r="J90" s="699"/>
      <c r="K90" s="683">
        <v>0.5</v>
      </c>
      <c r="L90" s="610"/>
      <c r="M90" s="697"/>
      <c r="N90" s="698" t="s">
        <v>1068</v>
      </c>
      <c r="O90" s="699"/>
      <c r="P90" s="683">
        <v>0.5</v>
      </c>
      <c r="Q90" s="610"/>
      <c r="R90" s="697"/>
      <c r="S90" s="698" t="s">
        <v>1068</v>
      </c>
      <c r="T90" s="699"/>
      <c r="U90" s="683">
        <v>0.5</v>
      </c>
      <c r="V90" s="610"/>
      <c r="W90" s="697"/>
      <c r="X90" s="698" t="s">
        <v>1068</v>
      </c>
      <c r="Y90" s="699"/>
      <c r="Z90" s="683">
        <v>0.5</v>
      </c>
      <c r="AA90" s="572"/>
      <c r="AB90" s="560"/>
    </row>
    <row r="91" ht="24.0" customHeight="1">
      <c r="A91" s="556"/>
      <c r="B91" s="577"/>
      <c r="C91" s="649" t="str">
        <f>IMAGE("https://raw.githubusercontent.com/msikma/pokesprite/master/items-outline/berry/sitrus.png",1)</f>
        <v/>
      </c>
      <c r="D91" s="650" t="s">
        <v>1065</v>
      </c>
      <c r="E91" s="613"/>
      <c r="F91" s="627">
        <v>0.3</v>
      </c>
      <c r="G91" s="609"/>
      <c r="H91" s="649" t="str">
        <f>IMAGE("https://raw.githubusercontent.com/msikma/pokesprite/master/items-outline/berry/sitrus.png",1)</f>
        <v/>
      </c>
      <c r="I91" s="650" t="s">
        <v>1065</v>
      </c>
      <c r="J91" s="613"/>
      <c r="K91" s="627">
        <v>0.3</v>
      </c>
      <c r="L91" s="610"/>
      <c r="M91" s="649" t="str">
        <f>IMAGE("https://raw.githubusercontent.com/msikma/pokesprite/master/items-outline/berry/sitrus.png",1)</f>
        <v/>
      </c>
      <c r="N91" s="650" t="s">
        <v>1065</v>
      </c>
      <c r="O91" s="613"/>
      <c r="P91" s="627">
        <v>0.3</v>
      </c>
      <c r="Q91" s="610"/>
      <c r="R91" s="649" t="str">
        <f>IMAGE("https://raw.githubusercontent.com/msikma/pokesprite/master/items-outline/berry/sitrus.png",1)</f>
        <v/>
      </c>
      <c r="S91" s="650" t="s">
        <v>1065</v>
      </c>
      <c r="T91" s="613"/>
      <c r="U91" s="627">
        <v>0.3</v>
      </c>
      <c r="V91" s="610"/>
      <c r="W91" s="649" t="str">
        <f>IMAGE("https://raw.githubusercontent.com/msikma/pokesprite/master/items-outline/berry/sitrus.png",1)</f>
        <v/>
      </c>
      <c r="X91" s="650" t="s">
        <v>1065</v>
      </c>
      <c r="Y91" s="613"/>
      <c r="Z91" s="627">
        <v>0.3</v>
      </c>
      <c r="AA91" s="572"/>
      <c r="AB91" s="560"/>
    </row>
    <row r="92" ht="24.0" customHeight="1">
      <c r="A92" s="556"/>
      <c r="B92" s="577"/>
      <c r="C92" s="651" t="str">
        <f>IMAGE("https://raw.githubusercontent.com/msikma/pokesprite/master/items-outline/berry/tanga.png",1)</f>
        <v/>
      </c>
      <c r="D92" s="652" t="s">
        <v>1089</v>
      </c>
      <c r="E92" s="617"/>
      <c r="F92" s="628">
        <v>0.3</v>
      </c>
      <c r="G92" s="609"/>
      <c r="H92" s="651" t="str">
        <f>IMAGE("https://raw.githubusercontent.com/msikma/pokesprite/master/items-outline/berry/tanga.png",1)</f>
        <v/>
      </c>
      <c r="I92" s="652" t="s">
        <v>1089</v>
      </c>
      <c r="J92" s="617"/>
      <c r="K92" s="628">
        <v>0.3</v>
      </c>
      <c r="L92" s="610"/>
      <c r="M92" s="651" t="str">
        <f>IMAGE("https://raw.githubusercontent.com/msikma/pokesprite/master/items-outline/berry/tanga.png",1)</f>
        <v/>
      </c>
      <c r="N92" s="652" t="s">
        <v>1089</v>
      </c>
      <c r="O92" s="617"/>
      <c r="P92" s="628">
        <v>0.3</v>
      </c>
      <c r="Q92" s="610"/>
      <c r="R92" s="651" t="str">
        <f>IMAGE("https://raw.githubusercontent.com/msikma/pokesprite/master/items-outline/berry/tanga.png",1)</f>
        <v/>
      </c>
      <c r="S92" s="652" t="s">
        <v>1089</v>
      </c>
      <c r="T92" s="617"/>
      <c r="U92" s="628">
        <v>0.3</v>
      </c>
      <c r="V92" s="610"/>
      <c r="W92" s="651" t="str">
        <f>IMAGE("https://raw.githubusercontent.com/msikma/pokesprite/master/items-outline/berry/tanga.png",1)</f>
        <v/>
      </c>
      <c r="X92" s="652" t="s">
        <v>1089</v>
      </c>
      <c r="Y92" s="617"/>
      <c r="Z92" s="628">
        <v>0.3</v>
      </c>
      <c r="AA92" s="572"/>
      <c r="AB92" s="560"/>
    </row>
    <row r="93" ht="24.0" customHeight="1">
      <c r="A93" s="556"/>
      <c r="B93" s="577"/>
      <c r="C93" s="653" t="str">
        <f>IMAGE("https://raw.githubusercontent.com/msikma/pokesprite/master/items-outline/berry/leppa.png",1)</f>
        <v/>
      </c>
      <c r="D93" s="654" t="s">
        <v>1067</v>
      </c>
      <c r="E93" s="621"/>
      <c r="F93" s="629">
        <v>0.25</v>
      </c>
      <c r="G93" s="609"/>
      <c r="H93" s="653" t="str">
        <f>IMAGE("https://raw.githubusercontent.com/msikma/pokesprite/master/items-outline/berry/leppa.png",1)</f>
        <v/>
      </c>
      <c r="I93" s="654" t="s">
        <v>1067</v>
      </c>
      <c r="J93" s="621"/>
      <c r="K93" s="629">
        <v>0.25</v>
      </c>
      <c r="L93" s="610"/>
      <c r="M93" s="653" t="str">
        <f>IMAGE("https://raw.githubusercontent.com/msikma/pokesprite/master/items-outline/berry/leppa.png",1)</f>
        <v/>
      </c>
      <c r="N93" s="654" t="s">
        <v>1067</v>
      </c>
      <c r="O93" s="621"/>
      <c r="P93" s="629">
        <v>0.25</v>
      </c>
      <c r="Q93" s="610"/>
      <c r="R93" s="653" t="str">
        <f>IMAGE("https://raw.githubusercontent.com/msikma/pokesprite/master/items-outline/berry/leppa.png",1)</f>
        <v/>
      </c>
      <c r="S93" s="654" t="s">
        <v>1067</v>
      </c>
      <c r="T93" s="621"/>
      <c r="U93" s="629">
        <v>0.25</v>
      </c>
      <c r="V93" s="610"/>
      <c r="W93" s="653" t="str">
        <f>IMAGE("https://raw.githubusercontent.com/msikma/pokesprite/master/items-outline/berry/leppa.png",1)</f>
        <v/>
      </c>
      <c r="X93" s="654" t="s">
        <v>1067</v>
      </c>
      <c r="Y93" s="621"/>
      <c r="Z93" s="629">
        <v>0.25</v>
      </c>
      <c r="AA93" s="572"/>
      <c r="AB93" s="560"/>
    </row>
    <row r="94" ht="24.0" customHeight="1">
      <c r="A94" s="556"/>
      <c r="B94" s="577"/>
      <c r="C94" s="655" t="str">
        <f>IMAGE("https://raw.githubusercontent.com/msikma/pokesprite/master/items-outline/valuable-item/nugget.png",1)</f>
        <v/>
      </c>
      <c r="D94" s="657" t="s">
        <v>1084</v>
      </c>
      <c r="E94" s="625"/>
      <c r="F94" s="631">
        <v>0.25</v>
      </c>
      <c r="G94" s="609"/>
      <c r="H94" s="655" t="str">
        <f>IMAGE("https://raw.githubusercontent.com/msikma/pokesprite/master/items-outline/valuable-item/nugget.png",1)</f>
        <v/>
      </c>
      <c r="I94" s="657" t="s">
        <v>1084</v>
      </c>
      <c r="J94" s="625"/>
      <c r="K94" s="631">
        <v>0.25</v>
      </c>
      <c r="L94" s="610"/>
      <c r="M94" s="655" t="str">
        <f>IMAGE("https://raw.githubusercontent.com/msikma/pokesprite/master/items-outline/valuable-item/nugget.png",1)</f>
        <v/>
      </c>
      <c r="N94" s="657" t="s">
        <v>1084</v>
      </c>
      <c r="O94" s="625"/>
      <c r="P94" s="631">
        <v>0.25</v>
      </c>
      <c r="Q94" s="610"/>
      <c r="R94" s="655" t="str">
        <f>IMAGE("https://raw.githubusercontent.com/msikma/pokesprite/master/items-outline/valuable-item/nugget.png",1)</f>
        <v/>
      </c>
      <c r="S94" s="657" t="s">
        <v>1084</v>
      </c>
      <c r="T94" s="625"/>
      <c r="U94" s="631">
        <v>0.25</v>
      </c>
      <c r="V94" s="610"/>
      <c r="W94" s="655" t="str">
        <f>IMAGE("https://raw.githubusercontent.com/msikma/pokesprite/master/items-outline/valuable-item/nugget.png",1)</f>
        <v/>
      </c>
      <c r="X94" s="657" t="s">
        <v>1084</v>
      </c>
      <c r="Y94" s="625"/>
      <c r="Z94" s="631">
        <v>0.25</v>
      </c>
      <c r="AA94" s="572"/>
      <c r="AB94" s="560"/>
    </row>
    <row r="95" ht="24.0" customHeight="1">
      <c r="A95" s="556"/>
      <c r="B95" s="577"/>
      <c r="C95" s="658" t="str">
        <f>IMAGE("https://raw.githubusercontent.com/msikma/pokesprite/master/items-outline/medicine/carbos.png",1)</f>
        <v/>
      </c>
      <c r="D95" s="659" t="s">
        <v>1080</v>
      </c>
      <c r="E95" s="634"/>
      <c r="F95" s="635">
        <v>0.05</v>
      </c>
      <c r="G95" s="636"/>
      <c r="H95" s="658" t="str">
        <f>IMAGE("https://raw.githubusercontent.com/msikma/pokesprite/master/items-outline/medicine/carbos.png",1)</f>
        <v/>
      </c>
      <c r="I95" s="659" t="s">
        <v>1080</v>
      </c>
      <c r="J95" s="634"/>
      <c r="K95" s="635">
        <v>0.05</v>
      </c>
      <c r="L95" s="610"/>
      <c r="M95" s="658" t="str">
        <f>IMAGE("https://raw.githubusercontent.com/msikma/pokesprite/master/items-outline/medicine/carbos.png",1)</f>
        <v/>
      </c>
      <c r="N95" s="659" t="s">
        <v>1080</v>
      </c>
      <c r="O95" s="634"/>
      <c r="P95" s="635">
        <v>0.05</v>
      </c>
      <c r="Q95" s="610"/>
      <c r="R95" s="658" t="str">
        <f>IMAGE("https://raw.githubusercontent.com/msikma/pokesprite/master/items-outline/medicine/carbos.png",1)</f>
        <v/>
      </c>
      <c r="S95" s="659" t="s">
        <v>1080</v>
      </c>
      <c r="T95" s="634"/>
      <c r="U95" s="635">
        <v>0.05</v>
      </c>
      <c r="V95" s="610"/>
      <c r="W95" s="658" t="str">
        <f>IMAGE("https://raw.githubusercontent.com/msikma/pokesprite/master/items-outline/medicine/carbos.png",1)</f>
        <v/>
      </c>
      <c r="X95" s="659" t="s">
        <v>1080</v>
      </c>
      <c r="Y95" s="634"/>
      <c r="Z95" s="635">
        <v>0.05</v>
      </c>
      <c r="AA95" s="572"/>
      <c r="AB95" s="560"/>
    </row>
    <row r="96" ht="24.0" customHeight="1">
      <c r="A96" s="556"/>
      <c r="B96" s="577"/>
      <c r="C96" s="660" t="str">
        <f>IMAGE("https://raw.githubusercontent.com/msikma/pokesprite/master/items-outline/medicine/pp-up.png",1)</f>
        <v/>
      </c>
      <c r="D96" s="661" t="s">
        <v>1070</v>
      </c>
      <c r="E96" s="639"/>
      <c r="F96" s="640">
        <v>0.04</v>
      </c>
      <c r="G96" s="636"/>
      <c r="H96" s="660" t="str">
        <f>IMAGE("https://raw.githubusercontent.com/msikma/pokesprite/master/items-outline/medicine/pp-up.png",1)</f>
        <v/>
      </c>
      <c r="I96" s="661" t="s">
        <v>1070</v>
      </c>
      <c r="J96" s="639"/>
      <c r="K96" s="640">
        <v>0.04</v>
      </c>
      <c r="L96" s="610"/>
      <c r="M96" s="660" t="str">
        <f>IMAGE("https://raw.githubusercontent.com/msikma/pokesprite/master/items-outline/medicine/pp-up.png",1)</f>
        <v/>
      </c>
      <c r="N96" s="661" t="s">
        <v>1070</v>
      </c>
      <c r="O96" s="639"/>
      <c r="P96" s="640">
        <v>0.04</v>
      </c>
      <c r="Q96" s="610"/>
      <c r="R96" s="660" t="str">
        <f>IMAGE("https://raw.githubusercontent.com/msikma/pokesprite/master/items-outline/medicine/pp-up.png",1)</f>
        <v/>
      </c>
      <c r="S96" s="661" t="s">
        <v>1070</v>
      </c>
      <c r="T96" s="639"/>
      <c r="U96" s="640">
        <v>0.04</v>
      </c>
      <c r="V96" s="610"/>
      <c r="W96" s="660" t="str">
        <f>IMAGE("https://raw.githubusercontent.com/msikma/pokesprite/master/items-outline/medicine/pp-up.png",1)</f>
        <v/>
      </c>
      <c r="X96" s="661" t="s">
        <v>1070</v>
      </c>
      <c r="Y96" s="639"/>
      <c r="Z96" s="640">
        <v>0.04</v>
      </c>
      <c r="AA96" s="572"/>
      <c r="AB96" s="560"/>
    </row>
    <row r="97" ht="24.75" customHeight="1">
      <c r="A97" s="556"/>
      <c r="B97" s="577"/>
      <c r="C97" s="662" t="str">
        <f>IMAGE("https://raw.githubusercontent.com/msikma/pokesprite/master/items-outline/hold-item/lucky-egg.png",1)</f>
        <v/>
      </c>
      <c r="D97" s="663" t="s">
        <v>1071</v>
      </c>
      <c r="E97" s="643"/>
      <c r="F97" s="644">
        <v>0.01</v>
      </c>
      <c r="G97" s="645"/>
      <c r="H97" s="662" t="str">
        <f>IMAGE("https://raw.githubusercontent.com/msikma/pokesprite/master/items-outline/hold-item/lucky-egg.png",1)</f>
        <v/>
      </c>
      <c r="I97" s="663" t="s">
        <v>1071</v>
      </c>
      <c r="J97" s="643"/>
      <c r="K97" s="644">
        <v>0.01</v>
      </c>
      <c r="L97" s="646"/>
      <c r="M97" s="662" t="str">
        <f>IMAGE("https://raw.githubusercontent.com/msikma/pokesprite/master/items-outline/hold-item/lucky-egg.png",1)</f>
        <v/>
      </c>
      <c r="N97" s="663" t="s">
        <v>1071</v>
      </c>
      <c r="O97" s="643"/>
      <c r="P97" s="644">
        <v>0.01</v>
      </c>
      <c r="Q97" s="646"/>
      <c r="R97" s="662" t="str">
        <f>IMAGE("https://raw.githubusercontent.com/msikma/pokesprite/master/items-outline/hold-item/lucky-egg.png",1)</f>
        <v/>
      </c>
      <c r="S97" s="663" t="s">
        <v>1071</v>
      </c>
      <c r="T97" s="643"/>
      <c r="U97" s="644">
        <v>0.01</v>
      </c>
      <c r="V97" s="646"/>
      <c r="W97" s="662" t="str">
        <f>IMAGE("https://raw.githubusercontent.com/msikma/pokesprite/master/items-outline/hold-item/lucky-egg.png",1)</f>
        <v/>
      </c>
      <c r="X97" s="663" t="s">
        <v>1071</v>
      </c>
      <c r="Y97" s="643"/>
      <c r="Z97" s="644">
        <v>0.01</v>
      </c>
      <c r="AA97" s="572"/>
      <c r="AB97" s="560"/>
    </row>
    <row r="98" ht="60.0" customHeight="1">
      <c r="A98" s="556"/>
      <c r="B98" s="577"/>
      <c r="C98" s="680" t="s">
        <v>1090</v>
      </c>
      <c r="Z98" s="588"/>
      <c r="AA98" s="648"/>
      <c r="AB98" s="560"/>
    </row>
    <row r="99" ht="37.5" customHeight="1">
      <c r="A99" s="556"/>
      <c r="B99" s="577"/>
      <c r="C99" s="590" t="s">
        <v>175</v>
      </c>
      <c r="D99" s="168"/>
      <c r="E99" s="591"/>
      <c r="F99" s="592" t="str">
        <f t="array" ref="F99">IFERROR(VLOOKUP(C99,Dex!$B$3:$N689,2,FALSE),"")</f>
        <v/>
      </c>
      <c r="G99" s="593"/>
      <c r="H99" s="590" t="s">
        <v>454</v>
      </c>
      <c r="I99" s="168"/>
      <c r="J99" s="591"/>
      <c r="K99" s="592" t="str">
        <f t="array" ref="K99">IFERROR(VLOOKUP(H99,Dex!$B$3:$N689,2,FALSE),"")</f>
        <v/>
      </c>
      <c r="L99" s="594"/>
      <c r="M99" s="590" t="s">
        <v>453</v>
      </c>
      <c r="N99" s="168"/>
      <c r="O99" s="591"/>
      <c r="P99" s="592" t="str">
        <f t="array" ref="P99">IFERROR(VLOOKUP(M99,Dex!$B$3:$N689,2,FALSE),"")</f>
        <v/>
      </c>
      <c r="Q99" s="594"/>
      <c r="R99" s="590" t="s">
        <v>242</v>
      </c>
      <c r="S99" s="168"/>
      <c r="T99" s="591"/>
      <c r="U99" s="592" t="str">
        <f t="array" ref="U99">IFERROR(VLOOKUP(R99,Dex!$B$3:$N689,2,FALSE),"")</f>
        <v/>
      </c>
      <c r="V99" s="594"/>
      <c r="W99" s="590" t="s">
        <v>375</v>
      </c>
      <c r="X99" s="168"/>
      <c r="Y99" s="591"/>
      <c r="Z99" s="592" t="str">
        <f t="array" ref="Z99">IFERROR(VLOOKUP(W99,Dex!$B$3:$N689,2,FALSE),"")</f>
        <v/>
      </c>
      <c r="AA99" s="572"/>
      <c r="AB99" s="560"/>
    </row>
    <row r="100">
      <c r="A100" s="595"/>
      <c r="B100" s="596"/>
      <c r="C100" s="597" t="s">
        <v>1056</v>
      </c>
      <c r="D100" s="598"/>
      <c r="E100" s="599"/>
      <c r="F100" s="600" t="s">
        <v>1057</v>
      </c>
      <c r="G100" s="601"/>
      <c r="H100" s="597" t="s">
        <v>1056</v>
      </c>
      <c r="I100" s="598"/>
      <c r="J100" s="599"/>
      <c r="K100" s="600" t="s">
        <v>1057</v>
      </c>
      <c r="L100" s="602"/>
      <c r="M100" s="597" t="s">
        <v>1056</v>
      </c>
      <c r="N100" s="598"/>
      <c r="O100" s="599"/>
      <c r="P100" s="600" t="s">
        <v>1057</v>
      </c>
      <c r="Q100" s="602"/>
      <c r="R100" s="597" t="s">
        <v>1056</v>
      </c>
      <c r="S100" s="598"/>
      <c r="T100" s="599"/>
      <c r="U100" s="600" t="s">
        <v>1057</v>
      </c>
      <c r="V100" s="602"/>
      <c r="W100" s="597" t="s">
        <v>1056</v>
      </c>
      <c r="X100" s="598"/>
      <c r="Y100" s="599"/>
      <c r="Z100" s="600" t="s">
        <v>1057</v>
      </c>
      <c r="AA100" s="603"/>
      <c r="AB100" s="604"/>
    </row>
    <row r="101" ht="24.0" customHeight="1">
      <c r="A101" s="556"/>
      <c r="B101" s="577"/>
      <c r="C101" s="605" t="str">
        <f>IMAGE("https://raw.githubusercontent.com/msikma/pokesprite/master/items-outline/ball/quick.png",1)</f>
        <v/>
      </c>
      <c r="D101" s="606" t="s">
        <v>1088</v>
      </c>
      <c r="E101" s="607"/>
      <c r="F101" s="608">
        <v>1.0</v>
      </c>
      <c r="G101" s="609"/>
      <c r="H101" s="605" t="str">
        <f>IMAGE("https://raw.githubusercontent.com/msikma/pokesprite/master/items-outline/ball/quick.png",1)</f>
        <v/>
      </c>
      <c r="I101" s="606" t="s">
        <v>1088</v>
      </c>
      <c r="J101" s="607"/>
      <c r="K101" s="608">
        <v>1.0</v>
      </c>
      <c r="L101" s="610"/>
      <c r="M101" s="605" t="str">
        <f>IMAGE("https://raw.githubusercontent.com/msikma/pokesprite/master/items-outline/ball/quick.png",1)</f>
        <v/>
      </c>
      <c r="N101" s="606" t="s">
        <v>1088</v>
      </c>
      <c r="O101" s="607"/>
      <c r="P101" s="608">
        <v>1.0</v>
      </c>
      <c r="Q101" s="610"/>
      <c r="R101" s="605" t="str">
        <f>IMAGE("https://raw.githubusercontent.com/msikma/pokesprite/master/items-outline/ball/quick.png",1)</f>
        <v/>
      </c>
      <c r="S101" s="606" t="s">
        <v>1088</v>
      </c>
      <c r="T101" s="607"/>
      <c r="U101" s="608">
        <v>1.0</v>
      </c>
      <c r="V101" s="610"/>
      <c r="W101" s="605" t="str">
        <f>IMAGE("https://raw.githubusercontent.com/msikma/pokesprite/master/items-outline/ball/quick.png",1)</f>
        <v/>
      </c>
      <c r="X101" s="606" t="s">
        <v>1088</v>
      </c>
      <c r="Y101" s="607"/>
      <c r="Z101" s="608">
        <v>1.0</v>
      </c>
      <c r="AA101" s="572"/>
      <c r="AB101" s="560"/>
    </row>
    <row r="102" ht="24.0" customHeight="1">
      <c r="A102" s="556"/>
      <c r="B102" s="577"/>
      <c r="C102" s="692" t="str">
        <f>IMAGE("https://raw.githubusercontent.com/msikma/pokesprite/master/items-outline/ball/ultra.png",1)</f>
        <v/>
      </c>
      <c r="D102" s="693" t="s">
        <v>1091</v>
      </c>
      <c r="E102" s="694"/>
      <c r="F102" s="614">
        <v>0.8</v>
      </c>
      <c r="G102" s="609"/>
      <c r="H102" s="692" t="str">
        <f>IMAGE("https://raw.githubusercontent.com/msikma/pokesprite/master/items-outline/ball/ultra.png",1)</f>
        <v/>
      </c>
      <c r="I102" s="693" t="s">
        <v>1091</v>
      </c>
      <c r="J102" s="694"/>
      <c r="K102" s="614">
        <v>0.8</v>
      </c>
      <c r="L102" s="610"/>
      <c r="M102" s="692" t="str">
        <f>IMAGE("https://raw.githubusercontent.com/msikma/pokesprite/master/items-outline/ball/ultra.png",1)</f>
        <v/>
      </c>
      <c r="N102" s="693" t="s">
        <v>1091</v>
      </c>
      <c r="O102" s="694"/>
      <c r="P102" s="614">
        <v>0.8</v>
      </c>
      <c r="Q102" s="610"/>
      <c r="R102" s="692" t="str">
        <f>IMAGE("https://raw.githubusercontent.com/msikma/pokesprite/master/items-outline/ball/ultra.png",1)</f>
        <v/>
      </c>
      <c r="S102" s="693" t="s">
        <v>1091</v>
      </c>
      <c r="T102" s="694"/>
      <c r="U102" s="614">
        <v>0.8</v>
      </c>
      <c r="V102" s="610"/>
      <c r="W102" s="692" t="str">
        <f>IMAGE("https://raw.githubusercontent.com/msikma/pokesprite/master/items-outline/ball/ultra.png",1)</f>
        <v/>
      </c>
      <c r="X102" s="693" t="s">
        <v>1091</v>
      </c>
      <c r="Y102" s="694"/>
      <c r="Z102" s="614">
        <v>0.8</v>
      </c>
      <c r="AA102" s="572"/>
      <c r="AB102" s="560"/>
    </row>
    <row r="103" ht="24.0" customHeight="1">
      <c r="A103" s="556"/>
      <c r="B103" s="577"/>
      <c r="C103" s="637" t="str">
        <f>IMAGE("https://raw.githubusercontent.com/msikma/pokesprite/master/items-outline/medicine/resist-wing.png",1)</f>
        <v/>
      </c>
      <c r="D103" s="695" t="s">
        <v>1092</v>
      </c>
      <c r="E103" s="696"/>
      <c r="F103" s="618">
        <v>0.8</v>
      </c>
      <c r="G103" s="609"/>
      <c r="H103" s="637" t="str">
        <f>IMAGE("https://raw.githubusercontent.com/msikma/pokesprite/master/items-outline/medicine/resist-wing.png",1)</f>
        <v/>
      </c>
      <c r="I103" s="695" t="s">
        <v>1092</v>
      </c>
      <c r="J103" s="696"/>
      <c r="K103" s="618">
        <v>0.8</v>
      </c>
      <c r="L103" s="610"/>
      <c r="M103" s="637" t="str">
        <f>IMAGE("https://raw.githubusercontent.com/msikma/pokesprite/master/items-outline/medicine/resist-wing.png",1)</f>
        <v/>
      </c>
      <c r="N103" s="695" t="s">
        <v>1092</v>
      </c>
      <c r="O103" s="696"/>
      <c r="P103" s="618">
        <v>0.8</v>
      </c>
      <c r="Q103" s="610"/>
      <c r="R103" s="637" t="str">
        <f>IMAGE("https://raw.githubusercontent.com/msikma/pokesprite/master/items-outline/medicine/resist-wing.png",1)</f>
        <v/>
      </c>
      <c r="S103" s="695" t="s">
        <v>1092</v>
      </c>
      <c r="T103" s="696"/>
      <c r="U103" s="618">
        <v>0.8</v>
      </c>
      <c r="V103" s="610"/>
      <c r="W103" s="637" t="str">
        <f>IMAGE("https://raw.githubusercontent.com/msikma/pokesprite/master/items-outline/medicine/resist-wing.png",1)</f>
        <v/>
      </c>
      <c r="X103" s="695" t="s">
        <v>1092</v>
      </c>
      <c r="Y103" s="696"/>
      <c r="Z103" s="618">
        <v>0.8</v>
      </c>
      <c r="AA103" s="572"/>
      <c r="AB103" s="560"/>
    </row>
    <row r="104" ht="24.0" customHeight="1">
      <c r="A104" s="556"/>
      <c r="B104" s="577"/>
      <c r="C104" s="697" t="str">
        <f>IMAGE("https://raw.githubusercontent.com/msikma/pokesprite/master/items-outline/berry/wacan.png",1)</f>
        <v/>
      </c>
      <c r="D104" s="698" t="s">
        <v>1093</v>
      </c>
      <c r="E104" s="699"/>
      <c r="F104" s="683">
        <v>0.5</v>
      </c>
      <c r="G104" s="609"/>
      <c r="H104" s="697" t="str">
        <f>IMAGE("https://raw.githubusercontent.com/msikma/pokesprite/master/items-outline/berry/wacan.png",1)</f>
        <v/>
      </c>
      <c r="I104" s="698" t="s">
        <v>1093</v>
      </c>
      <c r="J104" s="699"/>
      <c r="K104" s="683">
        <v>0.5</v>
      </c>
      <c r="L104" s="610"/>
      <c r="M104" s="697" t="str">
        <f>IMAGE("https://raw.githubusercontent.com/msikma/pokesprite/master/items-outline/berry/wacan.png",1)</f>
        <v/>
      </c>
      <c r="N104" s="698" t="s">
        <v>1093</v>
      </c>
      <c r="O104" s="699"/>
      <c r="P104" s="683">
        <v>0.5</v>
      </c>
      <c r="Q104" s="610"/>
      <c r="R104" s="697" t="str">
        <f>IMAGE("https://raw.githubusercontent.com/msikma/pokesprite/master/items-outline/berry/wacan.png",1)</f>
        <v/>
      </c>
      <c r="S104" s="698" t="s">
        <v>1093</v>
      </c>
      <c r="T104" s="699"/>
      <c r="U104" s="683">
        <v>0.5</v>
      </c>
      <c r="V104" s="610"/>
      <c r="W104" s="697" t="str">
        <f>IMAGE("https://raw.githubusercontent.com/msikma/pokesprite/master/items-outline/berry/wacan.png",1)</f>
        <v/>
      </c>
      <c r="X104" s="698" t="s">
        <v>1093</v>
      </c>
      <c r="Y104" s="699"/>
      <c r="Z104" s="683">
        <v>0.5</v>
      </c>
      <c r="AA104" s="572"/>
      <c r="AB104" s="560"/>
    </row>
    <row r="105" ht="24.0" customHeight="1">
      <c r="A105" s="556"/>
      <c r="B105" s="577"/>
      <c r="C105" s="649" t="str">
        <f>IMAGE("https://raw.githubusercontent.com/msikma/pokesprite/master/items-outline/valuable-item/nugget.png",1)</f>
        <v/>
      </c>
      <c r="D105" s="650" t="s">
        <v>1084</v>
      </c>
      <c r="E105" s="613"/>
      <c r="F105" s="627">
        <v>0.3</v>
      </c>
      <c r="G105" s="609"/>
      <c r="H105" s="649" t="str">
        <f>IMAGE("https://raw.githubusercontent.com/msikma/pokesprite/master/items-outline/valuable-item/nugget.png",1)</f>
        <v/>
      </c>
      <c r="I105" s="650" t="s">
        <v>1084</v>
      </c>
      <c r="J105" s="613"/>
      <c r="K105" s="627">
        <v>0.3</v>
      </c>
      <c r="L105" s="610"/>
      <c r="M105" s="649" t="str">
        <f>IMAGE("https://raw.githubusercontent.com/msikma/pokesprite/master/items-outline/valuable-item/nugget.png",1)</f>
        <v/>
      </c>
      <c r="N105" s="650" t="s">
        <v>1084</v>
      </c>
      <c r="O105" s="613"/>
      <c r="P105" s="627">
        <v>0.3</v>
      </c>
      <c r="Q105" s="610"/>
      <c r="R105" s="649" t="str">
        <f>IMAGE("https://raw.githubusercontent.com/msikma/pokesprite/master/items-outline/valuable-item/nugget.png",1)</f>
        <v/>
      </c>
      <c r="S105" s="650" t="s">
        <v>1084</v>
      </c>
      <c r="T105" s="613"/>
      <c r="U105" s="627">
        <v>0.3</v>
      </c>
      <c r="V105" s="610"/>
      <c r="W105" s="649" t="str">
        <f>IMAGE("https://raw.githubusercontent.com/msikma/pokesprite/master/items-outline/valuable-item/nugget.png",1)</f>
        <v/>
      </c>
      <c r="X105" s="650" t="s">
        <v>1084</v>
      </c>
      <c r="Y105" s="613"/>
      <c r="Z105" s="627">
        <v>0.3</v>
      </c>
      <c r="AA105" s="572"/>
      <c r="AB105" s="560"/>
    </row>
    <row r="106" ht="24.0" customHeight="1">
      <c r="A106" s="556"/>
      <c r="B106" s="577"/>
      <c r="C106" s="651" t="str">
        <f>IMAGE("https://raw.githubusercontent.com/msikma/pokesprite/master/items/berry/sitrus.png",1)</f>
        <v/>
      </c>
      <c r="D106" s="652" t="s">
        <v>1065</v>
      </c>
      <c r="E106" s="617"/>
      <c r="F106" s="628">
        <v>0.3</v>
      </c>
      <c r="G106" s="609"/>
      <c r="H106" s="651" t="str">
        <f>IMAGE("https://raw.githubusercontent.com/msikma/pokesprite/master/items/berry/sitrus.png",1)</f>
        <v/>
      </c>
      <c r="I106" s="652" t="s">
        <v>1065</v>
      </c>
      <c r="J106" s="617"/>
      <c r="K106" s="628">
        <v>0.3</v>
      </c>
      <c r="L106" s="610"/>
      <c r="M106" s="651" t="str">
        <f>IMAGE("https://raw.githubusercontent.com/msikma/pokesprite/master/items/berry/sitrus.png",1)</f>
        <v/>
      </c>
      <c r="N106" s="652" t="s">
        <v>1065</v>
      </c>
      <c r="O106" s="617"/>
      <c r="P106" s="628">
        <v>0.3</v>
      </c>
      <c r="Q106" s="610"/>
      <c r="R106" s="651" t="str">
        <f>IMAGE("https://raw.githubusercontent.com/msikma/pokesprite/master/items/berry/sitrus.png",1)</f>
        <v/>
      </c>
      <c r="S106" s="652" t="s">
        <v>1065</v>
      </c>
      <c r="T106" s="617"/>
      <c r="U106" s="628">
        <v>0.3</v>
      </c>
      <c r="V106" s="610"/>
      <c r="W106" s="651" t="str">
        <f>IMAGE("https://raw.githubusercontent.com/msikma/pokesprite/master/items/berry/sitrus.png",1)</f>
        <v/>
      </c>
      <c r="X106" s="652" t="s">
        <v>1065</v>
      </c>
      <c r="Y106" s="617"/>
      <c r="Z106" s="628">
        <v>0.3</v>
      </c>
      <c r="AA106" s="572"/>
      <c r="AB106" s="560"/>
    </row>
    <row r="107" ht="24.0" customHeight="1">
      <c r="A107" s="556"/>
      <c r="B107" s="577"/>
      <c r="C107" s="653" t="str">
        <f>IMAGE("https://raw.githubusercontent.com/msikma/pokesprite/master/items-outline/medicine/ability-capsule.png",1)</f>
        <v/>
      </c>
      <c r="D107" s="654" t="s">
        <v>1094</v>
      </c>
      <c r="E107" s="621"/>
      <c r="F107" s="629">
        <v>0.25</v>
      </c>
      <c r="G107" s="609"/>
      <c r="H107" s="653" t="str">
        <f>IMAGE("https://raw.githubusercontent.com/msikma/pokesprite/master/items-outline/medicine/ability-capsule.png",1)</f>
        <v/>
      </c>
      <c r="I107" s="654" t="s">
        <v>1094</v>
      </c>
      <c r="J107" s="621"/>
      <c r="K107" s="629">
        <v>0.25</v>
      </c>
      <c r="L107" s="610"/>
      <c r="M107" s="653" t="str">
        <f>IMAGE("https://raw.githubusercontent.com/msikma/pokesprite/master/items-outline/medicine/ability-capsule.png",1)</f>
        <v/>
      </c>
      <c r="N107" s="654" t="s">
        <v>1094</v>
      </c>
      <c r="O107" s="621"/>
      <c r="P107" s="629">
        <v>0.25</v>
      </c>
      <c r="Q107" s="610"/>
      <c r="R107" s="653" t="str">
        <f>IMAGE("https://raw.githubusercontent.com/msikma/pokesprite/master/items-outline/medicine/ability-capsule.png",1)</f>
        <v/>
      </c>
      <c r="S107" s="654" t="s">
        <v>1094</v>
      </c>
      <c r="T107" s="621"/>
      <c r="U107" s="629">
        <v>0.25</v>
      </c>
      <c r="V107" s="610"/>
      <c r="W107" s="653" t="str">
        <f>IMAGE("https://raw.githubusercontent.com/msikma/pokesprite/master/items-outline/medicine/ability-capsule.png",1)</f>
        <v/>
      </c>
      <c r="X107" s="654" t="s">
        <v>1094</v>
      </c>
      <c r="Y107" s="621"/>
      <c r="Z107" s="629">
        <v>0.25</v>
      </c>
      <c r="AA107" s="572"/>
      <c r="AB107" s="560"/>
    </row>
    <row r="108" ht="24.0" customHeight="1">
      <c r="A108" s="556"/>
      <c r="B108" s="577"/>
      <c r="C108" s="655"/>
      <c r="D108" s="657" t="s">
        <v>1068</v>
      </c>
      <c r="E108" s="625"/>
      <c r="F108" s="631">
        <v>0.25</v>
      </c>
      <c r="G108" s="609"/>
      <c r="H108" s="655"/>
      <c r="I108" s="657" t="s">
        <v>1068</v>
      </c>
      <c r="J108" s="625"/>
      <c r="K108" s="631">
        <v>0.25</v>
      </c>
      <c r="L108" s="610"/>
      <c r="M108" s="655"/>
      <c r="N108" s="657" t="s">
        <v>1068</v>
      </c>
      <c r="O108" s="625"/>
      <c r="P108" s="631">
        <v>0.25</v>
      </c>
      <c r="Q108" s="610"/>
      <c r="R108" s="655"/>
      <c r="S108" s="657" t="s">
        <v>1068</v>
      </c>
      <c r="T108" s="625"/>
      <c r="U108" s="631">
        <v>0.25</v>
      </c>
      <c r="V108" s="610"/>
      <c r="W108" s="655"/>
      <c r="X108" s="657" t="s">
        <v>1068</v>
      </c>
      <c r="Y108" s="625"/>
      <c r="Z108" s="631">
        <v>0.25</v>
      </c>
      <c r="AA108" s="572"/>
      <c r="AB108" s="560"/>
    </row>
    <row r="109" ht="24.0" customHeight="1">
      <c r="A109" s="556"/>
      <c r="B109" s="577"/>
      <c r="C109" s="658" t="str">
        <f>IMAGE("https://raw.githubusercontent.com/msikma/pokesprite/master/items-outline/medicine/iron.png",1)</f>
        <v/>
      </c>
      <c r="D109" s="659" t="s">
        <v>1095</v>
      </c>
      <c r="E109" s="634"/>
      <c r="F109" s="635">
        <v>0.05</v>
      </c>
      <c r="G109" s="636"/>
      <c r="H109" s="658" t="str">
        <f>IMAGE("https://raw.githubusercontent.com/msikma/pokesprite/master/items-outline/medicine/iron.png",1)</f>
        <v/>
      </c>
      <c r="I109" s="659" t="s">
        <v>1095</v>
      </c>
      <c r="J109" s="634"/>
      <c r="K109" s="635">
        <v>0.05</v>
      </c>
      <c r="L109" s="610"/>
      <c r="M109" s="658" t="str">
        <f>IMAGE("https://raw.githubusercontent.com/msikma/pokesprite/master/items-outline/medicine/iron.png",1)</f>
        <v/>
      </c>
      <c r="N109" s="659" t="s">
        <v>1095</v>
      </c>
      <c r="O109" s="634"/>
      <c r="P109" s="635">
        <v>0.05</v>
      </c>
      <c r="Q109" s="610"/>
      <c r="R109" s="658" t="str">
        <f>IMAGE("https://raw.githubusercontent.com/msikma/pokesprite/master/items-outline/medicine/iron.png",1)</f>
        <v/>
      </c>
      <c r="S109" s="659" t="s">
        <v>1095</v>
      </c>
      <c r="T109" s="634"/>
      <c r="U109" s="635">
        <v>0.05</v>
      </c>
      <c r="V109" s="610"/>
      <c r="W109" s="658" t="str">
        <f>IMAGE("https://raw.githubusercontent.com/msikma/pokesprite/master/items-outline/medicine/iron.png",1)</f>
        <v/>
      </c>
      <c r="X109" s="659" t="s">
        <v>1095</v>
      </c>
      <c r="Y109" s="634"/>
      <c r="Z109" s="635">
        <v>0.05</v>
      </c>
      <c r="AA109" s="572"/>
      <c r="AB109" s="560"/>
    </row>
    <row r="110" ht="24.0" customHeight="1">
      <c r="A110" s="556"/>
      <c r="B110" s="577"/>
      <c r="C110" s="660" t="str">
        <f>IMAGE("https://raw.githubusercontent.com/msikma/pokesprite/master/items-outline/medicine/pp-up.png",1)</f>
        <v/>
      </c>
      <c r="D110" s="661" t="s">
        <v>1070</v>
      </c>
      <c r="E110" s="639"/>
      <c r="F110" s="640">
        <v>0.04</v>
      </c>
      <c r="G110" s="636"/>
      <c r="H110" s="660" t="str">
        <f>IMAGE("https://raw.githubusercontent.com/msikma/pokesprite/master/items-outline/medicine/pp-up.png",1)</f>
        <v/>
      </c>
      <c r="I110" s="661" t="s">
        <v>1070</v>
      </c>
      <c r="J110" s="639"/>
      <c r="K110" s="640">
        <v>0.04</v>
      </c>
      <c r="L110" s="610"/>
      <c r="M110" s="660" t="str">
        <f>IMAGE("https://raw.githubusercontent.com/msikma/pokesprite/master/items-outline/medicine/pp-up.png",1)</f>
        <v/>
      </c>
      <c r="N110" s="661" t="s">
        <v>1070</v>
      </c>
      <c r="O110" s="639"/>
      <c r="P110" s="640">
        <v>0.04</v>
      </c>
      <c r="Q110" s="610"/>
      <c r="R110" s="660" t="str">
        <f>IMAGE("https://raw.githubusercontent.com/msikma/pokesprite/master/items-outline/medicine/pp-up.png",1)</f>
        <v/>
      </c>
      <c r="S110" s="661" t="s">
        <v>1070</v>
      </c>
      <c r="T110" s="639"/>
      <c r="U110" s="640">
        <v>0.04</v>
      </c>
      <c r="V110" s="610"/>
      <c r="W110" s="660" t="str">
        <f>IMAGE("https://raw.githubusercontent.com/msikma/pokesprite/master/items-outline/medicine/pp-up.png",1)</f>
        <v/>
      </c>
      <c r="X110" s="661" t="s">
        <v>1070</v>
      </c>
      <c r="Y110" s="639"/>
      <c r="Z110" s="640">
        <v>0.04</v>
      </c>
      <c r="AA110" s="572"/>
      <c r="AB110" s="560"/>
    </row>
    <row r="111" ht="24.75" customHeight="1">
      <c r="A111" s="556"/>
      <c r="B111" s="577"/>
      <c r="C111" s="662" t="str">
        <f>IMAGE("https://raw.githubusercontent.com/msikma/pokesprite/master/items-outline/hold-item/lucky-egg.png",1)</f>
        <v/>
      </c>
      <c r="D111" s="663" t="s">
        <v>1071</v>
      </c>
      <c r="E111" s="643"/>
      <c r="F111" s="644">
        <v>0.01</v>
      </c>
      <c r="G111" s="645"/>
      <c r="H111" s="662" t="str">
        <f>IMAGE("https://raw.githubusercontent.com/msikma/pokesprite/master/items-outline/hold-item/lucky-egg.png",1)</f>
        <v/>
      </c>
      <c r="I111" s="663" t="s">
        <v>1071</v>
      </c>
      <c r="J111" s="643"/>
      <c r="K111" s="644">
        <v>0.01</v>
      </c>
      <c r="L111" s="646"/>
      <c r="M111" s="662" t="str">
        <f>IMAGE("https://raw.githubusercontent.com/msikma/pokesprite/master/items-outline/hold-item/lucky-egg.png",1)</f>
        <v/>
      </c>
      <c r="N111" s="663" t="s">
        <v>1071</v>
      </c>
      <c r="O111" s="643"/>
      <c r="P111" s="644">
        <v>0.01</v>
      </c>
      <c r="Q111" s="646"/>
      <c r="R111" s="662" t="str">
        <f>IMAGE("https://raw.githubusercontent.com/msikma/pokesprite/master/items-outline/hold-item/lucky-egg.png",1)</f>
        <v/>
      </c>
      <c r="S111" s="663" t="s">
        <v>1071</v>
      </c>
      <c r="T111" s="643"/>
      <c r="U111" s="644">
        <v>0.01</v>
      </c>
      <c r="V111" s="646"/>
      <c r="W111" s="662" t="str">
        <f>IMAGE("https://raw.githubusercontent.com/msikma/pokesprite/master/items-outline/hold-item/lucky-egg.png",1)</f>
        <v/>
      </c>
      <c r="X111" s="663" t="s">
        <v>1071</v>
      </c>
      <c r="Y111" s="643"/>
      <c r="Z111" s="644">
        <v>0.01</v>
      </c>
      <c r="AA111" s="572"/>
      <c r="AB111" s="560"/>
    </row>
    <row r="112" ht="60.0" customHeight="1">
      <c r="A112" s="556"/>
      <c r="B112" s="577"/>
      <c r="C112" s="680" t="s">
        <v>1096</v>
      </c>
      <c r="Z112" s="588"/>
      <c r="AA112" s="648"/>
      <c r="AB112" s="560"/>
    </row>
    <row r="113" ht="37.5" customHeight="1">
      <c r="A113" s="556"/>
      <c r="B113" s="577"/>
      <c r="C113" s="590" t="s">
        <v>369</v>
      </c>
      <c r="D113" s="168"/>
      <c r="E113" s="591"/>
      <c r="F113" s="592" t="str">
        <f t="array" ref="F113">IFERROR(VLOOKUP(C113,Dex!$B$3:$N689,2,FALSE),"")</f>
        <v/>
      </c>
      <c r="G113" s="593"/>
      <c r="H113" s="590" t="s">
        <v>431</v>
      </c>
      <c r="I113" s="168"/>
      <c r="J113" s="591"/>
      <c r="K113" s="592" t="str">
        <f t="array" ref="K113">IFERROR(VLOOKUP(H113,Dex!$B$3:$N689,2,FALSE),"")</f>
        <v/>
      </c>
      <c r="L113" s="594"/>
      <c r="M113" s="590" t="s">
        <v>271</v>
      </c>
      <c r="N113" s="168"/>
      <c r="O113" s="591"/>
      <c r="P113" s="592" t="str">
        <f t="array" ref="P113">IFERROR(VLOOKUP(M113,Dex!$B$3:$N689,2,FALSE),"")</f>
        <v/>
      </c>
      <c r="Q113" s="594"/>
      <c r="R113" s="590" t="s">
        <v>236</v>
      </c>
      <c r="S113" s="168"/>
      <c r="T113" s="591"/>
      <c r="U113" s="592" t="str">
        <f t="array" ref="U113">IFERROR(VLOOKUP(R113,Dex!$B$3:$N689,2,FALSE),"")</f>
        <v/>
      </c>
      <c r="V113" s="594"/>
      <c r="W113" s="590" t="s">
        <v>452</v>
      </c>
      <c r="X113" s="168"/>
      <c r="Y113" s="591"/>
      <c r="Z113" s="592" t="str">
        <f t="array" ref="Z113">IFERROR(VLOOKUP(W113,Dex!$B$3:$N689,2,FALSE),"")</f>
        <v/>
      </c>
      <c r="AA113" s="572"/>
      <c r="AB113" s="560"/>
    </row>
    <row r="114">
      <c r="A114" s="595"/>
      <c r="B114" s="596"/>
      <c r="C114" s="597" t="s">
        <v>1056</v>
      </c>
      <c r="D114" s="598"/>
      <c r="E114" s="599"/>
      <c r="F114" s="600" t="s">
        <v>1057</v>
      </c>
      <c r="G114" s="601"/>
      <c r="H114" s="597" t="s">
        <v>1056</v>
      </c>
      <c r="I114" s="598"/>
      <c r="J114" s="599"/>
      <c r="K114" s="600" t="s">
        <v>1057</v>
      </c>
      <c r="L114" s="602"/>
      <c r="M114" s="597" t="s">
        <v>1056</v>
      </c>
      <c r="N114" s="598"/>
      <c r="O114" s="599"/>
      <c r="P114" s="600" t="s">
        <v>1057</v>
      </c>
      <c r="Q114" s="602"/>
      <c r="R114" s="597" t="s">
        <v>1056</v>
      </c>
      <c r="S114" s="598"/>
      <c r="T114" s="599"/>
      <c r="U114" s="600" t="s">
        <v>1057</v>
      </c>
      <c r="V114" s="602"/>
      <c r="W114" s="597" t="s">
        <v>1056</v>
      </c>
      <c r="X114" s="598"/>
      <c r="Y114" s="599"/>
      <c r="Z114" s="600" t="s">
        <v>1057</v>
      </c>
      <c r="AA114" s="603"/>
      <c r="AB114" s="604"/>
    </row>
    <row r="115" ht="24.0" customHeight="1">
      <c r="A115" s="556"/>
      <c r="B115" s="577"/>
      <c r="C115" s="605" t="str">
        <f>IMAGE("https://raw.githubusercontent.com/msikma/pokesprite/master/items-outline/ball/quick.png",1)</f>
        <v/>
      </c>
      <c r="D115" s="606" t="s">
        <v>1088</v>
      </c>
      <c r="E115" s="607"/>
      <c r="F115" s="608">
        <v>1.0</v>
      </c>
      <c r="G115" s="609"/>
      <c r="H115" s="605" t="str">
        <f>IMAGE("https://raw.githubusercontent.com/msikma/pokesprite/master/items-outline/ball/quick.png",1)</f>
        <v/>
      </c>
      <c r="I115" s="606" t="s">
        <v>1088</v>
      </c>
      <c r="J115" s="607"/>
      <c r="K115" s="608">
        <v>1.0</v>
      </c>
      <c r="L115" s="610"/>
      <c r="M115" s="605" t="str">
        <f>IMAGE("https://raw.githubusercontent.com/msikma/pokesprite/master/items-outline/ball/quick.png",1)</f>
        <v/>
      </c>
      <c r="N115" s="606" t="s">
        <v>1088</v>
      </c>
      <c r="O115" s="607"/>
      <c r="P115" s="608">
        <v>1.0</v>
      </c>
      <c r="Q115" s="610"/>
      <c r="R115" s="605" t="str">
        <f>IMAGE("https://raw.githubusercontent.com/msikma/pokesprite/master/items-outline/ball/quick.png",1)</f>
        <v/>
      </c>
      <c r="S115" s="606" t="s">
        <v>1088</v>
      </c>
      <c r="T115" s="607"/>
      <c r="U115" s="608">
        <v>1.0</v>
      </c>
      <c r="V115" s="610"/>
      <c r="W115" s="605" t="str">
        <f>IMAGE("https://raw.githubusercontent.com/msikma/pokesprite/master/items-outline/ball/quick.png",1)</f>
        <v/>
      </c>
      <c r="X115" s="606" t="s">
        <v>1088</v>
      </c>
      <c r="Y115" s="607"/>
      <c r="Z115" s="608">
        <v>1.0</v>
      </c>
      <c r="AA115" s="572"/>
      <c r="AB115" s="560"/>
    </row>
    <row r="116" ht="24.0" customHeight="1">
      <c r="A116" s="556"/>
      <c r="B116" s="577"/>
      <c r="C116" s="611" t="str">
        <f>IMAGE("https://raw.githubusercontent.com/msikma/pokesprite/master/items-outline/berry/haban.png",1)</f>
        <v/>
      </c>
      <c r="D116" s="612" t="s">
        <v>1097</v>
      </c>
      <c r="E116" s="613"/>
      <c r="F116" s="614">
        <v>0.8</v>
      </c>
      <c r="G116" s="609"/>
      <c r="H116" s="611" t="str">
        <f>IMAGE("https://raw.githubusercontent.com/msikma/pokesprite/master/items-outline/berry/haban.png",1)</f>
        <v/>
      </c>
      <c r="I116" s="612" t="s">
        <v>1097</v>
      </c>
      <c r="J116" s="613"/>
      <c r="K116" s="614">
        <v>0.8</v>
      </c>
      <c r="L116" s="610"/>
      <c r="M116" s="611" t="str">
        <f>IMAGE("https://raw.githubusercontent.com/msikma/pokesprite/master/items-outline/berry/haban.png",1)</f>
        <v/>
      </c>
      <c r="N116" s="612" t="s">
        <v>1097</v>
      </c>
      <c r="O116" s="613"/>
      <c r="P116" s="614">
        <v>0.8</v>
      </c>
      <c r="Q116" s="610"/>
      <c r="R116" s="611" t="str">
        <f>IMAGE("https://raw.githubusercontent.com/msikma/pokesprite/master/items-outline/berry/haban.png",1)</f>
        <v/>
      </c>
      <c r="S116" s="612" t="s">
        <v>1097</v>
      </c>
      <c r="T116" s="613"/>
      <c r="U116" s="614">
        <v>0.8</v>
      </c>
      <c r="V116" s="610"/>
      <c r="W116" s="611" t="str">
        <f>IMAGE("https://raw.githubusercontent.com/msikma/pokesprite/master/items-outline/berry/haban.png",1)</f>
        <v/>
      </c>
      <c r="X116" s="612" t="s">
        <v>1097</v>
      </c>
      <c r="Y116" s="613"/>
      <c r="Z116" s="614">
        <v>0.8</v>
      </c>
      <c r="AA116" s="572"/>
      <c r="AB116" s="560"/>
    </row>
    <row r="117" ht="24.0" customHeight="1">
      <c r="A117" s="556"/>
      <c r="B117" s="577"/>
      <c r="C117" s="615" t="str">
        <f>IMAGE("https://raw.githubusercontent.com/msikma/pokesprite/master/items-outline/medicine/clever-wing.png",1)</f>
        <v/>
      </c>
      <c r="D117" s="616" t="s">
        <v>1098</v>
      </c>
      <c r="E117" s="617"/>
      <c r="F117" s="618">
        <v>0.8</v>
      </c>
      <c r="G117" s="609"/>
      <c r="H117" s="615" t="str">
        <f>IMAGE("https://raw.githubusercontent.com/msikma/pokesprite/master/items-outline/medicine/clever-wing.png",1)</f>
        <v/>
      </c>
      <c r="I117" s="616" t="s">
        <v>1098</v>
      </c>
      <c r="J117" s="617"/>
      <c r="K117" s="618">
        <v>0.8</v>
      </c>
      <c r="L117" s="610"/>
      <c r="M117" s="615" t="str">
        <f>IMAGE("https://raw.githubusercontent.com/msikma/pokesprite/master/items-outline/medicine/clever-wing.png",1)</f>
        <v/>
      </c>
      <c r="N117" s="616" t="s">
        <v>1098</v>
      </c>
      <c r="O117" s="617"/>
      <c r="P117" s="618">
        <v>0.8</v>
      </c>
      <c r="Q117" s="610"/>
      <c r="R117" s="615" t="str">
        <f>IMAGE("https://raw.githubusercontent.com/msikma/pokesprite/master/items-outline/medicine/clever-wing.png",1)</f>
        <v/>
      </c>
      <c r="S117" s="616" t="s">
        <v>1098</v>
      </c>
      <c r="T117" s="617"/>
      <c r="U117" s="618">
        <v>0.8</v>
      </c>
      <c r="V117" s="610"/>
      <c r="W117" s="615" t="str">
        <f>IMAGE("https://raw.githubusercontent.com/msikma/pokesprite/master/items-outline/medicine/clever-wing.png",1)</f>
        <v/>
      </c>
      <c r="X117" s="616" t="s">
        <v>1098</v>
      </c>
      <c r="Y117" s="617"/>
      <c r="Z117" s="618">
        <v>0.8</v>
      </c>
      <c r="AA117" s="572"/>
      <c r="AB117" s="560"/>
    </row>
    <row r="118" ht="24.0" customHeight="1">
      <c r="A118" s="556"/>
      <c r="B118" s="577"/>
      <c r="C118" s="700" t="str">
        <f>IMAGE("https://raw.githubusercontent.com/msikma/pokesprite/master/items-outline/berry/chilan.png",1)</f>
        <v/>
      </c>
      <c r="D118" s="701" t="s">
        <v>1099</v>
      </c>
      <c r="E118" s="699"/>
      <c r="F118" s="683">
        <v>0.5</v>
      </c>
      <c r="G118" s="609"/>
      <c r="H118" s="700" t="str">
        <f>IMAGE("https://raw.githubusercontent.com/msikma/pokesprite/master/items-outline/berry/chilan.png",1)</f>
        <v/>
      </c>
      <c r="I118" s="701" t="s">
        <v>1099</v>
      </c>
      <c r="J118" s="699"/>
      <c r="K118" s="683">
        <v>0.5</v>
      </c>
      <c r="L118" s="610"/>
      <c r="M118" s="700" t="str">
        <f>IMAGE("https://raw.githubusercontent.com/msikma/pokesprite/master/items-outline/berry/chilan.png",1)</f>
        <v/>
      </c>
      <c r="N118" s="701" t="s">
        <v>1099</v>
      </c>
      <c r="O118" s="699"/>
      <c r="P118" s="683">
        <v>0.5</v>
      </c>
      <c r="Q118" s="610"/>
      <c r="R118" s="700" t="str">
        <f>IMAGE("https://raw.githubusercontent.com/msikma/pokesprite/master/items-outline/berry/chilan.png",1)</f>
        <v/>
      </c>
      <c r="S118" s="701" t="s">
        <v>1099</v>
      </c>
      <c r="T118" s="699"/>
      <c r="U118" s="683">
        <v>0.5</v>
      </c>
      <c r="V118" s="610"/>
      <c r="W118" s="700" t="str">
        <f>IMAGE("https://raw.githubusercontent.com/msikma/pokesprite/master/items-outline/berry/chilan.png",1)</f>
        <v/>
      </c>
      <c r="X118" s="701" t="s">
        <v>1099</v>
      </c>
      <c r="Y118" s="699"/>
      <c r="Z118" s="683">
        <v>0.5</v>
      </c>
      <c r="AA118" s="572"/>
      <c r="AB118" s="560"/>
    </row>
    <row r="119" ht="24.0" customHeight="1">
      <c r="A119" s="556"/>
      <c r="B119" s="577"/>
      <c r="C119" s="649" t="str">
        <f>IMAGE("https://raw.githubusercontent.com/msikma/pokesprite/master/items-outline/valuable-item/nugget.png",1)</f>
        <v/>
      </c>
      <c r="D119" s="650" t="s">
        <v>1084</v>
      </c>
      <c r="E119" s="613"/>
      <c r="F119" s="627">
        <v>0.3</v>
      </c>
      <c r="G119" s="609"/>
      <c r="H119" s="649" t="str">
        <f>IMAGE("https://raw.githubusercontent.com/msikma/pokesprite/master/items-outline/valuable-item/nugget.png",1)</f>
        <v/>
      </c>
      <c r="I119" s="650" t="s">
        <v>1084</v>
      </c>
      <c r="J119" s="613"/>
      <c r="K119" s="627">
        <v>0.3</v>
      </c>
      <c r="L119" s="610"/>
      <c r="M119" s="649" t="str">
        <f>IMAGE("https://raw.githubusercontent.com/msikma/pokesprite/master/items-outline/valuable-item/nugget.png",1)</f>
        <v/>
      </c>
      <c r="N119" s="650" t="s">
        <v>1084</v>
      </c>
      <c r="O119" s="613"/>
      <c r="P119" s="627">
        <v>0.3</v>
      </c>
      <c r="Q119" s="610"/>
      <c r="R119" s="649" t="str">
        <f>IMAGE("https://raw.githubusercontent.com/msikma/pokesprite/master/items-outline/valuable-item/nugget.png",1)</f>
        <v/>
      </c>
      <c r="S119" s="650" t="s">
        <v>1084</v>
      </c>
      <c r="T119" s="613"/>
      <c r="U119" s="627">
        <v>0.3</v>
      </c>
      <c r="V119" s="610"/>
      <c r="W119" s="649" t="str">
        <f>IMAGE("https://raw.githubusercontent.com/msikma/pokesprite/master/items-outline/valuable-item/nugget.png",1)</f>
        <v/>
      </c>
      <c r="X119" s="650" t="s">
        <v>1084</v>
      </c>
      <c r="Y119" s="613"/>
      <c r="Z119" s="627">
        <v>0.3</v>
      </c>
      <c r="AA119" s="572"/>
      <c r="AB119" s="560"/>
    </row>
    <row r="120" ht="24.0" customHeight="1">
      <c r="A120" s="556"/>
      <c r="B120" s="577"/>
      <c r="C120" s="651" t="str">
        <f>IMAGE("https://raw.githubusercontent.com/msikma/pokesprite/master/items/berry/sitrus.png",1)</f>
        <v/>
      </c>
      <c r="D120" s="652" t="s">
        <v>1065</v>
      </c>
      <c r="E120" s="617"/>
      <c r="F120" s="628">
        <v>0.3</v>
      </c>
      <c r="G120" s="609"/>
      <c r="H120" s="651" t="str">
        <f>IMAGE("https://raw.githubusercontent.com/msikma/pokesprite/master/items/berry/sitrus.png",1)</f>
        <v/>
      </c>
      <c r="I120" s="652" t="s">
        <v>1065</v>
      </c>
      <c r="J120" s="617"/>
      <c r="K120" s="628">
        <v>0.3</v>
      </c>
      <c r="L120" s="610"/>
      <c r="M120" s="651" t="str">
        <f>IMAGE("https://raw.githubusercontent.com/msikma/pokesprite/master/items/berry/sitrus.png",1)</f>
        <v/>
      </c>
      <c r="N120" s="652" t="s">
        <v>1065</v>
      </c>
      <c r="O120" s="617"/>
      <c r="P120" s="628">
        <v>0.3</v>
      </c>
      <c r="Q120" s="610"/>
      <c r="R120" s="651" t="str">
        <f>IMAGE("https://raw.githubusercontent.com/msikma/pokesprite/master/items/berry/sitrus.png",1)</f>
        <v/>
      </c>
      <c r="S120" s="652" t="s">
        <v>1065</v>
      </c>
      <c r="T120" s="617"/>
      <c r="U120" s="628">
        <v>0.3</v>
      </c>
      <c r="V120" s="610"/>
      <c r="W120" s="651" t="str">
        <f>IMAGE("https://raw.githubusercontent.com/msikma/pokesprite/master/items/berry/sitrus.png",1)</f>
        <v/>
      </c>
      <c r="X120" s="652" t="s">
        <v>1065</v>
      </c>
      <c r="Y120" s="617"/>
      <c r="Z120" s="628">
        <v>0.3</v>
      </c>
      <c r="AA120" s="572"/>
      <c r="AB120" s="560"/>
    </row>
    <row r="121" ht="24.0" customHeight="1">
      <c r="A121" s="556"/>
      <c r="B121" s="577"/>
      <c r="C121" s="653" t="str">
        <f>IMAGE("https://raw.githubusercontent.com/msikma/pokesprite/master/items-outline/medicine/ability-capsule.png",1)</f>
        <v/>
      </c>
      <c r="D121" s="654" t="s">
        <v>1094</v>
      </c>
      <c r="E121" s="621"/>
      <c r="F121" s="629">
        <v>0.25</v>
      </c>
      <c r="G121" s="609"/>
      <c r="H121" s="653" t="str">
        <f>IMAGE("https://raw.githubusercontent.com/msikma/pokesprite/master/items-outline/medicine/ability-capsule.png",1)</f>
        <v/>
      </c>
      <c r="I121" s="654" t="s">
        <v>1094</v>
      </c>
      <c r="J121" s="621"/>
      <c r="K121" s="629">
        <v>0.25</v>
      </c>
      <c r="L121" s="610"/>
      <c r="M121" s="653" t="str">
        <f>IMAGE("https://raw.githubusercontent.com/msikma/pokesprite/master/items-outline/medicine/ability-capsule.png",1)</f>
        <v/>
      </c>
      <c r="N121" s="654" t="s">
        <v>1094</v>
      </c>
      <c r="O121" s="621"/>
      <c r="P121" s="629">
        <v>0.25</v>
      </c>
      <c r="Q121" s="610"/>
      <c r="R121" s="653" t="str">
        <f>IMAGE("https://raw.githubusercontent.com/msikma/pokesprite/master/items-outline/medicine/ability-capsule.png",1)</f>
        <v/>
      </c>
      <c r="S121" s="654" t="s">
        <v>1094</v>
      </c>
      <c r="T121" s="621"/>
      <c r="U121" s="629">
        <v>0.25</v>
      </c>
      <c r="V121" s="610"/>
      <c r="W121" s="653" t="str">
        <f>IMAGE("https://raw.githubusercontent.com/msikma/pokesprite/master/items-outline/medicine/ability-capsule.png",1)</f>
        <v/>
      </c>
      <c r="X121" s="654" t="s">
        <v>1094</v>
      </c>
      <c r="Y121" s="621"/>
      <c r="Z121" s="629">
        <v>0.25</v>
      </c>
      <c r="AA121" s="572"/>
      <c r="AB121" s="560"/>
    </row>
    <row r="122" ht="24.0" customHeight="1">
      <c r="A122" s="556"/>
      <c r="B122" s="577"/>
      <c r="C122" s="655"/>
      <c r="D122" s="657" t="s">
        <v>1068</v>
      </c>
      <c r="E122" s="625"/>
      <c r="F122" s="631">
        <v>0.25</v>
      </c>
      <c r="G122" s="609"/>
      <c r="H122" s="655"/>
      <c r="I122" s="657" t="s">
        <v>1068</v>
      </c>
      <c r="J122" s="625"/>
      <c r="K122" s="631">
        <v>0.25</v>
      </c>
      <c r="L122" s="610"/>
      <c r="M122" s="655"/>
      <c r="N122" s="657" t="s">
        <v>1068</v>
      </c>
      <c r="O122" s="625"/>
      <c r="P122" s="631">
        <v>0.25</v>
      </c>
      <c r="Q122" s="610"/>
      <c r="R122" s="655"/>
      <c r="S122" s="657" t="s">
        <v>1068</v>
      </c>
      <c r="T122" s="625"/>
      <c r="U122" s="631">
        <v>0.25</v>
      </c>
      <c r="V122" s="610"/>
      <c r="W122" s="655"/>
      <c r="X122" s="657" t="s">
        <v>1068</v>
      </c>
      <c r="Y122" s="625"/>
      <c r="Z122" s="631">
        <v>0.25</v>
      </c>
      <c r="AA122" s="572"/>
      <c r="AB122" s="560"/>
    </row>
    <row r="123" ht="24.0" customHeight="1">
      <c r="A123" s="556"/>
      <c r="B123" s="577"/>
      <c r="C123" s="658" t="str">
        <f>IMAGE("https://raw.githubusercontent.com/msikma/pokesprite/master/items-outline/medicine/zinc.png",1)</f>
        <v/>
      </c>
      <c r="D123" s="659" t="s">
        <v>1100</v>
      </c>
      <c r="E123" s="634"/>
      <c r="F123" s="635">
        <v>0.05</v>
      </c>
      <c r="G123" s="636"/>
      <c r="H123" s="658" t="str">
        <f>IMAGE("https://raw.githubusercontent.com/msikma/pokesprite/master/items-outline/medicine/zinc.png",1)</f>
        <v/>
      </c>
      <c r="I123" s="659" t="s">
        <v>1100</v>
      </c>
      <c r="J123" s="634"/>
      <c r="K123" s="635">
        <v>0.05</v>
      </c>
      <c r="L123" s="610"/>
      <c r="M123" s="658" t="str">
        <f>IMAGE("https://raw.githubusercontent.com/msikma/pokesprite/master/items-outline/medicine/zinc.png",1)</f>
        <v/>
      </c>
      <c r="N123" s="659" t="s">
        <v>1100</v>
      </c>
      <c r="O123" s="634"/>
      <c r="P123" s="635">
        <v>0.05</v>
      </c>
      <c r="Q123" s="610"/>
      <c r="R123" s="658" t="str">
        <f>IMAGE("https://raw.githubusercontent.com/msikma/pokesprite/master/items-outline/medicine/zinc.png",1)</f>
        <v/>
      </c>
      <c r="S123" s="659" t="s">
        <v>1100</v>
      </c>
      <c r="T123" s="634"/>
      <c r="U123" s="635">
        <v>0.05</v>
      </c>
      <c r="V123" s="610"/>
      <c r="W123" s="658" t="str">
        <f>IMAGE("https://raw.githubusercontent.com/msikma/pokesprite/master/items-outline/medicine/zinc.png",1)</f>
        <v/>
      </c>
      <c r="X123" s="659" t="s">
        <v>1100</v>
      </c>
      <c r="Y123" s="634"/>
      <c r="Z123" s="635">
        <v>0.05</v>
      </c>
      <c r="AA123" s="572"/>
      <c r="AB123" s="560"/>
    </row>
    <row r="124" ht="24.0" customHeight="1">
      <c r="A124" s="556"/>
      <c r="B124" s="577"/>
      <c r="C124" s="660" t="str">
        <f>IMAGE("https://raw.githubusercontent.com/msikma/pokesprite/master/items-outline/other-item/ability-patch.png",1)</f>
        <v/>
      </c>
      <c r="D124" s="661" t="s">
        <v>1101</v>
      </c>
      <c r="E124" s="639"/>
      <c r="F124" s="640">
        <v>0.04</v>
      </c>
      <c r="G124" s="636"/>
      <c r="H124" s="660" t="str">
        <f>IMAGE("https://raw.githubusercontent.com/msikma/pokesprite/master/items-outline/other-item/ability-patch.png",1)</f>
        <v/>
      </c>
      <c r="I124" s="661" t="s">
        <v>1101</v>
      </c>
      <c r="J124" s="639"/>
      <c r="K124" s="640">
        <v>0.04</v>
      </c>
      <c r="L124" s="610"/>
      <c r="M124" s="660" t="str">
        <f>IMAGE("https://raw.githubusercontent.com/msikma/pokesprite/master/items-outline/other-item/ability-patch.png",1)</f>
        <v/>
      </c>
      <c r="N124" s="661" t="s">
        <v>1101</v>
      </c>
      <c r="O124" s="639"/>
      <c r="P124" s="640">
        <v>0.04</v>
      </c>
      <c r="Q124" s="610"/>
      <c r="R124" s="660" t="str">
        <f>IMAGE("https://raw.githubusercontent.com/msikma/pokesprite/master/items-outline/other-item/ability-patch.png",1)</f>
        <v/>
      </c>
      <c r="S124" s="661" t="s">
        <v>1101</v>
      </c>
      <c r="T124" s="639"/>
      <c r="U124" s="640">
        <v>0.04</v>
      </c>
      <c r="V124" s="610"/>
      <c r="W124" s="660" t="str">
        <f>IMAGE("https://raw.githubusercontent.com/msikma/pokesprite/master/items-outline/other-item/ability-patch.png",1)</f>
        <v/>
      </c>
      <c r="X124" s="661" t="s">
        <v>1101</v>
      </c>
      <c r="Y124" s="639"/>
      <c r="Z124" s="640">
        <v>0.04</v>
      </c>
      <c r="AA124" s="572"/>
      <c r="AB124" s="560"/>
    </row>
    <row r="125" ht="24.75" customHeight="1">
      <c r="A125" s="556"/>
      <c r="B125" s="577"/>
      <c r="C125" s="662" t="str">
        <f>IMAGE("https://raw.githubusercontent.com/msikma/pokesprite/master/items-outline/hold-item/lucky-egg.png",1)</f>
        <v/>
      </c>
      <c r="D125" s="663" t="s">
        <v>1071</v>
      </c>
      <c r="E125" s="643"/>
      <c r="F125" s="644">
        <v>0.01</v>
      </c>
      <c r="G125" s="645"/>
      <c r="H125" s="662" t="str">
        <f>IMAGE("https://raw.githubusercontent.com/msikma/pokesprite/master/items-outline/hold-item/lucky-egg.png",1)</f>
        <v/>
      </c>
      <c r="I125" s="663" t="s">
        <v>1071</v>
      </c>
      <c r="J125" s="643"/>
      <c r="K125" s="644">
        <v>0.01</v>
      </c>
      <c r="L125" s="646"/>
      <c r="M125" s="662" t="str">
        <f>IMAGE("https://raw.githubusercontent.com/msikma/pokesprite/master/items-outline/hold-item/lucky-egg.png",1)</f>
        <v/>
      </c>
      <c r="N125" s="663" t="s">
        <v>1071</v>
      </c>
      <c r="O125" s="643"/>
      <c r="P125" s="644">
        <v>0.01</v>
      </c>
      <c r="Q125" s="646"/>
      <c r="R125" s="662" t="str">
        <f>IMAGE("https://raw.githubusercontent.com/msikma/pokesprite/master/items-outline/hold-item/lucky-egg.png",1)</f>
        <v/>
      </c>
      <c r="S125" s="663" t="s">
        <v>1071</v>
      </c>
      <c r="T125" s="643"/>
      <c r="U125" s="644">
        <v>0.01</v>
      </c>
      <c r="V125" s="646"/>
      <c r="W125" s="662" t="str">
        <f>IMAGE("https://raw.githubusercontent.com/msikma/pokesprite/master/items-outline/hold-item/lucky-egg.png",1)</f>
        <v/>
      </c>
      <c r="X125" s="663" t="s">
        <v>1071</v>
      </c>
      <c r="Y125" s="643"/>
      <c r="Z125" s="644">
        <v>0.01</v>
      </c>
      <c r="AA125" s="572"/>
      <c r="AB125" s="560"/>
    </row>
    <row r="126" ht="60.0" customHeight="1">
      <c r="A126" s="556"/>
      <c r="B126" s="577"/>
      <c r="C126" s="680" t="s">
        <v>1102</v>
      </c>
      <c r="Z126" s="588"/>
      <c r="AA126" s="648"/>
      <c r="AB126" s="560"/>
    </row>
    <row r="127" ht="37.5" customHeight="1">
      <c r="A127" s="556"/>
      <c r="B127" s="577"/>
      <c r="C127" s="590" t="s">
        <v>579</v>
      </c>
      <c r="D127" s="168"/>
      <c r="E127" s="591"/>
      <c r="F127" s="592" t="str">
        <f t="array" ref="F127">IFERROR(VLOOKUP(C127,Dex!$B$3:$N689,2,FALSE),"")</f>
        <v/>
      </c>
      <c r="G127" s="593"/>
      <c r="H127" s="590" t="s">
        <v>691</v>
      </c>
      <c r="I127" s="168"/>
      <c r="J127" s="591"/>
      <c r="K127" s="592" t="str">
        <f t="array" ref="K127">IFERROR(VLOOKUP(H127,Dex!$B$3:$N689,2,FALSE),"")</f>
        <v/>
      </c>
      <c r="L127" s="594"/>
      <c r="M127" s="590" t="s">
        <v>233</v>
      </c>
      <c r="N127" s="168"/>
      <c r="O127" s="591"/>
      <c r="P127" s="592" t="str">
        <f t="array" ref="P127">IFERROR(VLOOKUP(M127,Dex!$B$3:$N689,2,FALSE),"")</f>
        <v/>
      </c>
      <c r="Q127" s="594"/>
      <c r="R127" s="590" t="s">
        <v>631</v>
      </c>
      <c r="S127" s="168"/>
      <c r="T127" s="591"/>
      <c r="U127" s="592" t="str">
        <f t="array" ref="U127">IFERROR(VLOOKUP(R127,Dex!$B$3:$N689,2,FALSE),"")</f>
        <v/>
      </c>
      <c r="V127" s="594"/>
      <c r="W127" s="590" t="s">
        <v>190</v>
      </c>
      <c r="X127" s="168"/>
      <c r="Y127" s="591"/>
      <c r="Z127" s="592" t="str">
        <f t="array" ref="Z127">IFERROR(VLOOKUP(W127,Dex!$B$3:$N689,2,FALSE),"")</f>
        <v/>
      </c>
      <c r="AA127" s="572"/>
      <c r="AB127" s="560"/>
    </row>
    <row r="128">
      <c r="A128" s="595"/>
      <c r="B128" s="596"/>
      <c r="C128" s="597" t="s">
        <v>1056</v>
      </c>
      <c r="D128" s="598"/>
      <c r="E128" s="599"/>
      <c r="F128" s="600" t="s">
        <v>1057</v>
      </c>
      <c r="G128" s="601"/>
      <c r="H128" s="597" t="s">
        <v>1056</v>
      </c>
      <c r="I128" s="598"/>
      <c r="J128" s="599"/>
      <c r="K128" s="600" t="s">
        <v>1057</v>
      </c>
      <c r="L128" s="602"/>
      <c r="M128" s="597" t="s">
        <v>1056</v>
      </c>
      <c r="N128" s="598"/>
      <c r="O128" s="599"/>
      <c r="P128" s="600" t="s">
        <v>1057</v>
      </c>
      <c r="Q128" s="602"/>
      <c r="R128" s="597" t="s">
        <v>1056</v>
      </c>
      <c r="S128" s="598"/>
      <c r="T128" s="599"/>
      <c r="U128" s="600" t="s">
        <v>1057</v>
      </c>
      <c r="V128" s="602"/>
      <c r="W128" s="597" t="s">
        <v>1056</v>
      </c>
      <c r="X128" s="598"/>
      <c r="Y128" s="599"/>
      <c r="Z128" s="600" t="s">
        <v>1057</v>
      </c>
      <c r="AA128" s="603"/>
      <c r="AB128" s="604"/>
    </row>
    <row r="129" ht="24.0" customHeight="1">
      <c r="A129" s="556"/>
      <c r="B129" s="577"/>
      <c r="C129" s="605" t="str">
        <f>IMAGE("https://raw.githubusercontent.com/msikma/pokesprite/master/items-outline/ball/quick.png",1)</f>
        <v/>
      </c>
      <c r="D129" s="606" t="s">
        <v>1088</v>
      </c>
      <c r="E129" s="607"/>
      <c r="F129" s="608">
        <v>1.0</v>
      </c>
      <c r="G129" s="609"/>
      <c r="H129" s="605" t="str">
        <f>IMAGE("https://raw.githubusercontent.com/msikma/pokesprite/master/items-outline/ball/quick.png",1)</f>
        <v/>
      </c>
      <c r="I129" s="606" t="s">
        <v>1088</v>
      </c>
      <c r="J129" s="607"/>
      <c r="K129" s="608">
        <v>1.0</v>
      </c>
      <c r="L129" s="610"/>
      <c r="M129" s="605" t="str">
        <f>IMAGE("https://raw.githubusercontent.com/msikma/pokesprite/master/items-outline/ball/quick.png",1)</f>
        <v/>
      </c>
      <c r="N129" s="606" t="s">
        <v>1088</v>
      </c>
      <c r="O129" s="607"/>
      <c r="P129" s="608">
        <v>1.0</v>
      </c>
      <c r="Q129" s="610"/>
      <c r="R129" s="605" t="str">
        <f>IMAGE("https://raw.githubusercontent.com/msikma/pokesprite/master/items-outline/ball/quick.png",1)</f>
        <v/>
      </c>
      <c r="S129" s="606" t="s">
        <v>1088</v>
      </c>
      <c r="T129" s="607"/>
      <c r="U129" s="608">
        <v>1.0</v>
      </c>
      <c r="V129" s="610"/>
      <c r="W129" s="605" t="str">
        <f>IMAGE("https://raw.githubusercontent.com/msikma/pokesprite/master/items-outline/ball/quick.png",1)</f>
        <v/>
      </c>
      <c r="X129" s="606" t="s">
        <v>1088</v>
      </c>
      <c r="Y129" s="607"/>
      <c r="Z129" s="608">
        <v>1.0</v>
      </c>
      <c r="AA129" s="572"/>
      <c r="AB129" s="560"/>
    </row>
    <row r="130" ht="24.0" customHeight="1">
      <c r="A130" s="556"/>
      <c r="B130" s="577"/>
      <c r="C130" s="611" t="str">
        <f>IMAGE("https://raw.githubusercontent.com/msikma/pokesprite/master/items-outline/berry/chilan.png",1)</f>
        <v/>
      </c>
      <c r="D130" s="612" t="s">
        <v>1099</v>
      </c>
      <c r="E130" s="613"/>
      <c r="F130" s="614">
        <v>0.8</v>
      </c>
      <c r="G130" s="609"/>
      <c r="H130" s="611" t="str">
        <f>IMAGE("https://raw.githubusercontent.com/msikma/pokesprite/master/items-outline/berry/chilan.png",1)</f>
        <v/>
      </c>
      <c r="I130" s="612" t="s">
        <v>1099</v>
      </c>
      <c r="J130" s="613"/>
      <c r="K130" s="614">
        <v>0.8</v>
      </c>
      <c r="L130" s="610"/>
      <c r="M130" s="611" t="str">
        <f>IMAGE("https://raw.githubusercontent.com/msikma/pokesprite/master/items-outline/berry/chilan.png",1)</f>
        <v/>
      </c>
      <c r="N130" s="612" t="s">
        <v>1099</v>
      </c>
      <c r="O130" s="613"/>
      <c r="P130" s="614">
        <v>0.8</v>
      </c>
      <c r="Q130" s="610"/>
      <c r="R130" s="611" t="str">
        <f>IMAGE("https://raw.githubusercontent.com/msikma/pokesprite/master/items-outline/berry/chilan.png",1)</f>
        <v/>
      </c>
      <c r="S130" s="612" t="s">
        <v>1099</v>
      </c>
      <c r="T130" s="613"/>
      <c r="U130" s="614">
        <v>0.8</v>
      </c>
      <c r="V130" s="610"/>
      <c r="W130" s="611" t="str">
        <f>IMAGE("https://raw.githubusercontent.com/msikma/pokesprite/master/items-outline/berry/chilan.png",1)</f>
        <v/>
      </c>
      <c r="X130" s="612" t="s">
        <v>1099</v>
      </c>
      <c r="Y130" s="613"/>
      <c r="Z130" s="614">
        <v>0.8</v>
      </c>
      <c r="AA130" s="572"/>
      <c r="AB130" s="560"/>
    </row>
    <row r="131" ht="24.0" customHeight="1">
      <c r="A131" s="556"/>
      <c r="B131" s="577"/>
      <c r="C131" s="615" t="str">
        <f>IMAGE("https://raw.githubusercontent.com/msikma/pokesprite/master/items-outline/medicine/clever-wing.png",1)</f>
        <v/>
      </c>
      <c r="D131" s="616" t="s">
        <v>1098</v>
      </c>
      <c r="E131" s="617"/>
      <c r="F131" s="618">
        <v>0.8</v>
      </c>
      <c r="G131" s="609"/>
      <c r="H131" s="615" t="str">
        <f>IMAGE("https://raw.githubusercontent.com/msikma/pokesprite/master/items-outline/medicine/clever-wing.png",1)</f>
        <v/>
      </c>
      <c r="I131" s="616" t="s">
        <v>1098</v>
      </c>
      <c r="J131" s="617"/>
      <c r="K131" s="618">
        <v>0.8</v>
      </c>
      <c r="L131" s="610"/>
      <c r="M131" s="615" t="str">
        <f>IMAGE("https://raw.githubusercontent.com/msikma/pokesprite/master/items-outline/medicine/clever-wing.png",1)</f>
        <v/>
      </c>
      <c r="N131" s="616" t="s">
        <v>1098</v>
      </c>
      <c r="O131" s="617"/>
      <c r="P131" s="618">
        <v>0.8</v>
      </c>
      <c r="Q131" s="610"/>
      <c r="R131" s="615" t="str">
        <f>IMAGE("https://raw.githubusercontent.com/msikma/pokesprite/master/items-outline/medicine/clever-wing.png",1)</f>
        <v/>
      </c>
      <c r="S131" s="616" t="s">
        <v>1098</v>
      </c>
      <c r="T131" s="617"/>
      <c r="U131" s="618">
        <v>0.8</v>
      </c>
      <c r="V131" s="610"/>
      <c r="W131" s="615" t="str">
        <f>IMAGE("https://raw.githubusercontent.com/msikma/pokesprite/master/items-outline/medicine/clever-wing.png",1)</f>
        <v/>
      </c>
      <c r="X131" s="616" t="s">
        <v>1098</v>
      </c>
      <c r="Y131" s="617"/>
      <c r="Z131" s="618">
        <v>0.8</v>
      </c>
      <c r="AA131" s="572"/>
      <c r="AB131" s="560"/>
    </row>
    <row r="132" ht="24.0" customHeight="1">
      <c r="A132" s="556"/>
      <c r="B132" s="577"/>
      <c r="C132" s="619"/>
      <c r="D132" s="620" t="s">
        <v>1068</v>
      </c>
      <c r="E132" s="621"/>
      <c r="F132" s="622">
        <v>0.5</v>
      </c>
      <c r="G132" s="609"/>
      <c r="H132" s="619"/>
      <c r="I132" s="620" t="s">
        <v>1068</v>
      </c>
      <c r="J132" s="621"/>
      <c r="K132" s="622">
        <v>0.5</v>
      </c>
      <c r="L132" s="610"/>
      <c r="M132" s="619"/>
      <c r="N132" s="620" t="s">
        <v>1068</v>
      </c>
      <c r="O132" s="621"/>
      <c r="P132" s="622">
        <v>0.5</v>
      </c>
      <c r="Q132" s="610"/>
      <c r="R132" s="619"/>
      <c r="S132" s="620" t="s">
        <v>1068</v>
      </c>
      <c r="T132" s="621"/>
      <c r="U132" s="622">
        <v>0.5</v>
      </c>
      <c r="V132" s="610"/>
      <c r="W132" s="619"/>
      <c r="X132" s="620" t="s">
        <v>1068</v>
      </c>
      <c r="Y132" s="621"/>
      <c r="Z132" s="622">
        <v>0.5</v>
      </c>
      <c r="AA132" s="572"/>
      <c r="AB132" s="560"/>
    </row>
    <row r="133" ht="24.0" customHeight="1">
      <c r="A133" s="556"/>
      <c r="B133" s="577"/>
      <c r="C133" s="623" t="str">
        <f>IMAGE("https://raw.githubusercontent.com/msikma/pokesprite/master/items-outline/berry/roseli.png",1)</f>
        <v/>
      </c>
      <c r="D133" s="624" t="s">
        <v>1103</v>
      </c>
      <c r="E133" s="625"/>
      <c r="F133" s="626">
        <v>0.5</v>
      </c>
      <c r="G133" s="609"/>
      <c r="H133" s="623" t="str">
        <f>IMAGE("https://raw.githubusercontent.com/msikma/pokesprite/master/items-outline/berry/roseli.png",1)</f>
        <v/>
      </c>
      <c r="I133" s="624" t="s">
        <v>1103</v>
      </c>
      <c r="J133" s="625"/>
      <c r="K133" s="626">
        <v>0.5</v>
      </c>
      <c r="L133" s="610"/>
      <c r="M133" s="623" t="str">
        <f>IMAGE("https://raw.githubusercontent.com/msikma/pokesprite/master/items-outline/berry/roseli.png",1)</f>
        <v/>
      </c>
      <c r="N133" s="624" t="s">
        <v>1103</v>
      </c>
      <c r="O133" s="625"/>
      <c r="P133" s="626">
        <v>0.5</v>
      </c>
      <c r="Q133" s="610"/>
      <c r="R133" s="623" t="str">
        <f>IMAGE("https://raw.githubusercontent.com/msikma/pokesprite/master/items-outline/berry/roseli.png",1)</f>
        <v/>
      </c>
      <c r="S133" s="624" t="s">
        <v>1103</v>
      </c>
      <c r="T133" s="625"/>
      <c r="U133" s="626">
        <v>0.5</v>
      </c>
      <c r="V133" s="610"/>
      <c r="W133" s="623" t="str">
        <f>IMAGE("https://raw.githubusercontent.com/msikma/pokesprite/master/items-outline/berry/roseli.png",1)</f>
        <v/>
      </c>
      <c r="X133" s="624" t="s">
        <v>1103</v>
      </c>
      <c r="Y133" s="625"/>
      <c r="Z133" s="626">
        <v>0.5</v>
      </c>
      <c r="AA133" s="572"/>
      <c r="AB133" s="560"/>
    </row>
    <row r="134" ht="24.0" customHeight="1">
      <c r="A134" s="556"/>
      <c r="B134" s="577"/>
      <c r="C134" s="611" t="str">
        <f>IMAGE("https://raw.githubusercontent.com/msikma/pokesprite/master/items-outline/valuable-item/nugget.png",1)</f>
        <v/>
      </c>
      <c r="D134" s="612" t="s">
        <v>1084</v>
      </c>
      <c r="E134" s="613"/>
      <c r="F134" s="627">
        <v>0.3</v>
      </c>
      <c r="G134" s="609"/>
      <c r="H134" s="611" t="str">
        <f>IMAGE("https://raw.githubusercontent.com/msikma/pokesprite/master/items-outline/valuable-item/nugget.png",1)</f>
        <v/>
      </c>
      <c r="I134" s="612" t="s">
        <v>1084</v>
      </c>
      <c r="J134" s="613"/>
      <c r="K134" s="627">
        <v>0.3</v>
      </c>
      <c r="L134" s="610"/>
      <c r="M134" s="611" t="str">
        <f>IMAGE("https://raw.githubusercontent.com/msikma/pokesprite/master/items-outline/valuable-item/nugget.png",1)</f>
        <v/>
      </c>
      <c r="N134" s="612" t="s">
        <v>1084</v>
      </c>
      <c r="O134" s="613"/>
      <c r="P134" s="627">
        <v>0.3</v>
      </c>
      <c r="Q134" s="610"/>
      <c r="R134" s="611" t="str">
        <f>IMAGE("https://raw.githubusercontent.com/msikma/pokesprite/master/items-outline/valuable-item/nugget.png",1)</f>
        <v/>
      </c>
      <c r="S134" s="612" t="s">
        <v>1084</v>
      </c>
      <c r="T134" s="613"/>
      <c r="U134" s="627">
        <v>0.3</v>
      </c>
      <c r="V134" s="610"/>
      <c r="W134" s="611" t="str">
        <f>IMAGE("https://raw.githubusercontent.com/msikma/pokesprite/master/items-outline/valuable-item/nugget.png",1)</f>
        <v/>
      </c>
      <c r="X134" s="612" t="s">
        <v>1084</v>
      </c>
      <c r="Y134" s="613"/>
      <c r="Z134" s="627">
        <v>0.3</v>
      </c>
      <c r="AA134" s="572"/>
      <c r="AB134" s="560"/>
    </row>
    <row r="135" ht="24.0" customHeight="1">
      <c r="A135" s="556"/>
      <c r="B135" s="577"/>
      <c r="C135" s="615" t="str">
        <f>IMAGE("https://raw.githubusercontent.com/msikma/pokesprite/master/items-outline/medicine/ability-capsule.png",1)</f>
        <v/>
      </c>
      <c r="D135" s="616" t="s">
        <v>1094</v>
      </c>
      <c r="E135" s="617"/>
      <c r="F135" s="628">
        <v>0.3</v>
      </c>
      <c r="G135" s="609"/>
      <c r="H135" s="615" t="str">
        <f>IMAGE("https://raw.githubusercontent.com/msikma/pokesprite/master/items-outline/medicine/ability-capsule.png",1)</f>
        <v/>
      </c>
      <c r="I135" s="616" t="s">
        <v>1094</v>
      </c>
      <c r="J135" s="617"/>
      <c r="K135" s="628">
        <v>0.3</v>
      </c>
      <c r="L135" s="610"/>
      <c r="M135" s="615" t="str">
        <f>IMAGE("https://raw.githubusercontent.com/msikma/pokesprite/master/items-outline/medicine/ability-capsule.png",1)</f>
        <v/>
      </c>
      <c r="N135" s="616" t="s">
        <v>1094</v>
      </c>
      <c r="O135" s="617"/>
      <c r="P135" s="628">
        <v>0.3</v>
      </c>
      <c r="Q135" s="610"/>
      <c r="R135" s="615" t="str">
        <f>IMAGE("https://raw.githubusercontent.com/msikma/pokesprite/master/items-outline/medicine/ability-capsule.png",1)</f>
        <v/>
      </c>
      <c r="S135" s="616" t="s">
        <v>1094</v>
      </c>
      <c r="T135" s="617"/>
      <c r="U135" s="628">
        <v>0.3</v>
      </c>
      <c r="V135" s="610"/>
      <c r="W135" s="615" t="str">
        <f>IMAGE("https://raw.githubusercontent.com/msikma/pokesprite/master/items-outline/medicine/ability-capsule.png",1)</f>
        <v/>
      </c>
      <c r="X135" s="616" t="s">
        <v>1094</v>
      </c>
      <c r="Y135" s="617"/>
      <c r="Z135" s="628">
        <v>0.3</v>
      </c>
      <c r="AA135" s="572"/>
      <c r="AB135" s="560"/>
    </row>
    <row r="136" ht="24.0" customHeight="1">
      <c r="A136" s="556"/>
      <c r="B136" s="577"/>
      <c r="C136" s="619" t="str">
        <f>IMAGE("https://raw.githubusercontent.com/msikma/pokesprite/master/items-outline/berry/leppa.png",1)</f>
        <v/>
      </c>
      <c r="D136" s="620" t="s">
        <v>1067</v>
      </c>
      <c r="E136" s="621"/>
      <c r="F136" s="629">
        <v>0.25</v>
      </c>
      <c r="G136" s="609"/>
      <c r="H136" s="619" t="str">
        <f>IMAGE("https://raw.githubusercontent.com/msikma/pokesprite/master/items-outline/berry/leppa.png",1)</f>
        <v/>
      </c>
      <c r="I136" s="620" t="s">
        <v>1067</v>
      </c>
      <c r="J136" s="621"/>
      <c r="K136" s="629">
        <v>0.25</v>
      </c>
      <c r="L136" s="610"/>
      <c r="M136" s="619" t="str">
        <f>IMAGE("https://raw.githubusercontent.com/msikma/pokesprite/master/items-outline/berry/leppa.png",1)</f>
        <v/>
      </c>
      <c r="N136" s="620" t="s">
        <v>1067</v>
      </c>
      <c r="O136" s="621"/>
      <c r="P136" s="629">
        <v>0.25</v>
      </c>
      <c r="Q136" s="610"/>
      <c r="R136" s="619" t="str">
        <f>IMAGE("https://raw.githubusercontent.com/msikma/pokesprite/master/items-outline/berry/leppa.png",1)</f>
        <v/>
      </c>
      <c r="S136" s="620" t="s">
        <v>1067</v>
      </c>
      <c r="T136" s="621"/>
      <c r="U136" s="629">
        <v>0.25</v>
      </c>
      <c r="V136" s="610"/>
      <c r="W136" s="619" t="str">
        <f>IMAGE("https://raw.githubusercontent.com/msikma/pokesprite/master/items-outline/berry/leppa.png",1)</f>
        <v/>
      </c>
      <c r="X136" s="620" t="s">
        <v>1067</v>
      </c>
      <c r="Y136" s="621"/>
      <c r="Z136" s="629">
        <v>0.25</v>
      </c>
      <c r="AA136" s="572"/>
      <c r="AB136" s="560"/>
    </row>
    <row r="137" ht="24.0" customHeight="1">
      <c r="A137" s="556"/>
      <c r="B137" s="577"/>
      <c r="C137" s="623"/>
      <c r="D137" s="630" t="s">
        <v>1068</v>
      </c>
      <c r="E137" s="625"/>
      <c r="F137" s="631">
        <v>0.25</v>
      </c>
      <c r="G137" s="609"/>
      <c r="H137" s="623"/>
      <c r="I137" s="630" t="s">
        <v>1068</v>
      </c>
      <c r="J137" s="625"/>
      <c r="K137" s="631">
        <v>0.25</v>
      </c>
      <c r="L137" s="610"/>
      <c r="M137" s="623"/>
      <c r="N137" s="630" t="s">
        <v>1068</v>
      </c>
      <c r="O137" s="625"/>
      <c r="P137" s="631">
        <v>0.25</v>
      </c>
      <c r="Q137" s="610"/>
      <c r="R137" s="623"/>
      <c r="S137" s="630" t="s">
        <v>1068</v>
      </c>
      <c r="T137" s="625"/>
      <c r="U137" s="631">
        <v>0.25</v>
      </c>
      <c r="V137" s="610"/>
      <c r="W137" s="623"/>
      <c r="X137" s="630" t="s">
        <v>1068</v>
      </c>
      <c r="Y137" s="625"/>
      <c r="Z137" s="631">
        <v>0.25</v>
      </c>
      <c r="AA137" s="572"/>
      <c r="AB137" s="560"/>
    </row>
    <row r="138" ht="24.0" customHeight="1">
      <c r="A138" s="556"/>
      <c r="B138" s="577"/>
      <c r="C138" s="632" t="str">
        <f>IMAGE("https://raw.githubusercontent.com/msikma/pokesprite/master/items-outline/medicine/calcium.png",1)</f>
        <v/>
      </c>
      <c r="D138" s="633" t="s">
        <v>1075</v>
      </c>
      <c r="E138" s="634"/>
      <c r="F138" s="635">
        <v>0.05</v>
      </c>
      <c r="G138" s="636"/>
      <c r="H138" s="632" t="str">
        <f>IMAGE("https://raw.githubusercontent.com/msikma/pokesprite/master/items-outline/medicine/calcium.png",1)</f>
        <v/>
      </c>
      <c r="I138" s="633" t="s">
        <v>1075</v>
      </c>
      <c r="J138" s="634"/>
      <c r="K138" s="635">
        <v>0.05</v>
      </c>
      <c r="L138" s="610"/>
      <c r="M138" s="632" t="str">
        <f>IMAGE("https://raw.githubusercontent.com/msikma/pokesprite/master/items-outline/medicine/calcium.png",1)</f>
        <v/>
      </c>
      <c r="N138" s="633" t="s">
        <v>1075</v>
      </c>
      <c r="O138" s="634"/>
      <c r="P138" s="635">
        <v>0.05</v>
      </c>
      <c r="Q138" s="610"/>
      <c r="R138" s="632" t="str">
        <f>IMAGE("https://raw.githubusercontent.com/msikma/pokesprite/master/items-outline/medicine/calcium.png",1)</f>
        <v/>
      </c>
      <c r="S138" s="633" t="s">
        <v>1075</v>
      </c>
      <c r="T138" s="634"/>
      <c r="U138" s="635">
        <v>0.05</v>
      </c>
      <c r="V138" s="610"/>
      <c r="W138" s="632" t="str">
        <f>IMAGE("https://raw.githubusercontent.com/msikma/pokesprite/master/items-outline/medicine/calcium.png",1)</f>
        <v/>
      </c>
      <c r="X138" s="633" t="s">
        <v>1075</v>
      </c>
      <c r="Y138" s="634"/>
      <c r="Z138" s="635">
        <v>0.05</v>
      </c>
      <c r="AA138" s="572"/>
      <c r="AB138" s="560"/>
    </row>
    <row r="139" ht="24.0" customHeight="1">
      <c r="A139" s="556"/>
      <c r="B139" s="577"/>
      <c r="C139" s="637" t="str">
        <f>IMAGE("https://raw.githubusercontent.com/msikma/pokesprite/master/items-outline/other-item/ability-patch.png",1)</f>
        <v/>
      </c>
      <c r="D139" s="638" t="s">
        <v>1101</v>
      </c>
      <c r="E139" s="639"/>
      <c r="F139" s="640">
        <v>0.04</v>
      </c>
      <c r="G139" s="636"/>
      <c r="H139" s="637" t="str">
        <f>IMAGE("https://raw.githubusercontent.com/msikma/pokesprite/master/items-outline/other-item/ability-patch.png",1)</f>
        <v/>
      </c>
      <c r="I139" s="638" t="s">
        <v>1101</v>
      </c>
      <c r="J139" s="639"/>
      <c r="K139" s="640">
        <v>0.04</v>
      </c>
      <c r="L139" s="610"/>
      <c r="M139" s="637" t="str">
        <f>IMAGE("https://raw.githubusercontent.com/msikma/pokesprite/master/items-outline/other-item/ability-patch.png",1)</f>
        <v/>
      </c>
      <c r="N139" s="638" t="s">
        <v>1101</v>
      </c>
      <c r="O139" s="639"/>
      <c r="P139" s="640">
        <v>0.04</v>
      </c>
      <c r="Q139" s="610"/>
      <c r="R139" s="637" t="str">
        <f>IMAGE("https://raw.githubusercontent.com/msikma/pokesprite/master/items-outline/other-item/ability-patch.png",1)</f>
        <v/>
      </c>
      <c r="S139" s="638" t="s">
        <v>1101</v>
      </c>
      <c r="T139" s="639"/>
      <c r="U139" s="640">
        <v>0.04</v>
      </c>
      <c r="V139" s="610"/>
      <c r="W139" s="637" t="str">
        <f>IMAGE("https://raw.githubusercontent.com/msikma/pokesprite/master/items-outline/other-item/ability-patch.png",1)</f>
        <v/>
      </c>
      <c r="X139" s="638" t="s">
        <v>1101</v>
      </c>
      <c r="Y139" s="639"/>
      <c r="Z139" s="640">
        <v>0.04</v>
      </c>
      <c r="AA139" s="572"/>
      <c r="AB139" s="560"/>
    </row>
    <row r="140" ht="24.75" customHeight="1">
      <c r="A140" s="556"/>
      <c r="B140" s="577"/>
      <c r="C140" s="641" t="str">
        <f>IMAGE("https://raw.githubusercontent.com/msikma/pokesprite/master/items-outline/hold-item/lucky-egg.png",1)</f>
        <v/>
      </c>
      <c r="D140" s="642" t="s">
        <v>1071</v>
      </c>
      <c r="E140" s="643"/>
      <c r="F140" s="644">
        <v>0.01</v>
      </c>
      <c r="G140" s="645"/>
      <c r="H140" s="641" t="str">
        <f>IMAGE("https://raw.githubusercontent.com/msikma/pokesprite/master/items-outline/hold-item/lucky-egg.png",1)</f>
        <v/>
      </c>
      <c r="I140" s="642" t="s">
        <v>1071</v>
      </c>
      <c r="J140" s="643"/>
      <c r="K140" s="644">
        <v>0.01</v>
      </c>
      <c r="L140" s="646"/>
      <c r="M140" s="641" t="str">
        <f>IMAGE("https://raw.githubusercontent.com/msikma/pokesprite/master/items-outline/hold-item/lucky-egg.png",1)</f>
        <v/>
      </c>
      <c r="N140" s="642" t="s">
        <v>1071</v>
      </c>
      <c r="O140" s="643"/>
      <c r="P140" s="644">
        <v>0.01</v>
      </c>
      <c r="Q140" s="646"/>
      <c r="R140" s="641" t="str">
        <f>IMAGE("https://raw.githubusercontent.com/msikma/pokesprite/master/items-outline/hold-item/lucky-egg.png",1)</f>
        <v/>
      </c>
      <c r="S140" s="642" t="s">
        <v>1071</v>
      </c>
      <c r="T140" s="643"/>
      <c r="U140" s="644">
        <v>0.01</v>
      </c>
      <c r="V140" s="646"/>
      <c r="W140" s="641" t="str">
        <f>IMAGE("https://raw.githubusercontent.com/msikma/pokesprite/master/items-outline/hold-item/lucky-egg.png",1)</f>
        <v/>
      </c>
      <c r="X140" s="642" t="s">
        <v>1071</v>
      </c>
      <c r="Y140" s="643"/>
      <c r="Z140" s="644">
        <v>0.01</v>
      </c>
      <c r="AA140" s="572"/>
      <c r="AB140" s="560"/>
    </row>
    <row r="141" ht="60.0" customHeight="1">
      <c r="A141" s="556"/>
      <c r="B141" s="577"/>
      <c r="C141" s="680" t="s">
        <v>1104</v>
      </c>
      <c r="Z141" s="588"/>
      <c r="AA141" s="648"/>
      <c r="AB141" s="560"/>
    </row>
    <row r="142" ht="37.5" customHeight="1">
      <c r="A142" s="556"/>
      <c r="B142" s="577"/>
      <c r="C142" s="590" t="s">
        <v>439</v>
      </c>
      <c r="D142" s="168"/>
      <c r="E142" s="591"/>
      <c r="F142" s="592" t="str">
        <f t="array" ref="F142">IFERROR(VLOOKUP(C142,Dex!$B$3:$N689,2,FALSE),"")</f>
        <v/>
      </c>
      <c r="G142" s="593"/>
      <c r="H142" s="590" t="s">
        <v>1105</v>
      </c>
      <c r="I142" s="168"/>
      <c r="J142" s="591"/>
      <c r="K142" s="592" t="str">
        <f t="array" ref="K142">IFERROR(VLOOKUP(H142,Dex!$B$3:$N689,2,FALSE),"")</f>
        <v/>
      </c>
      <c r="L142" s="594"/>
      <c r="M142" s="590" t="s">
        <v>457</v>
      </c>
      <c r="N142" s="168"/>
      <c r="O142" s="591"/>
      <c r="P142" s="592" t="str">
        <f t="array" ref="P142">IFERROR(VLOOKUP(M142,Dex!$B$3:$N689,2,FALSE),"")</f>
        <v/>
      </c>
      <c r="Q142" s="594"/>
      <c r="R142" s="590" t="s">
        <v>631</v>
      </c>
      <c r="S142" s="168"/>
      <c r="T142" s="591"/>
      <c r="U142" s="592" t="str">
        <f t="array" ref="U142">IFERROR(VLOOKUP(R142,Dex!$B$3:$N689,2,FALSE),"")</f>
        <v/>
      </c>
      <c r="V142" s="594"/>
      <c r="W142" s="590" t="s">
        <v>1106</v>
      </c>
      <c r="X142" s="168"/>
      <c r="Y142" s="591"/>
      <c r="Z142" s="592" t="str">
        <f t="array" ref="Z142">IFERROR(VLOOKUP(W142,Dex!$B$3:$N689,2,FALSE),"")</f>
        <v/>
      </c>
      <c r="AA142" s="572"/>
      <c r="AB142" s="560"/>
    </row>
    <row r="143">
      <c r="A143" s="595"/>
      <c r="B143" s="596"/>
      <c r="C143" s="597" t="s">
        <v>1056</v>
      </c>
      <c r="D143" s="598"/>
      <c r="E143" s="599"/>
      <c r="F143" s="600" t="s">
        <v>1057</v>
      </c>
      <c r="G143" s="601"/>
      <c r="H143" s="597" t="s">
        <v>1056</v>
      </c>
      <c r="I143" s="598"/>
      <c r="J143" s="599"/>
      <c r="K143" s="600" t="s">
        <v>1057</v>
      </c>
      <c r="L143" s="602"/>
      <c r="M143" s="597" t="s">
        <v>1056</v>
      </c>
      <c r="N143" s="598"/>
      <c r="O143" s="599"/>
      <c r="P143" s="600" t="s">
        <v>1057</v>
      </c>
      <c r="Q143" s="602"/>
      <c r="R143" s="597" t="s">
        <v>1056</v>
      </c>
      <c r="S143" s="598"/>
      <c r="T143" s="599"/>
      <c r="U143" s="600" t="s">
        <v>1057</v>
      </c>
      <c r="V143" s="602"/>
      <c r="W143" s="597" t="s">
        <v>1056</v>
      </c>
      <c r="X143" s="598"/>
      <c r="Y143" s="599"/>
      <c r="Z143" s="600" t="s">
        <v>1057</v>
      </c>
      <c r="AA143" s="603"/>
      <c r="AB143" s="604"/>
    </row>
    <row r="144" ht="24.0" customHeight="1">
      <c r="A144" s="556"/>
      <c r="B144" s="577"/>
      <c r="C144" s="605" t="str">
        <f>IMAGE("https://raw.githubusercontent.com/msikma/pokesprite/master/items-outline/ball/quick.png",1)</f>
        <v/>
      </c>
      <c r="D144" s="606" t="s">
        <v>1088</v>
      </c>
      <c r="E144" s="607"/>
      <c r="F144" s="608">
        <v>1.0</v>
      </c>
      <c r="G144" s="609"/>
      <c r="H144" s="605" t="str">
        <f>IMAGE("https://raw.githubusercontent.com/msikma/pokesprite/master/items-outline/ball/quick.png",1)</f>
        <v/>
      </c>
      <c r="I144" s="606" t="s">
        <v>1088</v>
      </c>
      <c r="J144" s="607"/>
      <c r="K144" s="608">
        <v>1.0</v>
      </c>
      <c r="L144" s="610"/>
      <c r="M144" s="605" t="str">
        <f>IMAGE("https://raw.githubusercontent.com/msikma/pokesprite/master/items-outline/ball/quick.png",1)</f>
        <v/>
      </c>
      <c r="N144" s="606" t="s">
        <v>1088</v>
      </c>
      <c r="O144" s="607"/>
      <c r="P144" s="608">
        <v>1.0</v>
      </c>
      <c r="Q144" s="610"/>
      <c r="R144" s="605" t="str">
        <f>IMAGE("https://raw.githubusercontent.com/msikma/pokesprite/master/items-outline/ball/quick.png",1)</f>
        <v/>
      </c>
      <c r="S144" s="606" t="s">
        <v>1088</v>
      </c>
      <c r="T144" s="607"/>
      <c r="U144" s="608">
        <v>1.0</v>
      </c>
      <c r="V144" s="610"/>
      <c r="W144" s="605" t="str">
        <f>IMAGE("https://raw.githubusercontent.com/msikma/pokesprite/master/items-outline/ball/quick.png",1)</f>
        <v/>
      </c>
      <c r="X144" s="606" t="s">
        <v>1088</v>
      </c>
      <c r="Y144" s="607"/>
      <c r="Z144" s="608">
        <v>1.0</v>
      </c>
      <c r="AA144" s="572"/>
      <c r="AB144" s="560"/>
    </row>
    <row r="145" ht="24.0" customHeight="1">
      <c r="A145" s="556"/>
      <c r="B145" s="577"/>
      <c r="C145" s="611" t="str">
        <f>IMAGE("https://raw.githubusercontent.com/msikma/pokesprite/master/items-outline/ball/great.png",1)</f>
        <v/>
      </c>
      <c r="D145" s="612" t="s">
        <v>1107</v>
      </c>
      <c r="E145" s="613"/>
      <c r="F145" s="614">
        <v>0.8</v>
      </c>
      <c r="G145" s="609"/>
      <c r="H145" s="611" t="str">
        <f>IMAGE("https://raw.githubusercontent.com/msikma/pokesprite/master/items-outline/ball/great.png",1)</f>
        <v/>
      </c>
      <c r="I145" s="612" t="s">
        <v>1107</v>
      </c>
      <c r="J145" s="613"/>
      <c r="K145" s="614">
        <v>0.8</v>
      </c>
      <c r="L145" s="610"/>
      <c r="M145" s="611" t="str">
        <f>IMAGE("https://raw.githubusercontent.com/msikma/pokesprite/master/items-outline/ball/great.png",1)</f>
        <v/>
      </c>
      <c r="N145" s="612" t="s">
        <v>1107</v>
      </c>
      <c r="O145" s="613"/>
      <c r="P145" s="614">
        <v>0.8</v>
      </c>
      <c r="Q145" s="610"/>
      <c r="R145" s="611" t="str">
        <f>IMAGE("https://raw.githubusercontent.com/msikma/pokesprite/master/items-outline/ball/great.png",1)</f>
        <v/>
      </c>
      <c r="S145" s="612" t="s">
        <v>1107</v>
      </c>
      <c r="T145" s="613"/>
      <c r="U145" s="614">
        <v>0.8</v>
      </c>
      <c r="V145" s="610"/>
      <c r="W145" s="611" t="str">
        <f>IMAGE("https://raw.githubusercontent.com/msikma/pokesprite/master/items-outline/ball/great.png",1)</f>
        <v/>
      </c>
      <c r="X145" s="612" t="s">
        <v>1107</v>
      </c>
      <c r="Y145" s="613"/>
      <c r="Z145" s="614">
        <v>0.8</v>
      </c>
      <c r="AA145" s="572"/>
      <c r="AB145" s="560"/>
    </row>
    <row r="146" ht="24.0" customHeight="1">
      <c r="A146" s="556"/>
      <c r="B146" s="577"/>
      <c r="C146" s="615" t="str">
        <f>IMAGE("https://raw.githubusercontent.com/msikma/pokesprite/master/items-outline/valuable-item/star-piece.png",1)</f>
        <v/>
      </c>
      <c r="D146" s="616" t="s">
        <v>1108</v>
      </c>
      <c r="E146" s="617"/>
      <c r="F146" s="618">
        <v>0.8</v>
      </c>
      <c r="G146" s="609"/>
      <c r="H146" s="615" t="str">
        <f>IMAGE("https://raw.githubusercontent.com/msikma/pokesprite/master/items-outline/valuable-item/star-piece.png",1)</f>
        <v/>
      </c>
      <c r="I146" s="616" t="s">
        <v>1108</v>
      </c>
      <c r="J146" s="617"/>
      <c r="K146" s="618">
        <v>0.8</v>
      </c>
      <c r="L146" s="610"/>
      <c r="M146" s="615" t="str">
        <f>IMAGE("https://raw.githubusercontent.com/msikma/pokesprite/master/items-outline/valuable-item/star-piece.png",1)</f>
        <v/>
      </c>
      <c r="N146" s="616" t="s">
        <v>1108</v>
      </c>
      <c r="O146" s="617"/>
      <c r="P146" s="618">
        <v>0.8</v>
      </c>
      <c r="Q146" s="610"/>
      <c r="R146" s="615" t="str">
        <f>IMAGE("https://raw.githubusercontent.com/msikma/pokesprite/master/items-outline/valuable-item/star-piece.png",1)</f>
        <v/>
      </c>
      <c r="S146" s="616" t="s">
        <v>1108</v>
      </c>
      <c r="T146" s="617"/>
      <c r="U146" s="618">
        <v>0.8</v>
      </c>
      <c r="V146" s="610"/>
      <c r="W146" s="615" t="str">
        <f>IMAGE("https://raw.githubusercontent.com/msikma/pokesprite/master/items-outline/valuable-item/star-piece.png",1)</f>
        <v/>
      </c>
      <c r="X146" s="616" t="s">
        <v>1108</v>
      </c>
      <c r="Y146" s="617"/>
      <c r="Z146" s="618">
        <v>0.8</v>
      </c>
      <c r="AA146" s="572"/>
      <c r="AB146" s="560"/>
    </row>
    <row r="147" ht="24.0" customHeight="1">
      <c r="A147" s="556"/>
      <c r="B147" s="577"/>
      <c r="C147" s="619" t="str">
        <f>IMAGE("https://raw.githubusercontent.com/msikma/pokesprite/master/items-outline/shard/yellow.png",4, 40, 40)</f>
        <v/>
      </c>
      <c r="D147" s="620" t="s">
        <v>1109</v>
      </c>
      <c r="E147" s="621"/>
      <c r="F147" s="622">
        <v>0.5</v>
      </c>
      <c r="G147" s="609"/>
      <c r="H147" s="619" t="str">
        <f>IMAGE("https://raw.githubusercontent.com/msikma/pokesprite/master/items-outline/shard/green.png",4, 40, 40)</f>
        <v/>
      </c>
      <c r="I147" s="620" t="s">
        <v>1110</v>
      </c>
      <c r="J147" s="621"/>
      <c r="K147" s="622">
        <v>0.5</v>
      </c>
      <c r="L147" s="610"/>
      <c r="M147" s="619" t="str">
        <f>IMAGE("https://raw.githubusercontent.com/msikma/pokesprite/master/items-outline/shard/red.png",4, 40, 40)</f>
        <v/>
      </c>
      <c r="N147" s="620" t="s">
        <v>1111</v>
      </c>
      <c r="O147" s="621"/>
      <c r="P147" s="622">
        <v>0.5</v>
      </c>
      <c r="Q147" s="610"/>
      <c r="R147" s="619" t="str">
        <f>IMAGE("https://raw.githubusercontent.com/msikma/pokesprite/master/items-outline/shard/yellow.png",4, 40, 40)</f>
        <v/>
      </c>
      <c r="S147" s="620" t="s">
        <v>1109</v>
      </c>
      <c r="T147" s="621"/>
      <c r="U147" s="622">
        <v>0.5</v>
      </c>
      <c r="V147" s="610"/>
      <c r="W147" s="619" t="str">
        <f>IMAGE("https://raw.githubusercontent.com/msikma/pokesprite/master/items-outline/shard/blue.png",4, 40, 40)</f>
        <v/>
      </c>
      <c r="X147" s="620" t="s">
        <v>1112</v>
      </c>
      <c r="Y147" s="621"/>
      <c r="Z147" s="622">
        <v>0.5</v>
      </c>
      <c r="AA147" s="572"/>
      <c r="AB147" s="560"/>
    </row>
    <row r="148" ht="24.0" customHeight="1">
      <c r="A148" s="556"/>
      <c r="B148" s="577"/>
      <c r="C148" s="623" t="str">
        <f>IMAGE("https://raw.githubusercontent.com/msikma/pokesprite/master/items-outline/berry/shuca.png",1)</f>
        <v/>
      </c>
      <c r="D148" s="624" t="s">
        <v>1113</v>
      </c>
      <c r="E148" s="625"/>
      <c r="F148" s="626">
        <v>0.5</v>
      </c>
      <c r="G148" s="609"/>
      <c r="H148" s="623" t="str">
        <f>IMAGE("https://raw.githubusercontent.com/msikma/pokesprite/master/items-outline/berry/shuca.png",1)</f>
        <v/>
      </c>
      <c r="I148" s="624" t="s">
        <v>1113</v>
      </c>
      <c r="J148" s="625"/>
      <c r="K148" s="626">
        <v>0.5</v>
      </c>
      <c r="L148" s="610"/>
      <c r="M148" s="623" t="str">
        <f>IMAGE("https://raw.githubusercontent.com/msikma/pokesprite/master/items-outline/berry/shuca.png",1)</f>
        <v/>
      </c>
      <c r="N148" s="624" t="s">
        <v>1113</v>
      </c>
      <c r="O148" s="625"/>
      <c r="P148" s="626">
        <v>0.5</v>
      </c>
      <c r="Q148" s="610"/>
      <c r="R148" s="623" t="str">
        <f>IMAGE("https://raw.githubusercontent.com/msikma/pokesprite/master/items-outline/berry/shuca.png",1)</f>
        <v/>
      </c>
      <c r="S148" s="624" t="s">
        <v>1113</v>
      </c>
      <c r="T148" s="625"/>
      <c r="U148" s="626">
        <v>0.5</v>
      </c>
      <c r="V148" s="610"/>
      <c r="W148" s="623" t="str">
        <f>IMAGE("https://raw.githubusercontent.com/msikma/pokesprite/master/items-outline/berry/shuca.png",1)</f>
        <v/>
      </c>
      <c r="X148" s="624" t="s">
        <v>1113</v>
      </c>
      <c r="Y148" s="625"/>
      <c r="Z148" s="626">
        <v>0.5</v>
      </c>
      <c r="AA148" s="572"/>
      <c r="AB148" s="560"/>
    </row>
    <row r="149" ht="24.0" customHeight="1">
      <c r="A149" s="556"/>
      <c r="B149" s="577"/>
      <c r="C149" s="611" t="str">
        <f>IMAGE("https://raw.githubusercontent.com/msikma/pokesprite/master/items-outline/valuable-item/nugget.png",1)</f>
        <v/>
      </c>
      <c r="D149" s="612" t="s">
        <v>1084</v>
      </c>
      <c r="E149" s="613"/>
      <c r="F149" s="627">
        <v>0.3</v>
      </c>
      <c r="G149" s="609"/>
      <c r="H149" s="611" t="str">
        <f>IMAGE("https://raw.githubusercontent.com/msikma/pokesprite/master/items-outline/valuable-item/nugget.png",1)</f>
        <v/>
      </c>
      <c r="I149" s="612" t="s">
        <v>1084</v>
      </c>
      <c r="J149" s="613"/>
      <c r="K149" s="627">
        <v>0.3</v>
      </c>
      <c r="L149" s="610"/>
      <c r="M149" s="611" t="str">
        <f>IMAGE("https://raw.githubusercontent.com/msikma/pokesprite/master/items-outline/valuable-item/nugget.png",1)</f>
        <v/>
      </c>
      <c r="N149" s="612" t="s">
        <v>1084</v>
      </c>
      <c r="O149" s="613"/>
      <c r="P149" s="627">
        <v>0.3</v>
      </c>
      <c r="Q149" s="610"/>
      <c r="R149" s="611" t="str">
        <f>IMAGE("https://raw.githubusercontent.com/msikma/pokesprite/master/items-outline/valuable-item/nugget.png",1)</f>
        <v/>
      </c>
      <c r="S149" s="612" t="s">
        <v>1084</v>
      </c>
      <c r="T149" s="613"/>
      <c r="U149" s="627">
        <v>0.3</v>
      </c>
      <c r="V149" s="610"/>
      <c r="W149" s="611" t="str">
        <f>IMAGE("https://raw.githubusercontent.com/msikma/pokesprite/master/items-outline/valuable-item/nugget.png",1)</f>
        <v/>
      </c>
      <c r="X149" s="612" t="s">
        <v>1084</v>
      </c>
      <c r="Y149" s="613"/>
      <c r="Z149" s="627">
        <v>0.3</v>
      </c>
      <c r="AA149" s="572"/>
      <c r="AB149" s="560"/>
    </row>
    <row r="150" ht="24.0" customHeight="1">
      <c r="A150" s="556"/>
      <c r="B150" s="577"/>
      <c r="C150" s="615" t="str">
        <f>IMAGE("https://raw.githubusercontent.com/msikma/pokesprite/master/items-outline/berry/sitrus.png",1)</f>
        <v/>
      </c>
      <c r="D150" s="616" t="s">
        <v>1065</v>
      </c>
      <c r="E150" s="617"/>
      <c r="F150" s="628">
        <v>0.3</v>
      </c>
      <c r="G150" s="609"/>
      <c r="H150" s="615" t="str">
        <f>IMAGE("https://raw.githubusercontent.com/msikma/pokesprite/master/items-outline/berry/sitrus.png",1)</f>
        <v/>
      </c>
      <c r="I150" s="616" t="s">
        <v>1065</v>
      </c>
      <c r="J150" s="617"/>
      <c r="K150" s="628">
        <v>0.3</v>
      </c>
      <c r="L150" s="610"/>
      <c r="M150" s="615" t="str">
        <f>IMAGE("https://raw.githubusercontent.com/msikma/pokesprite/master/items-outline/berry/sitrus.png",1)</f>
        <v/>
      </c>
      <c r="N150" s="616" t="s">
        <v>1065</v>
      </c>
      <c r="O150" s="617"/>
      <c r="P150" s="628">
        <v>0.3</v>
      </c>
      <c r="Q150" s="610"/>
      <c r="R150" s="615" t="str">
        <f>IMAGE("https://raw.githubusercontent.com/msikma/pokesprite/master/items-outline/berry/sitrus.png",1)</f>
        <v/>
      </c>
      <c r="S150" s="616" t="s">
        <v>1065</v>
      </c>
      <c r="T150" s="617"/>
      <c r="U150" s="628">
        <v>0.3</v>
      </c>
      <c r="V150" s="610"/>
      <c r="W150" s="615" t="str">
        <f>IMAGE("https://raw.githubusercontent.com/msikma/pokesprite/master/items-outline/berry/sitrus.png",1)</f>
        <v/>
      </c>
      <c r="X150" s="616" t="s">
        <v>1065</v>
      </c>
      <c r="Y150" s="617"/>
      <c r="Z150" s="628">
        <v>0.3</v>
      </c>
      <c r="AA150" s="572"/>
      <c r="AB150" s="560"/>
    </row>
    <row r="151" ht="24.0" customHeight="1">
      <c r="A151" s="556"/>
      <c r="B151" s="577"/>
      <c r="C151" s="619" t="str">
        <f>IMAGE("https://raw.githubusercontent.com/msikma/pokesprite/master/items-outline/medicine/ability-capsule.png",1)</f>
        <v/>
      </c>
      <c r="D151" s="620" t="s">
        <v>1094</v>
      </c>
      <c r="E151" s="621"/>
      <c r="F151" s="629">
        <v>0.25</v>
      </c>
      <c r="G151" s="609"/>
      <c r="H151" s="619" t="str">
        <f>IMAGE("https://raw.githubusercontent.com/msikma/pokesprite/master/items-outline/medicine/ability-capsule.png",1)</f>
        <v/>
      </c>
      <c r="I151" s="620" t="s">
        <v>1094</v>
      </c>
      <c r="J151" s="621"/>
      <c r="K151" s="629">
        <v>0.25</v>
      </c>
      <c r="L151" s="610"/>
      <c r="M151" s="619" t="str">
        <f>IMAGE("https://raw.githubusercontent.com/msikma/pokesprite/master/items-outline/medicine/ability-capsule.png",1)</f>
        <v/>
      </c>
      <c r="N151" s="620" t="s">
        <v>1094</v>
      </c>
      <c r="O151" s="621"/>
      <c r="P151" s="629">
        <v>0.25</v>
      </c>
      <c r="Q151" s="610"/>
      <c r="R151" s="619" t="str">
        <f>IMAGE("https://raw.githubusercontent.com/msikma/pokesprite/master/items-outline/medicine/ability-capsule.png",1)</f>
        <v/>
      </c>
      <c r="S151" s="620" t="s">
        <v>1094</v>
      </c>
      <c r="T151" s="621"/>
      <c r="U151" s="629">
        <v>0.25</v>
      </c>
      <c r="V151" s="610"/>
      <c r="W151" s="619" t="str">
        <f>IMAGE("https://raw.githubusercontent.com/msikma/pokesprite/master/items-outline/medicine/ability-capsule.png",1)</f>
        <v/>
      </c>
      <c r="X151" s="620" t="s">
        <v>1094</v>
      </c>
      <c r="Y151" s="621"/>
      <c r="Z151" s="629">
        <v>0.25</v>
      </c>
      <c r="AA151" s="572"/>
      <c r="AB151" s="560"/>
    </row>
    <row r="152" ht="24.0" customHeight="1">
      <c r="A152" s="556"/>
      <c r="B152" s="577"/>
      <c r="C152" s="623"/>
      <c r="D152" s="630" t="s">
        <v>1068</v>
      </c>
      <c r="E152" s="625"/>
      <c r="F152" s="631">
        <v>0.25</v>
      </c>
      <c r="G152" s="609"/>
      <c r="H152" s="623"/>
      <c r="I152" s="630" t="s">
        <v>1068</v>
      </c>
      <c r="J152" s="625"/>
      <c r="K152" s="631">
        <v>0.25</v>
      </c>
      <c r="L152" s="610"/>
      <c r="M152" s="623"/>
      <c r="N152" s="630" t="s">
        <v>1068</v>
      </c>
      <c r="O152" s="625"/>
      <c r="P152" s="631">
        <v>0.25</v>
      </c>
      <c r="Q152" s="610"/>
      <c r="R152" s="623"/>
      <c r="S152" s="630" t="s">
        <v>1068</v>
      </c>
      <c r="T152" s="625"/>
      <c r="U152" s="631">
        <v>0.25</v>
      </c>
      <c r="V152" s="610"/>
      <c r="W152" s="623"/>
      <c r="X152" s="630" t="s">
        <v>1068</v>
      </c>
      <c r="Y152" s="625"/>
      <c r="Z152" s="631">
        <v>0.25</v>
      </c>
      <c r="AA152" s="572"/>
      <c r="AB152" s="560"/>
    </row>
    <row r="153" ht="24.0" customHeight="1">
      <c r="A153" s="556"/>
      <c r="B153" s="577"/>
      <c r="C153" s="632" t="str">
        <f>IMAGE("https://raw.githubusercontent.com/msikma/pokesprite/master/items-outline/medicine/pp-up.png",1)</f>
        <v/>
      </c>
      <c r="D153" s="633" t="s">
        <v>1070</v>
      </c>
      <c r="E153" s="634"/>
      <c r="F153" s="635">
        <v>0.05</v>
      </c>
      <c r="G153" s="636"/>
      <c r="H153" s="632" t="str">
        <f>IMAGE("https://raw.githubusercontent.com/msikma/pokesprite/master/items-outline/medicine/pp-up.png",1)</f>
        <v/>
      </c>
      <c r="I153" s="633" t="s">
        <v>1070</v>
      </c>
      <c r="J153" s="634"/>
      <c r="K153" s="635">
        <v>0.05</v>
      </c>
      <c r="L153" s="610"/>
      <c r="M153" s="632" t="str">
        <f>IMAGE("https://raw.githubusercontent.com/msikma/pokesprite/master/items-outline/medicine/pp-up.png",1)</f>
        <v/>
      </c>
      <c r="N153" s="633" t="s">
        <v>1070</v>
      </c>
      <c r="O153" s="634"/>
      <c r="P153" s="635">
        <v>0.05</v>
      </c>
      <c r="Q153" s="610"/>
      <c r="R153" s="632" t="str">
        <f>IMAGE("https://raw.githubusercontent.com/msikma/pokesprite/master/items-outline/medicine/pp-up.png",1)</f>
        <v/>
      </c>
      <c r="S153" s="633" t="s">
        <v>1070</v>
      </c>
      <c r="T153" s="634"/>
      <c r="U153" s="635">
        <v>0.05</v>
      </c>
      <c r="V153" s="610"/>
      <c r="W153" s="632" t="str">
        <f>IMAGE("https://raw.githubusercontent.com/msikma/pokesprite/master/items-outline/medicine/pp-up.png",1)</f>
        <v/>
      </c>
      <c r="X153" s="633" t="s">
        <v>1070</v>
      </c>
      <c r="Y153" s="634"/>
      <c r="Z153" s="635">
        <v>0.05</v>
      </c>
      <c r="AA153" s="572"/>
      <c r="AB153" s="560"/>
    </row>
    <row r="154" ht="24.0" customHeight="1">
      <c r="A154" s="556"/>
      <c r="B154" s="577"/>
      <c r="C154" s="637" t="str">
        <f t="shared" ref="C154:C155" si="1">IMAGE("https://raw.githubusercontent.com/msikma/pokesprite/master/items-outline/other-item/ability-patch.png",1)</f>
        <v/>
      </c>
      <c r="D154" s="638" t="s">
        <v>1101</v>
      </c>
      <c r="E154" s="639"/>
      <c r="F154" s="640">
        <v>0.04</v>
      </c>
      <c r="G154" s="636"/>
      <c r="H154" s="637" t="str">
        <f t="shared" ref="H154:H155" si="2">IMAGE("https://raw.githubusercontent.com/msikma/pokesprite/master/items-outline/other-item/ability-patch.png",1)</f>
        <v/>
      </c>
      <c r="I154" s="638" t="s">
        <v>1101</v>
      </c>
      <c r="J154" s="639"/>
      <c r="K154" s="640">
        <v>0.04</v>
      </c>
      <c r="L154" s="610"/>
      <c r="M154" s="637" t="str">
        <f t="shared" ref="M154:M155" si="3">IMAGE("https://raw.githubusercontent.com/msikma/pokesprite/master/items-outline/other-item/ability-patch.png",1)</f>
        <v/>
      </c>
      <c r="N154" s="638" t="s">
        <v>1101</v>
      </c>
      <c r="O154" s="639"/>
      <c r="P154" s="640">
        <v>0.04</v>
      </c>
      <c r="Q154" s="610"/>
      <c r="R154" s="637" t="str">
        <f t="shared" ref="R154:R155" si="4">IMAGE("https://raw.githubusercontent.com/msikma/pokesprite/master/items-outline/other-item/ability-patch.png",1)</f>
        <v/>
      </c>
      <c r="S154" s="638" t="s">
        <v>1101</v>
      </c>
      <c r="T154" s="639"/>
      <c r="U154" s="640">
        <v>0.04</v>
      </c>
      <c r="V154" s="610"/>
      <c r="W154" s="637" t="str">
        <f t="shared" ref="W154:W155" si="5">IMAGE("https://raw.githubusercontent.com/msikma/pokesprite/master/items-outline/other-item/ability-patch.png",1)</f>
        <v/>
      </c>
      <c r="X154" s="638" t="s">
        <v>1101</v>
      </c>
      <c r="Y154" s="639"/>
      <c r="Z154" s="640">
        <v>0.04</v>
      </c>
      <c r="AA154" s="572"/>
      <c r="AB154" s="560"/>
    </row>
    <row r="155" ht="24.75" customHeight="1">
      <c r="A155" s="556"/>
      <c r="B155" s="577"/>
      <c r="C155" s="641" t="str">
        <f t="shared" si="1"/>
        <v/>
      </c>
      <c r="D155" s="642" t="s">
        <v>1101</v>
      </c>
      <c r="E155" s="643"/>
      <c r="F155" s="644">
        <v>0.01</v>
      </c>
      <c r="G155" s="645"/>
      <c r="H155" s="641" t="str">
        <f t="shared" si="2"/>
        <v/>
      </c>
      <c r="I155" s="642" t="s">
        <v>1101</v>
      </c>
      <c r="J155" s="643"/>
      <c r="K155" s="644">
        <v>0.01</v>
      </c>
      <c r="L155" s="646"/>
      <c r="M155" s="641" t="str">
        <f t="shared" si="3"/>
        <v/>
      </c>
      <c r="N155" s="642" t="s">
        <v>1101</v>
      </c>
      <c r="O155" s="643"/>
      <c r="P155" s="644">
        <v>0.01</v>
      </c>
      <c r="Q155" s="646"/>
      <c r="R155" s="641" t="str">
        <f t="shared" si="4"/>
        <v/>
      </c>
      <c r="S155" s="642" t="s">
        <v>1101</v>
      </c>
      <c r="T155" s="643"/>
      <c r="U155" s="644">
        <v>0.01</v>
      </c>
      <c r="V155" s="646"/>
      <c r="W155" s="641" t="str">
        <f t="shared" si="5"/>
        <v/>
      </c>
      <c r="X155" s="642" t="s">
        <v>1101</v>
      </c>
      <c r="Y155" s="643"/>
      <c r="Z155" s="644">
        <v>0.01</v>
      </c>
      <c r="AA155" s="572"/>
      <c r="AB155" s="560"/>
    </row>
    <row r="156" ht="60.0" customHeight="1">
      <c r="A156" s="556"/>
      <c r="B156" s="577"/>
      <c r="C156" s="680" t="s">
        <v>1114</v>
      </c>
      <c r="Z156" s="588"/>
      <c r="AA156" s="648"/>
      <c r="AB156" s="560"/>
    </row>
    <row r="157" ht="37.5" customHeight="1">
      <c r="A157" s="556"/>
      <c r="B157" s="577"/>
      <c r="C157" s="590" t="s">
        <v>347</v>
      </c>
      <c r="D157" s="168"/>
      <c r="E157" s="591"/>
      <c r="F157" s="592" t="str">
        <f t="array" ref="F157">IFERROR(VLOOKUP(C157,Dex!$B$3:$N689,2,FALSE),"")</f>
        <v/>
      </c>
      <c r="G157" s="593"/>
      <c r="H157" s="590" t="s">
        <v>1115</v>
      </c>
      <c r="I157" s="168"/>
      <c r="J157" s="591"/>
      <c r="K157" s="592" t="str">
        <f t="array" ref="K157">IFERROR(VLOOKUP(H157,Dex!$B$3:$N689,2,FALSE),"")</f>
        <v/>
      </c>
      <c r="L157" s="594"/>
      <c r="M157" s="590" t="s">
        <v>1116</v>
      </c>
      <c r="N157" s="168"/>
      <c r="O157" s="591"/>
      <c r="P157" s="592" t="str">
        <f t="array" ref="P157">IFERROR(VLOOKUP(M157,Dex!$B$3:$N689,2,FALSE),"")</f>
        <v/>
      </c>
      <c r="Q157" s="594"/>
      <c r="R157" s="590" t="s">
        <v>698</v>
      </c>
      <c r="S157" s="168"/>
      <c r="T157" s="591"/>
      <c r="U157" s="592" t="str">
        <f t="array" ref="U157">IFERROR(VLOOKUP(R157,Dex!$B$3:$N689,2,FALSE),"")</f>
        <v/>
      </c>
      <c r="V157" s="594"/>
      <c r="W157" s="590" t="s">
        <v>592</v>
      </c>
      <c r="X157" s="168"/>
      <c r="Y157" s="591"/>
      <c r="Z157" s="592" t="str">
        <f t="array" ref="Z157">IFERROR(VLOOKUP(W157,Dex!$B$3:$N689,2,FALSE),"")</f>
        <v/>
      </c>
      <c r="AA157" s="572"/>
      <c r="AB157" s="560"/>
    </row>
    <row r="158">
      <c r="A158" s="595"/>
      <c r="B158" s="596"/>
      <c r="C158" s="597" t="s">
        <v>1056</v>
      </c>
      <c r="D158" s="598"/>
      <c r="E158" s="599"/>
      <c r="F158" s="600" t="s">
        <v>1057</v>
      </c>
      <c r="G158" s="601"/>
      <c r="H158" s="597" t="s">
        <v>1056</v>
      </c>
      <c r="I158" s="598"/>
      <c r="J158" s="599"/>
      <c r="K158" s="600" t="s">
        <v>1057</v>
      </c>
      <c r="L158" s="602"/>
      <c r="M158" s="597" t="s">
        <v>1056</v>
      </c>
      <c r="N158" s="598"/>
      <c r="O158" s="599"/>
      <c r="P158" s="600" t="s">
        <v>1057</v>
      </c>
      <c r="Q158" s="602"/>
      <c r="R158" s="597" t="s">
        <v>1056</v>
      </c>
      <c r="S158" s="598"/>
      <c r="T158" s="599"/>
      <c r="U158" s="600" t="s">
        <v>1057</v>
      </c>
      <c r="V158" s="602"/>
      <c r="W158" s="597" t="s">
        <v>1056</v>
      </c>
      <c r="X158" s="598"/>
      <c r="Y158" s="599"/>
      <c r="Z158" s="600" t="s">
        <v>1057</v>
      </c>
      <c r="AA158" s="603"/>
      <c r="AB158" s="604"/>
    </row>
    <row r="159" ht="24.0" customHeight="1">
      <c r="A159" s="556"/>
      <c r="B159" s="577"/>
      <c r="C159" s="605" t="str">
        <f>IMAGE("https://raw.githubusercontent.com/msikma/pokesprite/master/items-outline/ball/quick.png",1)</f>
        <v/>
      </c>
      <c r="D159" s="606" t="s">
        <v>1088</v>
      </c>
      <c r="E159" s="607"/>
      <c r="F159" s="608">
        <v>1.0</v>
      </c>
      <c r="G159" s="609"/>
      <c r="H159" s="605" t="str">
        <f>IMAGE("https://raw.githubusercontent.com/msikma/pokesprite/master/items-outline/ball/quick.png",1)</f>
        <v/>
      </c>
      <c r="I159" s="606" t="s">
        <v>1088</v>
      </c>
      <c r="J159" s="607"/>
      <c r="K159" s="608">
        <v>1.0</v>
      </c>
      <c r="L159" s="610"/>
      <c r="M159" s="605" t="str">
        <f>IMAGE("https://raw.githubusercontent.com/msikma/pokesprite/master/items-outline/ball/quick.png",1)</f>
        <v/>
      </c>
      <c r="N159" s="606" t="s">
        <v>1088</v>
      </c>
      <c r="O159" s="607"/>
      <c r="P159" s="608">
        <v>1.0</v>
      </c>
      <c r="Q159" s="610"/>
      <c r="R159" s="605" t="str">
        <f>IMAGE("https://raw.githubusercontent.com/msikma/pokesprite/master/items-outline/ball/quick.png",1)</f>
        <v/>
      </c>
      <c r="S159" s="606" t="s">
        <v>1088</v>
      </c>
      <c r="T159" s="607"/>
      <c r="U159" s="608">
        <v>1.0</v>
      </c>
      <c r="V159" s="610"/>
      <c r="W159" s="605" t="str">
        <f>IMAGE("https://raw.githubusercontent.com/msikma/pokesprite/master/items-outline/ball/quick.png",1)</f>
        <v/>
      </c>
      <c r="X159" s="606" t="s">
        <v>1088</v>
      </c>
      <c r="Y159" s="607"/>
      <c r="Z159" s="608">
        <v>1.0</v>
      </c>
      <c r="AA159" s="572"/>
      <c r="AB159" s="560"/>
    </row>
    <row r="160" ht="24.0" customHeight="1">
      <c r="A160" s="556"/>
      <c r="B160" s="577"/>
      <c r="C160" s="611" t="str">
        <f>IMAGE("https://raw.githubusercontent.com/msikma/pokesprite/master/items-outline/ball/ultra.png",1)</f>
        <v/>
      </c>
      <c r="D160" s="612" t="s">
        <v>1091</v>
      </c>
      <c r="E160" s="613"/>
      <c r="F160" s="614">
        <v>0.8</v>
      </c>
      <c r="G160" s="609"/>
      <c r="H160" s="611" t="str">
        <f>IMAGE("https://raw.githubusercontent.com/msikma/pokesprite/master/items-outline/ball/ultra.png",1)</f>
        <v/>
      </c>
      <c r="I160" s="612" t="s">
        <v>1091</v>
      </c>
      <c r="J160" s="613"/>
      <c r="K160" s="614">
        <v>0.8</v>
      </c>
      <c r="L160" s="610"/>
      <c r="M160" s="611" t="str">
        <f>IMAGE("https://raw.githubusercontent.com/msikma/pokesprite/master/items-outline/ball/ultra.png",1)</f>
        <v/>
      </c>
      <c r="N160" s="612" t="s">
        <v>1091</v>
      </c>
      <c r="O160" s="613"/>
      <c r="P160" s="614">
        <v>0.8</v>
      </c>
      <c r="Q160" s="610"/>
      <c r="R160" s="611" t="str">
        <f>IMAGE("https://raw.githubusercontent.com/msikma/pokesprite/master/items-outline/ball/ultra.png",1)</f>
        <v/>
      </c>
      <c r="S160" s="612" t="s">
        <v>1091</v>
      </c>
      <c r="T160" s="613"/>
      <c r="U160" s="614">
        <v>0.8</v>
      </c>
      <c r="V160" s="610"/>
      <c r="W160" s="611" t="str">
        <f>IMAGE("https://raw.githubusercontent.com/msikma/pokesprite/master/items-outline/ball/ultra.png",1)</f>
        <v/>
      </c>
      <c r="X160" s="612" t="s">
        <v>1091</v>
      </c>
      <c r="Y160" s="613"/>
      <c r="Z160" s="614">
        <v>0.8</v>
      </c>
      <c r="AA160" s="572"/>
      <c r="AB160" s="560"/>
    </row>
    <row r="161" ht="24.0" customHeight="1">
      <c r="A161" s="556"/>
      <c r="B161" s="577"/>
      <c r="C161" s="615" t="str">
        <f>IMAGE("https://raw.githubusercontent.com/msikma/pokesprite/master/items-outline/valuable-item/stardust.png",1)</f>
        <v/>
      </c>
      <c r="D161" s="616" t="s">
        <v>1059</v>
      </c>
      <c r="E161" s="617"/>
      <c r="F161" s="618">
        <v>0.8</v>
      </c>
      <c r="G161" s="609"/>
      <c r="H161" s="615" t="str">
        <f>IMAGE("https://raw.githubusercontent.com/msikma/pokesprite/master/items-outline/valuable-item/stardust.png",1)</f>
        <v/>
      </c>
      <c r="I161" s="616" t="s">
        <v>1059</v>
      </c>
      <c r="J161" s="617"/>
      <c r="K161" s="618">
        <v>0.8</v>
      </c>
      <c r="L161" s="610"/>
      <c r="M161" s="615" t="str">
        <f>IMAGE("https://raw.githubusercontent.com/msikma/pokesprite/master/items-outline/valuable-item/stardust.png",1)</f>
        <v/>
      </c>
      <c r="N161" s="616" t="s">
        <v>1059</v>
      </c>
      <c r="O161" s="617"/>
      <c r="P161" s="618">
        <v>0.8</v>
      </c>
      <c r="Q161" s="610"/>
      <c r="R161" s="615" t="str">
        <f>IMAGE("https://raw.githubusercontent.com/msikma/pokesprite/master/items-outline/valuable-item/stardust.png",1)</f>
        <v/>
      </c>
      <c r="S161" s="616" t="s">
        <v>1059</v>
      </c>
      <c r="T161" s="617"/>
      <c r="U161" s="618">
        <v>0.8</v>
      </c>
      <c r="V161" s="610"/>
      <c r="W161" s="615" t="str">
        <f>IMAGE("https://raw.githubusercontent.com/msikma/pokesprite/master/items-outline/valuable-item/stardust.png",1)</f>
        <v/>
      </c>
      <c r="X161" s="616" t="s">
        <v>1059</v>
      </c>
      <c r="Y161" s="617"/>
      <c r="Z161" s="618">
        <v>0.8</v>
      </c>
      <c r="AA161" s="572"/>
      <c r="AB161" s="560"/>
    </row>
    <row r="162" ht="24.0" customHeight="1">
      <c r="A162" s="556"/>
      <c r="B162" s="577"/>
      <c r="C162" s="619" t="str">
        <f>IMAGE("https://raw.githubusercontent.com/msikma/pokesprite/master/items-outline/shard/yellow.png",4, 40, 40)</f>
        <v/>
      </c>
      <c r="D162" s="620" t="s">
        <v>1109</v>
      </c>
      <c r="E162" s="621"/>
      <c r="F162" s="622">
        <v>0.5</v>
      </c>
      <c r="G162" s="609"/>
      <c r="H162" s="619" t="str">
        <f>IMAGE("https://raw.githubusercontent.com/msikma/pokesprite/master/items-outline/shard/yellow.png",4, 40, 40)</f>
        <v/>
      </c>
      <c r="I162" s="620" t="s">
        <v>1109</v>
      </c>
      <c r="J162" s="621"/>
      <c r="K162" s="622">
        <v>0.5</v>
      </c>
      <c r="L162" s="610"/>
      <c r="M162" s="619" t="str">
        <f>IMAGE("https://raw.githubusercontent.com/msikma/pokesprite/master/items-outline/shard/yellow.png",4, 40, 40)</f>
        <v/>
      </c>
      <c r="N162" s="620" t="s">
        <v>1109</v>
      </c>
      <c r="O162" s="621"/>
      <c r="P162" s="622">
        <v>0.5</v>
      </c>
      <c r="Q162" s="610"/>
      <c r="R162" s="619" t="str">
        <f>IMAGE("https://raw.githubusercontent.com/msikma/pokesprite/master/items-outline/shard/yellow.png",4, 40, 40)</f>
        <v/>
      </c>
      <c r="S162" s="620" t="s">
        <v>1109</v>
      </c>
      <c r="T162" s="621"/>
      <c r="U162" s="622">
        <v>0.5</v>
      </c>
      <c r="V162" s="610"/>
      <c r="W162" s="619" t="str">
        <f>IMAGE("https://raw.githubusercontent.com/msikma/pokesprite/master/items-outline/shard/yellow.png",4, 40, 40)</f>
        <v/>
      </c>
      <c r="X162" s="620" t="s">
        <v>1109</v>
      </c>
      <c r="Y162" s="621"/>
      <c r="Z162" s="622">
        <v>0.5</v>
      </c>
      <c r="AA162" s="572"/>
      <c r="AB162" s="560"/>
    </row>
    <row r="163" ht="24.0" customHeight="1">
      <c r="A163" s="556"/>
      <c r="B163" s="577"/>
      <c r="C163" s="623" t="str">
        <f>IMAGE("https://raw.githubusercontent.com/msikma/pokesprite/master/items-outline/valuable-item/star-piece.png",1)</f>
        <v/>
      </c>
      <c r="D163" s="624" t="s">
        <v>1108</v>
      </c>
      <c r="E163" s="625"/>
      <c r="F163" s="626">
        <v>0.5</v>
      </c>
      <c r="G163" s="609"/>
      <c r="H163" s="623" t="str">
        <f>IMAGE("https://raw.githubusercontent.com/msikma/pokesprite/master/items-outline/valuable-item/star-piece.png",1)</f>
        <v/>
      </c>
      <c r="I163" s="624" t="s">
        <v>1108</v>
      </c>
      <c r="J163" s="625"/>
      <c r="K163" s="626">
        <v>0.5</v>
      </c>
      <c r="L163" s="610"/>
      <c r="M163" s="623" t="str">
        <f>IMAGE("https://raw.githubusercontent.com/msikma/pokesprite/master/items-outline/valuable-item/star-piece.png",1)</f>
        <v/>
      </c>
      <c r="N163" s="624" t="s">
        <v>1108</v>
      </c>
      <c r="O163" s="625"/>
      <c r="P163" s="626">
        <v>0.5</v>
      </c>
      <c r="Q163" s="610"/>
      <c r="R163" s="623" t="str">
        <f>IMAGE("https://raw.githubusercontent.com/msikma/pokesprite/master/items-outline/valuable-item/star-piece.png",1)</f>
        <v/>
      </c>
      <c r="S163" s="624" t="s">
        <v>1108</v>
      </c>
      <c r="T163" s="625"/>
      <c r="U163" s="626">
        <v>0.5</v>
      </c>
      <c r="V163" s="610"/>
      <c r="W163" s="623" t="str">
        <f>IMAGE("https://raw.githubusercontent.com/msikma/pokesprite/master/items-outline/valuable-item/star-piece.png",1)</f>
        <v/>
      </c>
      <c r="X163" s="624" t="s">
        <v>1108</v>
      </c>
      <c r="Y163" s="625"/>
      <c r="Z163" s="626">
        <v>0.5</v>
      </c>
      <c r="AA163" s="572"/>
      <c r="AB163" s="560"/>
    </row>
    <row r="164" ht="24.0" customHeight="1">
      <c r="A164" s="556"/>
      <c r="B164" s="577"/>
      <c r="C164" s="611" t="str">
        <f>IMAGE("https://raw.githubusercontent.com/msikma/pokesprite/master/items-outline/valuable-item/nugget.png",1)</f>
        <v/>
      </c>
      <c r="D164" s="612" t="s">
        <v>1084</v>
      </c>
      <c r="E164" s="613"/>
      <c r="F164" s="627">
        <v>0.3</v>
      </c>
      <c r="G164" s="609"/>
      <c r="H164" s="611" t="str">
        <f>IMAGE("https://raw.githubusercontent.com/msikma/pokesprite/master/items-outline/valuable-item/nugget.png",1)</f>
        <v/>
      </c>
      <c r="I164" s="612" t="s">
        <v>1084</v>
      </c>
      <c r="J164" s="613"/>
      <c r="K164" s="627">
        <v>0.3</v>
      </c>
      <c r="L164" s="610"/>
      <c r="M164" s="611" t="str">
        <f>IMAGE("https://raw.githubusercontent.com/msikma/pokesprite/master/items-outline/valuable-item/nugget.png",1)</f>
        <v/>
      </c>
      <c r="N164" s="612" t="s">
        <v>1084</v>
      </c>
      <c r="O164" s="613"/>
      <c r="P164" s="627">
        <v>0.3</v>
      </c>
      <c r="Q164" s="610"/>
      <c r="R164" s="611" t="str">
        <f>IMAGE("https://raw.githubusercontent.com/msikma/pokesprite/master/items-outline/valuable-item/nugget.png",1)</f>
        <v/>
      </c>
      <c r="S164" s="612" t="s">
        <v>1084</v>
      </c>
      <c r="T164" s="613"/>
      <c r="U164" s="627">
        <v>0.3</v>
      </c>
      <c r="V164" s="610"/>
      <c r="W164" s="611" t="str">
        <f>IMAGE("https://raw.githubusercontent.com/msikma/pokesprite/master/items-outline/valuable-item/nugget.png",1)</f>
        <v/>
      </c>
      <c r="X164" s="612" t="s">
        <v>1084</v>
      </c>
      <c r="Y164" s="613"/>
      <c r="Z164" s="627">
        <v>0.3</v>
      </c>
      <c r="AA164" s="572"/>
      <c r="AB164" s="560"/>
    </row>
    <row r="165" ht="24.0" customHeight="1">
      <c r="A165" s="556"/>
      <c r="B165" s="577"/>
      <c r="C165" s="615"/>
      <c r="D165" s="616" t="s">
        <v>1068</v>
      </c>
      <c r="E165" s="617"/>
      <c r="F165" s="628">
        <v>0.3</v>
      </c>
      <c r="G165" s="609"/>
      <c r="H165" s="615"/>
      <c r="I165" s="616" t="s">
        <v>1068</v>
      </c>
      <c r="J165" s="617"/>
      <c r="K165" s="628">
        <v>0.3</v>
      </c>
      <c r="L165" s="610"/>
      <c r="M165" s="615"/>
      <c r="N165" s="616" t="s">
        <v>1068</v>
      </c>
      <c r="O165" s="617"/>
      <c r="P165" s="628">
        <v>0.3</v>
      </c>
      <c r="Q165" s="610"/>
      <c r="R165" s="615"/>
      <c r="S165" s="616" t="s">
        <v>1068</v>
      </c>
      <c r="T165" s="617"/>
      <c r="U165" s="628">
        <v>0.3</v>
      </c>
      <c r="V165" s="610"/>
      <c r="W165" s="615"/>
      <c r="X165" s="616" t="s">
        <v>1068</v>
      </c>
      <c r="Y165" s="617"/>
      <c r="Z165" s="628">
        <v>0.3</v>
      </c>
      <c r="AA165" s="572"/>
      <c r="AB165" s="560"/>
    </row>
    <row r="166" ht="24.0" customHeight="1">
      <c r="A166" s="556"/>
      <c r="B166" s="577"/>
      <c r="C166" s="619" t="str">
        <f>IMAGE("https://raw.githubusercontent.com/msikma/pokesprite/master/items-outline/berry/leppa.png",1)</f>
        <v/>
      </c>
      <c r="D166" s="620" t="s">
        <v>1067</v>
      </c>
      <c r="E166" s="621"/>
      <c r="F166" s="629">
        <v>0.25</v>
      </c>
      <c r="G166" s="609"/>
      <c r="H166" s="619" t="str">
        <f>IMAGE("https://raw.githubusercontent.com/msikma/pokesprite/master/items-outline/berry/leppa.png",1)</f>
        <v/>
      </c>
      <c r="I166" s="620" t="s">
        <v>1067</v>
      </c>
      <c r="J166" s="621"/>
      <c r="K166" s="629">
        <v>0.25</v>
      </c>
      <c r="L166" s="610"/>
      <c r="M166" s="619" t="str">
        <f>IMAGE("https://raw.githubusercontent.com/msikma/pokesprite/master/items-outline/berry/leppa.png",1)</f>
        <v/>
      </c>
      <c r="N166" s="620" t="s">
        <v>1067</v>
      </c>
      <c r="O166" s="621"/>
      <c r="P166" s="629">
        <v>0.25</v>
      </c>
      <c r="Q166" s="610"/>
      <c r="R166" s="619" t="str">
        <f>IMAGE("https://raw.githubusercontent.com/msikma/pokesprite/master/items-outline/berry/leppa.png",1)</f>
        <v/>
      </c>
      <c r="S166" s="620" t="s">
        <v>1067</v>
      </c>
      <c r="T166" s="621"/>
      <c r="U166" s="629">
        <v>0.25</v>
      </c>
      <c r="V166" s="610"/>
      <c r="W166" s="619" t="str">
        <f>IMAGE("https://raw.githubusercontent.com/msikma/pokesprite/master/items-outline/berry/leppa.png",1)</f>
        <v/>
      </c>
      <c r="X166" s="620" t="s">
        <v>1067</v>
      </c>
      <c r="Y166" s="621"/>
      <c r="Z166" s="629">
        <v>0.25</v>
      </c>
      <c r="AA166" s="572"/>
      <c r="AB166" s="560"/>
    </row>
    <row r="167" ht="24.0" customHeight="1">
      <c r="A167" s="556"/>
      <c r="B167" s="577"/>
      <c r="C167" s="623" t="str">
        <f>IMAGE("https://raw.githubusercontent.com/msikma/pokesprite/master/items-outline/ball/dream.png",1)</f>
        <v/>
      </c>
      <c r="D167" s="630" t="s">
        <v>1117</v>
      </c>
      <c r="E167" s="625"/>
      <c r="F167" s="631">
        <v>0.25</v>
      </c>
      <c r="G167" s="609"/>
      <c r="H167" s="623" t="str">
        <f>IMAGE("https://raw.githubusercontent.com/msikma/pokesprite/master/items-outline/ball/dream.png",1)</f>
        <v/>
      </c>
      <c r="I167" s="630" t="s">
        <v>1117</v>
      </c>
      <c r="J167" s="625"/>
      <c r="K167" s="631">
        <v>0.25</v>
      </c>
      <c r="L167" s="610"/>
      <c r="M167" s="623" t="str">
        <f>IMAGE("https://raw.githubusercontent.com/msikma/pokesprite/master/items-outline/ball/dream.png",1)</f>
        <v/>
      </c>
      <c r="N167" s="630" t="s">
        <v>1117</v>
      </c>
      <c r="O167" s="625"/>
      <c r="P167" s="631">
        <v>0.25</v>
      </c>
      <c r="Q167" s="610"/>
      <c r="R167" s="623" t="str">
        <f>IMAGE("https://raw.githubusercontent.com/msikma/pokesprite/master/items-outline/ball/dream.png",1)</f>
        <v/>
      </c>
      <c r="S167" s="630" t="s">
        <v>1117</v>
      </c>
      <c r="T167" s="625"/>
      <c r="U167" s="631">
        <v>0.25</v>
      </c>
      <c r="V167" s="610"/>
      <c r="W167" s="623" t="str">
        <f>IMAGE("https://raw.githubusercontent.com/msikma/pokesprite/master/items-outline/ball/dream.png",1)</f>
        <v/>
      </c>
      <c r="X167" s="630" t="s">
        <v>1117</v>
      </c>
      <c r="Y167" s="625"/>
      <c r="Z167" s="631">
        <v>0.25</v>
      </c>
      <c r="AA167" s="572"/>
      <c r="AB167" s="560"/>
    </row>
    <row r="168" ht="24.0" customHeight="1">
      <c r="A168" s="556"/>
      <c r="B168" s="577"/>
      <c r="C168" s="632" t="str">
        <f>IMAGE("https://raw.githubusercontent.com/msikma/pokesprite/master/items-outline/medicine/pp-up.png",1)</f>
        <v/>
      </c>
      <c r="D168" s="633" t="s">
        <v>1070</v>
      </c>
      <c r="E168" s="634"/>
      <c r="F168" s="635">
        <v>0.05</v>
      </c>
      <c r="G168" s="636"/>
      <c r="H168" s="632" t="str">
        <f>IMAGE("https://raw.githubusercontent.com/msikma/pokesprite/master/items-outline/medicine/pp-up.png",1)</f>
        <v/>
      </c>
      <c r="I168" s="633" t="s">
        <v>1070</v>
      </c>
      <c r="J168" s="634"/>
      <c r="K168" s="635">
        <v>0.05</v>
      </c>
      <c r="L168" s="610"/>
      <c r="M168" s="632" t="str">
        <f>IMAGE("https://raw.githubusercontent.com/msikma/pokesprite/master/items-outline/medicine/pp-up.png",1)</f>
        <v/>
      </c>
      <c r="N168" s="633" t="s">
        <v>1070</v>
      </c>
      <c r="O168" s="634"/>
      <c r="P168" s="635">
        <v>0.05</v>
      </c>
      <c r="Q168" s="610"/>
      <c r="R168" s="632" t="str">
        <f>IMAGE("https://raw.githubusercontent.com/msikma/pokesprite/master/items-outline/medicine/pp-up.png",1)</f>
        <v/>
      </c>
      <c r="S168" s="633" t="s">
        <v>1070</v>
      </c>
      <c r="T168" s="634"/>
      <c r="U168" s="635">
        <v>0.05</v>
      </c>
      <c r="V168" s="610"/>
      <c r="W168" s="632" t="str">
        <f>IMAGE("https://raw.githubusercontent.com/msikma/pokesprite/master/items-outline/medicine/pp-up.png",1)</f>
        <v/>
      </c>
      <c r="X168" s="633" t="s">
        <v>1070</v>
      </c>
      <c r="Y168" s="634"/>
      <c r="Z168" s="635">
        <v>0.05</v>
      </c>
      <c r="AA168" s="572"/>
      <c r="AB168" s="560"/>
    </row>
    <row r="169" ht="24.0" customHeight="1">
      <c r="A169" s="556"/>
      <c r="B169" s="577"/>
      <c r="C169" s="637" t="str">
        <f t="shared" ref="C169:C170" si="6">IMAGE("https://raw.githubusercontent.com/msikma/pokesprite/master/items-outline/hold-item/lucky-egg.png",1)</f>
        <v/>
      </c>
      <c r="D169" s="638" t="s">
        <v>1071</v>
      </c>
      <c r="E169" s="639"/>
      <c r="F169" s="640">
        <v>0.04</v>
      </c>
      <c r="G169" s="636"/>
      <c r="H169" s="637" t="str">
        <f t="shared" ref="H169:H170" si="7">IMAGE("https://raw.githubusercontent.com/msikma/pokesprite/master/items-outline/hold-item/lucky-egg.png",1)</f>
        <v/>
      </c>
      <c r="I169" s="638" t="s">
        <v>1071</v>
      </c>
      <c r="J169" s="639"/>
      <c r="K169" s="640">
        <v>0.04</v>
      </c>
      <c r="L169" s="610"/>
      <c r="M169" s="637" t="str">
        <f t="shared" ref="M169:M170" si="8">IMAGE("https://raw.githubusercontent.com/msikma/pokesprite/master/items-outline/hold-item/lucky-egg.png",1)</f>
        <v/>
      </c>
      <c r="N169" s="638" t="s">
        <v>1071</v>
      </c>
      <c r="O169" s="639"/>
      <c r="P169" s="640">
        <v>0.04</v>
      </c>
      <c r="Q169" s="610"/>
      <c r="R169" s="637" t="str">
        <f t="shared" ref="R169:R170" si="9">IMAGE("https://raw.githubusercontent.com/msikma/pokesprite/master/items-outline/hold-item/lucky-egg.png",1)</f>
        <v/>
      </c>
      <c r="S169" s="638" t="s">
        <v>1071</v>
      </c>
      <c r="T169" s="639"/>
      <c r="U169" s="640">
        <v>0.04</v>
      </c>
      <c r="V169" s="610"/>
      <c r="W169" s="637" t="str">
        <f t="shared" ref="W169:W170" si="10">IMAGE("https://raw.githubusercontent.com/msikma/pokesprite/master/items-outline/hold-item/lucky-egg.png",1)</f>
        <v/>
      </c>
      <c r="X169" s="638" t="s">
        <v>1071</v>
      </c>
      <c r="Y169" s="639"/>
      <c r="Z169" s="640">
        <v>0.04</v>
      </c>
      <c r="AA169" s="572"/>
      <c r="AB169" s="560"/>
    </row>
    <row r="170" ht="24.75" customHeight="1">
      <c r="A170" s="556"/>
      <c r="B170" s="577"/>
      <c r="C170" s="641" t="str">
        <f t="shared" si="6"/>
        <v/>
      </c>
      <c r="D170" s="642" t="s">
        <v>1071</v>
      </c>
      <c r="E170" s="643"/>
      <c r="F170" s="644">
        <v>0.01</v>
      </c>
      <c r="G170" s="645"/>
      <c r="H170" s="641" t="str">
        <f t="shared" si="7"/>
        <v/>
      </c>
      <c r="I170" s="642" t="s">
        <v>1071</v>
      </c>
      <c r="J170" s="643"/>
      <c r="K170" s="644">
        <v>0.01</v>
      </c>
      <c r="L170" s="646"/>
      <c r="M170" s="641" t="str">
        <f t="shared" si="8"/>
        <v/>
      </c>
      <c r="N170" s="642" t="s">
        <v>1071</v>
      </c>
      <c r="O170" s="643"/>
      <c r="P170" s="644">
        <v>0.01</v>
      </c>
      <c r="Q170" s="646"/>
      <c r="R170" s="641" t="str">
        <f t="shared" si="9"/>
        <v/>
      </c>
      <c r="S170" s="642" t="s">
        <v>1071</v>
      </c>
      <c r="T170" s="643"/>
      <c r="U170" s="644">
        <v>0.01</v>
      </c>
      <c r="V170" s="646"/>
      <c r="W170" s="641" t="str">
        <f t="shared" si="10"/>
        <v/>
      </c>
      <c r="X170" s="642" t="s">
        <v>1071</v>
      </c>
      <c r="Y170" s="643"/>
      <c r="Z170" s="644">
        <v>0.01</v>
      </c>
      <c r="AA170" s="572"/>
      <c r="AB170" s="560"/>
    </row>
    <row r="171" ht="60.0" customHeight="1">
      <c r="A171" s="556"/>
      <c r="B171" s="577"/>
      <c r="C171" s="680" t="s">
        <v>1118</v>
      </c>
      <c r="Z171" s="588"/>
      <c r="AA171" s="648"/>
      <c r="AB171" s="560"/>
    </row>
    <row r="172" ht="37.5" customHeight="1">
      <c r="A172" s="556"/>
      <c r="B172" s="577"/>
      <c r="C172" s="590" t="s">
        <v>105</v>
      </c>
      <c r="D172" s="168"/>
      <c r="E172" s="591"/>
      <c r="F172" s="592" t="str">
        <f t="array" ref="F172">IFERROR(VLOOKUP(C172,Dex!$B$3:$N689,2,FALSE),"")</f>
        <v/>
      </c>
      <c r="G172" s="593"/>
      <c r="H172" s="590" t="s">
        <v>157</v>
      </c>
      <c r="I172" s="168"/>
      <c r="J172" s="591"/>
      <c r="K172" s="592" t="str">
        <f t="array" ref="K172">IFERROR(VLOOKUP(H172,Dex!$B$3:$N689,2,FALSE),"")</f>
        <v/>
      </c>
      <c r="L172" s="594"/>
      <c r="M172" s="590" t="s">
        <v>586</v>
      </c>
      <c r="N172" s="168"/>
      <c r="O172" s="591"/>
      <c r="P172" s="592" t="str">
        <f t="array" ref="P172">IFERROR(VLOOKUP(M172,Dex!$B$3:$N689,2,FALSE),"")</f>
        <v/>
      </c>
      <c r="Q172" s="594"/>
      <c r="R172" s="590" t="s">
        <v>636</v>
      </c>
      <c r="S172" s="168"/>
      <c r="T172" s="591"/>
      <c r="U172" s="592" t="str">
        <f t="array" ref="U172">IFERROR(VLOOKUP(R172,Dex!$B$3:$N689,2,FALSE),"")</f>
        <v/>
      </c>
      <c r="V172" s="594"/>
      <c r="W172" s="590" t="s">
        <v>1119</v>
      </c>
      <c r="X172" s="168"/>
      <c r="Y172" s="591"/>
      <c r="Z172" s="592" t="str">
        <f t="array" ref="Z172">IFERROR(VLOOKUP(W172,Dex!$B$3:$N689,2,FALSE),"")</f>
        <v/>
      </c>
      <c r="AA172" s="572"/>
      <c r="AB172" s="560"/>
    </row>
    <row r="173">
      <c r="A173" s="595"/>
      <c r="B173" s="596"/>
      <c r="C173" s="597" t="s">
        <v>1056</v>
      </c>
      <c r="D173" s="598"/>
      <c r="E173" s="599"/>
      <c r="F173" s="600" t="s">
        <v>1057</v>
      </c>
      <c r="G173" s="601"/>
      <c r="H173" s="597" t="s">
        <v>1056</v>
      </c>
      <c r="I173" s="598"/>
      <c r="J173" s="599"/>
      <c r="K173" s="600" t="s">
        <v>1057</v>
      </c>
      <c r="L173" s="602"/>
      <c r="M173" s="597" t="s">
        <v>1056</v>
      </c>
      <c r="N173" s="598"/>
      <c r="O173" s="599"/>
      <c r="P173" s="600" t="s">
        <v>1057</v>
      </c>
      <c r="Q173" s="602"/>
      <c r="R173" s="597" t="s">
        <v>1056</v>
      </c>
      <c r="S173" s="598"/>
      <c r="T173" s="599"/>
      <c r="U173" s="600" t="s">
        <v>1057</v>
      </c>
      <c r="V173" s="602"/>
      <c r="W173" s="597" t="s">
        <v>1056</v>
      </c>
      <c r="X173" s="598"/>
      <c r="Y173" s="599"/>
      <c r="Z173" s="600" t="s">
        <v>1057</v>
      </c>
      <c r="AA173" s="603"/>
      <c r="AB173" s="604"/>
    </row>
    <row r="174" ht="24.0" customHeight="1">
      <c r="A174" s="556"/>
      <c r="B174" s="577"/>
      <c r="C174" s="605" t="str">
        <f>IMAGE("https://raw.githubusercontent.com/msikma/pokesprite/master/items-outline/ball/quick.png",1)</f>
        <v/>
      </c>
      <c r="D174" s="606" t="s">
        <v>1088</v>
      </c>
      <c r="E174" s="607"/>
      <c r="F174" s="608">
        <v>1.0</v>
      </c>
      <c r="G174" s="609"/>
      <c r="H174" s="605" t="str">
        <f>IMAGE("https://raw.githubusercontent.com/msikma/pokesprite/master/items-outline/ball/quick.png",1)</f>
        <v/>
      </c>
      <c r="I174" s="606" t="s">
        <v>1088</v>
      </c>
      <c r="J174" s="607"/>
      <c r="K174" s="608">
        <v>1.0</v>
      </c>
      <c r="L174" s="610"/>
      <c r="M174" s="605" t="str">
        <f>IMAGE("https://raw.githubusercontent.com/msikma/pokesprite/master/items-outline/ball/quick.png",1)</f>
        <v/>
      </c>
      <c r="N174" s="606" t="s">
        <v>1088</v>
      </c>
      <c r="O174" s="607"/>
      <c r="P174" s="608">
        <v>1.0</v>
      </c>
      <c r="Q174" s="610"/>
      <c r="R174" s="605" t="str">
        <f>IMAGE("https://raw.githubusercontent.com/msikma/pokesprite/master/items-outline/ball/quick.png",1)</f>
        <v/>
      </c>
      <c r="S174" s="606" t="s">
        <v>1088</v>
      </c>
      <c r="T174" s="607"/>
      <c r="U174" s="608">
        <v>1.0</v>
      </c>
      <c r="V174" s="610"/>
      <c r="W174" s="605" t="str">
        <f>IMAGE("https://raw.githubusercontent.com/msikma/pokesprite/master/items-outline/ball/quick.png",1)</f>
        <v/>
      </c>
      <c r="X174" s="606" t="s">
        <v>1088</v>
      </c>
      <c r="Y174" s="607"/>
      <c r="Z174" s="608">
        <v>1.0</v>
      </c>
      <c r="AA174" s="572"/>
      <c r="AB174" s="560"/>
    </row>
    <row r="175" ht="24.0" customHeight="1">
      <c r="A175" s="556"/>
      <c r="B175" s="577"/>
      <c r="C175" s="611" t="str">
        <f>IMAGE("https://raw.githubusercontent.com/msikma/pokesprite/master/items-outline/ball/ultra.png",1)</f>
        <v/>
      </c>
      <c r="D175" s="612" t="s">
        <v>1091</v>
      </c>
      <c r="E175" s="613"/>
      <c r="F175" s="614">
        <v>0.8</v>
      </c>
      <c r="G175" s="609"/>
      <c r="H175" s="611" t="str">
        <f>IMAGE("https://raw.githubusercontent.com/msikma/pokesprite/master/items-outline/ball/ultra.png",1)</f>
        <v/>
      </c>
      <c r="I175" s="612" t="s">
        <v>1091</v>
      </c>
      <c r="J175" s="613"/>
      <c r="K175" s="614">
        <v>0.8</v>
      </c>
      <c r="L175" s="610"/>
      <c r="M175" s="611" t="str">
        <f>IMAGE("https://raw.githubusercontent.com/msikma/pokesprite/master/items-outline/ball/ultra.png",1)</f>
        <v/>
      </c>
      <c r="N175" s="612" t="s">
        <v>1091</v>
      </c>
      <c r="O175" s="613"/>
      <c r="P175" s="614">
        <v>0.8</v>
      </c>
      <c r="Q175" s="610"/>
      <c r="R175" s="611" t="str">
        <f>IMAGE("https://raw.githubusercontent.com/msikma/pokesprite/master/items-outline/ball/ultra.png",1)</f>
        <v/>
      </c>
      <c r="S175" s="612" t="s">
        <v>1091</v>
      </c>
      <c r="T175" s="613"/>
      <c r="U175" s="614">
        <v>0.8</v>
      </c>
      <c r="V175" s="610"/>
      <c r="W175" s="611" t="str">
        <f>IMAGE("https://raw.githubusercontent.com/msikma/pokesprite/master/items-outline/ball/ultra.png",1)</f>
        <v/>
      </c>
      <c r="X175" s="612" t="s">
        <v>1091</v>
      </c>
      <c r="Y175" s="613"/>
      <c r="Z175" s="614">
        <v>0.8</v>
      </c>
      <c r="AA175" s="572"/>
      <c r="AB175" s="560"/>
    </row>
    <row r="176" ht="24.0" customHeight="1">
      <c r="A176" s="556"/>
      <c r="B176" s="577"/>
      <c r="C176" s="615" t="str">
        <f>IMAGE("https://raw.githubusercontent.com/msikma/pokesprite/master/items-outline/berry/chople.png",1)</f>
        <v/>
      </c>
      <c r="D176" s="616" t="s">
        <v>1120</v>
      </c>
      <c r="E176" s="617"/>
      <c r="F176" s="618">
        <v>0.8</v>
      </c>
      <c r="G176" s="609"/>
      <c r="H176" s="615" t="str">
        <f>IMAGE("https://raw.githubusercontent.com/msikma/pokesprite/master/items-outline/berry/chople.png",1)</f>
        <v/>
      </c>
      <c r="I176" s="616" t="s">
        <v>1120</v>
      </c>
      <c r="J176" s="617"/>
      <c r="K176" s="618">
        <v>0.8</v>
      </c>
      <c r="L176" s="610"/>
      <c r="M176" s="615" t="str">
        <f>IMAGE("https://raw.githubusercontent.com/msikma/pokesprite/master/items-outline/berry/chople.png",1)</f>
        <v/>
      </c>
      <c r="N176" s="616" t="s">
        <v>1120</v>
      </c>
      <c r="O176" s="617"/>
      <c r="P176" s="618">
        <v>0.8</v>
      </c>
      <c r="Q176" s="610"/>
      <c r="R176" s="615" t="str">
        <f>IMAGE("https://raw.githubusercontent.com/msikma/pokesprite/master/items-outline/berry/chople.png",1)</f>
        <v/>
      </c>
      <c r="S176" s="616" t="s">
        <v>1120</v>
      </c>
      <c r="T176" s="617"/>
      <c r="U176" s="618">
        <v>0.8</v>
      </c>
      <c r="V176" s="610"/>
      <c r="W176" s="615" t="str">
        <f>IMAGE("https://raw.githubusercontent.com/msikma/pokesprite/master/items-outline/berry/chople.png",1)</f>
        <v/>
      </c>
      <c r="X176" s="616" t="s">
        <v>1120</v>
      </c>
      <c r="Y176" s="617"/>
      <c r="Z176" s="618">
        <v>0.8</v>
      </c>
      <c r="AA176" s="572"/>
      <c r="AB176" s="560"/>
    </row>
    <row r="177" ht="24.0" customHeight="1">
      <c r="A177" s="556"/>
      <c r="B177" s="577"/>
      <c r="C177" s="619" t="str">
        <f>IMAGE("https://raw.githubusercontent.com/msikma/pokesprite/master/items-outline/shard/yellow.png",4, 40, 40)</f>
        <v/>
      </c>
      <c r="D177" s="620" t="s">
        <v>1109</v>
      </c>
      <c r="E177" s="621"/>
      <c r="F177" s="622">
        <v>0.5</v>
      </c>
      <c r="G177" s="609"/>
      <c r="H177" s="619" t="str">
        <f>IMAGE("https://raw.githubusercontent.com/msikma/pokesprite/master/items-outline/shard/yellow.png",4, 40, 40)</f>
        <v/>
      </c>
      <c r="I177" s="620" t="s">
        <v>1109</v>
      </c>
      <c r="J177" s="621"/>
      <c r="K177" s="622">
        <v>0.5</v>
      </c>
      <c r="L177" s="610"/>
      <c r="M177" s="619" t="str">
        <f>IMAGE("https://raw.githubusercontent.com/msikma/pokesprite/master/items-outline/shard/yellow.png",4, 40, 40)</f>
        <v/>
      </c>
      <c r="N177" s="620" t="s">
        <v>1109</v>
      </c>
      <c r="O177" s="621"/>
      <c r="P177" s="622">
        <v>0.5</v>
      </c>
      <c r="Q177" s="610"/>
      <c r="R177" s="619" t="str">
        <f>IMAGE("https://raw.githubusercontent.com/msikma/pokesprite/master/items-outline/shard/yellow.png",4, 40, 40)</f>
        <v/>
      </c>
      <c r="S177" s="620" t="s">
        <v>1109</v>
      </c>
      <c r="T177" s="621"/>
      <c r="U177" s="622">
        <v>0.5</v>
      </c>
      <c r="V177" s="610"/>
      <c r="W177" s="619" t="str">
        <f>IMAGE("https://raw.githubusercontent.com/msikma/pokesprite/master/items-outline/shard/yellow.png",4, 40, 40)</f>
        <v/>
      </c>
      <c r="X177" s="620" t="s">
        <v>1109</v>
      </c>
      <c r="Y177" s="621"/>
      <c r="Z177" s="622">
        <v>0.5</v>
      </c>
      <c r="AA177" s="572"/>
      <c r="AB177" s="560"/>
    </row>
    <row r="178" ht="24.0" customHeight="1">
      <c r="A178" s="556"/>
      <c r="B178" s="577"/>
      <c r="C178" s="623" t="str">
        <f>IMAGE("https://raw.githubusercontent.com/msikma/pokesprite/master/items-outline/valuable-item/star-piece.png",1)</f>
        <v/>
      </c>
      <c r="D178" s="624" t="s">
        <v>1108</v>
      </c>
      <c r="E178" s="625"/>
      <c r="F178" s="626">
        <v>0.5</v>
      </c>
      <c r="G178" s="609"/>
      <c r="H178" s="623" t="str">
        <f>IMAGE("https://raw.githubusercontent.com/msikma/pokesprite/master/items-outline/valuable-item/star-piece.png",1)</f>
        <v/>
      </c>
      <c r="I178" s="624" t="s">
        <v>1108</v>
      </c>
      <c r="J178" s="625"/>
      <c r="K178" s="626">
        <v>0.5</v>
      </c>
      <c r="L178" s="610"/>
      <c r="M178" s="623" t="str">
        <f>IMAGE("https://raw.githubusercontent.com/msikma/pokesprite/master/items-outline/valuable-item/star-piece.png",1)</f>
        <v/>
      </c>
      <c r="N178" s="624" t="s">
        <v>1108</v>
      </c>
      <c r="O178" s="625"/>
      <c r="P178" s="626">
        <v>0.5</v>
      </c>
      <c r="Q178" s="610"/>
      <c r="R178" s="623" t="str">
        <f>IMAGE("https://raw.githubusercontent.com/msikma/pokesprite/master/items-outline/valuable-item/star-piece.png",1)</f>
        <v/>
      </c>
      <c r="S178" s="624" t="s">
        <v>1108</v>
      </c>
      <c r="T178" s="625"/>
      <c r="U178" s="626">
        <v>0.5</v>
      </c>
      <c r="V178" s="610"/>
      <c r="W178" s="623" t="str">
        <f>IMAGE("https://raw.githubusercontent.com/msikma/pokesprite/master/items-outline/valuable-item/star-piece.png",1)</f>
        <v/>
      </c>
      <c r="X178" s="624" t="s">
        <v>1108</v>
      </c>
      <c r="Y178" s="625"/>
      <c r="Z178" s="626">
        <v>0.5</v>
      </c>
      <c r="AA178" s="572"/>
      <c r="AB178" s="560"/>
    </row>
    <row r="179" ht="24.0" customHeight="1">
      <c r="A179" s="556"/>
      <c r="B179" s="577"/>
      <c r="C179" s="611" t="str">
        <f>IMAGE("https://raw.githubusercontent.com/msikma/pokesprite/master/items-outline/valuable-item/nugget.png",1)</f>
        <v/>
      </c>
      <c r="D179" s="612" t="s">
        <v>1084</v>
      </c>
      <c r="E179" s="613"/>
      <c r="F179" s="627">
        <v>0.3</v>
      </c>
      <c r="G179" s="609"/>
      <c r="H179" s="611" t="str">
        <f>IMAGE("https://raw.githubusercontent.com/msikma/pokesprite/master/items-outline/valuable-item/nugget.png",1)</f>
        <v/>
      </c>
      <c r="I179" s="612" t="s">
        <v>1084</v>
      </c>
      <c r="J179" s="613"/>
      <c r="K179" s="627">
        <v>0.3</v>
      </c>
      <c r="L179" s="610"/>
      <c r="M179" s="611" t="str">
        <f>IMAGE("https://raw.githubusercontent.com/msikma/pokesprite/master/items-outline/valuable-item/nugget.png",1)</f>
        <v/>
      </c>
      <c r="N179" s="612" t="s">
        <v>1084</v>
      </c>
      <c r="O179" s="613"/>
      <c r="P179" s="627">
        <v>0.3</v>
      </c>
      <c r="Q179" s="610"/>
      <c r="R179" s="611" t="str">
        <f>IMAGE("https://raw.githubusercontent.com/msikma/pokesprite/master/items-outline/valuable-item/nugget.png",1)</f>
        <v/>
      </c>
      <c r="S179" s="612" t="s">
        <v>1084</v>
      </c>
      <c r="T179" s="613"/>
      <c r="U179" s="627">
        <v>0.3</v>
      </c>
      <c r="V179" s="610"/>
      <c r="W179" s="611" t="str">
        <f>IMAGE("https://raw.githubusercontent.com/msikma/pokesprite/master/items-outline/valuable-item/nugget.png",1)</f>
        <v/>
      </c>
      <c r="X179" s="612" t="s">
        <v>1084</v>
      </c>
      <c r="Y179" s="613"/>
      <c r="Z179" s="627">
        <v>0.3</v>
      </c>
      <c r="AA179" s="572"/>
      <c r="AB179" s="560"/>
    </row>
    <row r="180" ht="24.0" customHeight="1">
      <c r="A180" s="556"/>
      <c r="B180" s="577"/>
      <c r="C180" s="615"/>
      <c r="D180" s="616" t="s">
        <v>1068</v>
      </c>
      <c r="E180" s="617"/>
      <c r="F180" s="628">
        <v>0.3</v>
      </c>
      <c r="G180" s="609"/>
      <c r="H180" s="615"/>
      <c r="I180" s="616" t="s">
        <v>1068</v>
      </c>
      <c r="J180" s="617"/>
      <c r="K180" s="628">
        <v>0.3</v>
      </c>
      <c r="L180" s="610"/>
      <c r="M180" s="615"/>
      <c r="N180" s="616" t="s">
        <v>1068</v>
      </c>
      <c r="O180" s="617"/>
      <c r="P180" s="628">
        <v>0.3</v>
      </c>
      <c r="Q180" s="610"/>
      <c r="R180" s="615"/>
      <c r="S180" s="616" t="s">
        <v>1068</v>
      </c>
      <c r="T180" s="617"/>
      <c r="U180" s="628">
        <v>0.3</v>
      </c>
      <c r="V180" s="610"/>
      <c r="W180" s="615"/>
      <c r="X180" s="616" t="s">
        <v>1068</v>
      </c>
      <c r="Y180" s="617"/>
      <c r="Z180" s="628">
        <v>0.3</v>
      </c>
      <c r="AA180" s="572"/>
      <c r="AB180" s="560"/>
    </row>
    <row r="181" ht="24.0" customHeight="1">
      <c r="A181" s="556"/>
      <c r="B181" s="577"/>
      <c r="C181" s="619" t="str">
        <f>IMAGE("https://raw.githubusercontent.com/msikma/pokesprite/master/items-outline/berry/chesto.png",1)</f>
        <v/>
      </c>
      <c r="D181" s="620" t="s">
        <v>1061</v>
      </c>
      <c r="E181" s="621"/>
      <c r="F181" s="629">
        <v>0.25</v>
      </c>
      <c r="G181" s="609"/>
      <c r="H181" s="619" t="str">
        <f>IMAGE("https://raw.githubusercontent.com/msikma/pokesprite/master/items-outline/berry/chesto.png",1)</f>
        <v/>
      </c>
      <c r="I181" s="620" t="s">
        <v>1061</v>
      </c>
      <c r="J181" s="621"/>
      <c r="K181" s="629">
        <v>0.25</v>
      </c>
      <c r="L181" s="610"/>
      <c r="M181" s="619" t="str">
        <f>IMAGE("https://raw.githubusercontent.com/msikma/pokesprite/master/items-outline/berry/chesto.png",1)</f>
        <v/>
      </c>
      <c r="N181" s="620" t="s">
        <v>1061</v>
      </c>
      <c r="O181" s="621"/>
      <c r="P181" s="629">
        <v>0.25</v>
      </c>
      <c r="Q181" s="610"/>
      <c r="R181" s="619" t="str">
        <f>IMAGE("https://raw.githubusercontent.com/msikma/pokesprite/master/items-outline/berry/chesto.png",1)</f>
        <v/>
      </c>
      <c r="S181" s="620" t="s">
        <v>1061</v>
      </c>
      <c r="T181" s="621"/>
      <c r="U181" s="629">
        <v>0.25</v>
      </c>
      <c r="V181" s="610"/>
      <c r="W181" s="619" t="str">
        <f>IMAGE("https://raw.githubusercontent.com/msikma/pokesprite/master/items-outline/berry/chesto.png",1)</f>
        <v/>
      </c>
      <c r="X181" s="620" t="s">
        <v>1061</v>
      </c>
      <c r="Y181" s="621"/>
      <c r="Z181" s="629">
        <v>0.25</v>
      </c>
      <c r="AA181" s="572"/>
      <c r="AB181" s="560"/>
    </row>
    <row r="182" ht="24.0" customHeight="1">
      <c r="A182" s="556"/>
      <c r="B182" s="577"/>
      <c r="C182" s="623" t="str">
        <f>IMAGE("https://raw.githubusercontent.com/msikma/pokesprite/master/items-outline/ball/dream.png",1)</f>
        <v/>
      </c>
      <c r="D182" s="630" t="s">
        <v>1117</v>
      </c>
      <c r="E182" s="625"/>
      <c r="F182" s="631">
        <v>0.25</v>
      </c>
      <c r="G182" s="609"/>
      <c r="H182" s="623" t="str">
        <f>IMAGE("https://raw.githubusercontent.com/msikma/pokesprite/master/items-outline/ball/dream.png",1)</f>
        <v/>
      </c>
      <c r="I182" s="630" t="s">
        <v>1117</v>
      </c>
      <c r="J182" s="625"/>
      <c r="K182" s="631">
        <v>0.25</v>
      </c>
      <c r="L182" s="610"/>
      <c r="M182" s="623" t="str">
        <f>IMAGE("https://raw.githubusercontent.com/msikma/pokesprite/master/items-outline/ball/dream.png",1)</f>
        <v/>
      </c>
      <c r="N182" s="630" t="s">
        <v>1117</v>
      </c>
      <c r="O182" s="625"/>
      <c r="P182" s="631">
        <v>0.25</v>
      </c>
      <c r="Q182" s="610"/>
      <c r="R182" s="623" t="str">
        <f>IMAGE("https://raw.githubusercontent.com/msikma/pokesprite/master/items-outline/ball/dream.png",1)</f>
        <v/>
      </c>
      <c r="S182" s="630" t="s">
        <v>1117</v>
      </c>
      <c r="T182" s="625"/>
      <c r="U182" s="631">
        <v>0.25</v>
      </c>
      <c r="V182" s="610"/>
      <c r="W182" s="623" t="str">
        <f>IMAGE("https://raw.githubusercontent.com/msikma/pokesprite/master/items-outline/ball/dream.png",1)</f>
        <v/>
      </c>
      <c r="X182" s="630" t="s">
        <v>1117</v>
      </c>
      <c r="Y182" s="625"/>
      <c r="Z182" s="631">
        <v>0.25</v>
      </c>
      <c r="AA182" s="572"/>
      <c r="AB182" s="560"/>
    </row>
    <row r="183" ht="24.0" customHeight="1">
      <c r="A183" s="556"/>
      <c r="B183" s="577"/>
      <c r="C183" s="632" t="str">
        <f>IMAGE("https://raw.githubusercontent.com/msikma/pokesprite/master/items-outline/medicine/pp-up.png",1)</f>
        <v/>
      </c>
      <c r="D183" s="633" t="s">
        <v>1070</v>
      </c>
      <c r="E183" s="634"/>
      <c r="F183" s="635">
        <v>0.05</v>
      </c>
      <c r="G183" s="636"/>
      <c r="H183" s="632" t="str">
        <f>IMAGE("https://raw.githubusercontent.com/msikma/pokesprite/master/items-outline/medicine/pp-up.png",1)</f>
        <v/>
      </c>
      <c r="I183" s="633" t="s">
        <v>1070</v>
      </c>
      <c r="J183" s="634"/>
      <c r="K183" s="635">
        <v>0.05</v>
      </c>
      <c r="L183" s="610"/>
      <c r="M183" s="632" t="str">
        <f>IMAGE("https://raw.githubusercontent.com/msikma/pokesprite/master/items-outline/medicine/pp-up.png",1)</f>
        <v/>
      </c>
      <c r="N183" s="633" t="s">
        <v>1070</v>
      </c>
      <c r="O183" s="634"/>
      <c r="P183" s="635">
        <v>0.05</v>
      </c>
      <c r="Q183" s="610"/>
      <c r="R183" s="632" t="str">
        <f>IMAGE("https://raw.githubusercontent.com/msikma/pokesprite/master/items-outline/medicine/pp-up.png",1)</f>
        <v/>
      </c>
      <c r="S183" s="633" t="s">
        <v>1070</v>
      </c>
      <c r="T183" s="634"/>
      <c r="U183" s="635">
        <v>0.05</v>
      </c>
      <c r="V183" s="610"/>
      <c r="W183" s="632" t="str">
        <f>IMAGE("https://raw.githubusercontent.com/msikma/pokesprite/master/items-outline/medicine/pp-up.png",1)</f>
        <v/>
      </c>
      <c r="X183" s="633" t="s">
        <v>1070</v>
      </c>
      <c r="Y183" s="634"/>
      <c r="Z183" s="635">
        <v>0.05</v>
      </c>
      <c r="AA183" s="572"/>
      <c r="AB183" s="560"/>
    </row>
    <row r="184" ht="24.0" customHeight="1">
      <c r="A184" s="556"/>
      <c r="B184" s="577"/>
      <c r="C184" s="637" t="str">
        <f t="shared" ref="C184:C185" si="11">IMAGE("https://raw.githubusercontent.com/msikma/pokesprite/master/items-outline/other-item/ability-patch.png",1)</f>
        <v/>
      </c>
      <c r="D184" s="638" t="s">
        <v>1101</v>
      </c>
      <c r="E184" s="639"/>
      <c r="F184" s="640">
        <v>0.04</v>
      </c>
      <c r="G184" s="636"/>
      <c r="H184" s="637" t="str">
        <f t="shared" ref="H184:H185" si="12">IMAGE("https://raw.githubusercontent.com/msikma/pokesprite/master/items-outline/other-item/ability-patch.png",1)</f>
        <v/>
      </c>
      <c r="I184" s="638" t="s">
        <v>1101</v>
      </c>
      <c r="J184" s="639"/>
      <c r="K184" s="640">
        <v>0.04</v>
      </c>
      <c r="L184" s="610"/>
      <c r="M184" s="637" t="str">
        <f t="shared" ref="M184:M185" si="13">IMAGE("https://raw.githubusercontent.com/msikma/pokesprite/master/items-outline/other-item/ability-patch.png",1)</f>
        <v/>
      </c>
      <c r="N184" s="638" t="s">
        <v>1101</v>
      </c>
      <c r="O184" s="639"/>
      <c r="P184" s="640">
        <v>0.04</v>
      </c>
      <c r="Q184" s="610"/>
      <c r="R184" s="637" t="str">
        <f t="shared" ref="R184:R185" si="14">IMAGE("https://raw.githubusercontent.com/msikma/pokesprite/master/items-outline/other-item/ability-patch.png",1)</f>
        <v/>
      </c>
      <c r="S184" s="638" t="s">
        <v>1101</v>
      </c>
      <c r="T184" s="639"/>
      <c r="U184" s="640">
        <v>0.04</v>
      </c>
      <c r="V184" s="610"/>
      <c r="W184" s="637" t="str">
        <f t="shared" ref="W184:W185" si="15">IMAGE("https://raw.githubusercontent.com/msikma/pokesprite/master/items-outline/other-item/ability-patch.png",1)</f>
        <v/>
      </c>
      <c r="X184" s="638" t="s">
        <v>1101</v>
      </c>
      <c r="Y184" s="639"/>
      <c r="Z184" s="640">
        <v>0.04</v>
      </c>
      <c r="AA184" s="572"/>
      <c r="AB184" s="560"/>
    </row>
    <row r="185" ht="24.75" customHeight="1">
      <c r="A185" s="556"/>
      <c r="B185" s="577"/>
      <c r="C185" s="641" t="str">
        <f t="shared" si="11"/>
        <v/>
      </c>
      <c r="D185" s="642" t="s">
        <v>1101</v>
      </c>
      <c r="E185" s="643"/>
      <c r="F185" s="644">
        <v>0.01</v>
      </c>
      <c r="G185" s="645"/>
      <c r="H185" s="641" t="str">
        <f t="shared" si="12"/>
        <v/>
      </c>
      <c r="I185" s="642" t="s">
        <v>1101</v>
      </c>
      <c r="J185" s="643"/>
      <c r="K185" s="644">
        <v>0.01</v>
      </c>
      <c r="L185" s="646"/>
      <c r="M185" s="641" t="str">
        <f t="shared" si="13"/>
        <v/>
      </c>
      <c r="N185" s="642" t="s">
        <v>1101</v>
      </c>
      <c r="O185" s="643"/>
      <c r="P185" s="644">
        <v>0.01</v>
      </c>
      <c r="Q185" s="646"/>
      <c r="R185" s="641" t="str">
        <f t="shared" si="14"/>
        <v/>
      </c>
      <c r="S185" s="642" t="s">
        <v>1101</v>
      </c>
      <c r="T185" s="643"/>
      <c r="U185" s="644">
        <v>0.01</v>
      </c>
      <c r="V185" s="646"/>
      <c r="W185" s="641" t="str">
        <f t="shared" si="15"/>
        <v/>
      </c>
      <c r="X185" s="642" t="s">
        <v>1101</v>
      </c>
      <c r="Y185" s="643"/>
      <c r="Z185" s="644">
        <v>0.01</v>
      </c>
      <c r="AA185" s="572"/>
      <c r="AB185" s="560"/>
    </row>
    <row r="186" ht="60.0" customHeight="1">
      <c r="A186" s="556"/>
      <c r="B186" s="577"/>
      <c r="C186" s="680" t="s">
        <v>1121</v>
      </c>
      <c r="Z186" s="588"/>
      <c r="AA186" s="648"/>
      <c r="AB186" s="560"/>
    </row>
    <row r="187" ht="37.5" customHeight="1">
      <c r="A187" s="556"/>
      <c r="B187" s="577"/>
      <c r="C187" s="590" t="s">
        <v>767</v>
      </c>
      <c r="D187" s="168"/>
      <c r="E187" s="591"/>
      <c r="F187" s="592" t="str">
        <f t="array" ref="F187">IFERROR(VLOOKUP(C187,Dex!$B$3:$N689,2,FALSE),"")</f>
        <v/>
      </c>
      <c r="G187" s="593"/>
      <c r="H187" s="590" t="s">
        <v>766</v>
      </c>
      <c r="I187" s="168"/>
      <c r="J187" s="591"/>
      <c r="K187" s="592" t="str">
        <f t="array" ref="K187">IFERROR(VLOOKUP(H187,Dex!$B$3:$N689,2,FALSE),"")</f>
        <v/>
      </c>
      <c r="L187" s="594"/>
      <c r="M187" s="590" t="s">
        <v>789</v>
      </c>
      <c r="N187" s="168"/>
      <c r="O187" s="591"/>
      <c r="P187" s="592" t="str">
        <f t="array" ref="P187">IFERROR(VLOOKUP(M187,Dex!$B$3:$N689,2,FALSE),"")</f>
        <v/>
      </c>
      <c r="Q187" s="594"/>
      <c r="R187" s="590" t="s">
        <v>119</v>
      </c>
      <c r="S187" s="168"/>
      <c r="T187" s="591"/>
      <c r="U187" s="592" t="str">
        <f t="array" ref="U187">IFERROR(VLOOKUP(R187,Dex!$B$3:$N689,2,FALSE),"")</f>
        <v/>
      </c>
      <c r="V187" s="594"/>
      <c r="W187" s="590" t="s">
        <v>1122</v>
      </c>
      <c r="X187" s="168"/>
      <c r="Y187" s="591"/>
      <c r="Z187" s="592" t="str">
        <f t="array" ref="Z187">IFERROR(VLOOKUP(W187,Dex!$B$3:$N689,2,FALSE),"")</f>
        <v/>
      </c>
      <c r="AA187" s="572"/>
      <c r="AB187" s="560"/>
    </row>
    <row r="188">
      <c r="A188" s="595"/>
      <c r="B188" s="596"/>
      <c r="C188" s="597" t="s">
        <v>1056</v>
      </c>
      <c r="D188" s="598"/>
      <c r="E188" s="599"/>
      <c r="F188" s="600" t="s">
        <v>1057</v>
      </c>
      <c r="G188" s="601"/>
      <c r="H188" s="597" t="s">
        <v>1056</v>
      </c>
      <c r="I188" s="598"/>
      <c r="J188" s="599"/>
      <c r="K188" s="600" t="s">
        <v>1057</v>
      </c>
      <c r="L188" s="602"/>
      <c r="M188" s="597" t="s">
        <v>1056</v>
      </c>
      <c r="N188" s="598"/>
      <c r="O188" s="599"/>
      <c r="P188" s="600" t="s">
        <v>1057</v>
      </c>
      <c r="Q188" s="602"/>
      <c r="R188" s="597" t="s">
        <v>1056</v>
      </c>
      <c r="S188" s="598"/>
      <c r="T188" s="599"/>
      <c r="U188" s="600" t="s">
        <v>1057</v>
      </c>
      <c r="V188" s="602"/>
      <c r="W188" s="597" t="s">
        <v>1056</v>
      </c>
      <c r="X188" s="598"/>
      <c r="Y188" s="599"/>
      <c r="Z188" s="600" t="s">
        <v>1057</v>
      </c>
      <c r="AA188" s="603"/>
      <c r="AB188" s="604"/>
    </row>
    <row r="189" ht="24.0" customHeight="1">
      <c r="A189" s="556"/>
      <c r="B189" s="577"/>
      <c r="C189" s="605" t="str">
        <f>IMAGE("https://raw.githubusercontent.com/msikma/pokesprite/master/items-outline/ball/quick.png",1)</f>
        <v/>
      </c>
      <c r="D189" s="606" t="s">
        <v>1088</v>
      </c>
      <c r="E189" s="607"/>
      <c r="F189" s="608">
        <v>1.0</v>
      </c>
      <c r="G189" s="609"/>
      <c r="H189" s="605" t="str">
        <f>IMAGE("https://raw.githubusercontent.com/msikma/pokesprite/master/items-outline/ball/quick.png",1)</f>
        <v/>
      </c>
      <c r="I189" s="606" t="s">
        <v>1088</v>
      </c>
      <c r="J189" s="607"/>
      <c r="K189" s="608">
        <v>1.0</v>
      </c>
      <c r="L189" s="610"/>
      <c r="M189" s="605" t="str">
        <f>IMAGE("https://raw.githubusercontent.com/msikma/pokesprite/master/items-outline/ball/quick.png",1)</f>
        <v/>
      </c>
      <c r="N189" s="606" t="s">
        <v>1088</v>
      </c>
      <c r="O189" s="607"/>
      <c r="P189" s="608">
        <v>1.0</v>
      </c>
      <c r="Q189" s="610"/>
      <c r="R189" s="605" t="str">
        <f>IMAGE("https://raw.githubusercontent.com/msikma/pokesprite/master/items-outline/ball/quick.png",1)</f>
        <v/>
      </c>
      <c r="S189" s="606" t="s">
        <v>1088</v>
      </c>
      <c r="T189" s="607"/>
      <c r="U189" s="608">
        <v>1.0</v>
      </c>
      <c r="V189" s="610"/>
      <c r="W189" s="605" t="str">
        <f>IMAGE("https://raw.githubusercontent.com/msikma/pokesprite/master/items-outline/ball/quick.png",1)</f>
        <v/>
      </c>
      <c r="X189" s="606" t="s">
        <v>1088</v>
      </c>
      <c r="Y189" s="607"/>
      <c r="Z189" s="608">
        <v>1.0</v>
      </c>
      <c r="AA189" s="572"/>
      <c r="AB189" s="560"/>
    </row>
    <row r="190" ht="24.0" customHeight="1">
      <c r="A190" s="556"/>
      <c r="B190" s="577"/>
      <c r="C190" s="611" t="str">
        <f>IMAGE("https://raw.githubusercontent.com/msikma/pokesprite/master/items-outline/ball/ultra.png",1)</f>
        <v/>
      </c>
      <c r="D190" s="612" t="s">
        <v>1091</v>
      </c>
      <c r="E190" s="613"/>
      <c r="F190" s="614">
        <v>0.8</v>
      </c>
      <c r="G190" s="609"/>
      <c r="H190" s="611" t="str">
        <f>IMAGE("https://raw.githubusercontent.com/msikma/pokesprite/master/items-outline/ball/ultra.png",1)</f>
        <v/>
      </c>
      <c r="I190" s="612" t="s">
        <v>1091</v>
      </c>
      <c r="J190" s="613"/>
      <c r="K190" s="614">
        <v>0.8</v>
      </c>
      <c r="L190" s="610"/>
      <c r="M190" s="611" t="str">
        <f>IMAGE("https://raw.githubusercontent.com/msikma/pokesprite/master/items-outline/ball/ultra.png",1)</f>
        <v/>
      </c>
      <c r="N190" s="612" t="s">
        <v>1091</v>
      </c>
      <c r="O190" s="613"/>
      <c r="P190" s="614">
        <v>0.8</v>
      </c>
      <c r="Q190" s="610"/>
      <c r="R190" s="611" t="str">
        <f>IMAGE("https://raw.githubusercontent.com/msikma/pokesprite/master/items-outline/ball/ultra.png",1)</f>
        <v/>
      </c>
      <c r="S190" s="612" t="s">
        <v>1091</v>
      </c>
      <c r="T190" s="613"/>
      <c r="U190" s="614">
        <v>0.8</v>
      </c>
      <c r="V190" s="610"/>
      <c r="W190" s="611" t="str">
        <f>IMAGE("https://raw.githubusercontent.com/msikma/pokesprite/master/items-outline/ball/ultra.png",1)</f>
        <v/>
      </c>
      <c r="X190" s="612" t="s">
        <v>1091</v>
      </c>
      <c r="Y190" s="613"/>
      <c r="Z190" s="614">
        <v>0.8</v>
      </c>
      <c r="AA190" s="572"/>
      <c r="AB190" s="560"/>
    </row>
    <row r="191" ht="24.0" customHeight="1">
      <c r="A191" s="556"/>
      <c r="B191" s="577"/>
      <c r="C191" s="615" t="str">
        <f>IMAGE("https://raw.githubusercontent.com/msikma/pokesprite/master/items-outline/berry/kasib.png",1)</f>
        <v/>
      </c>
      <c r="D191" s="616" t="s">
        <v>1123</v>
      </c>
      <c r="E191" s="617"/>
      <c r="F191" s="618">
        <v>0.8</v>
      </c>
      <c r="G191" s="609"/>
      <c r="H191" s="615" t="str">
        <f>IMAGE("https://raw.githubusercontent.com/msikma/pokesprite/master/items-outline/berry/kasib.png",1)</f>
        <v/>
      </c>
      <c r="I191" s="616" t="s">
        <v>1123</v>
      </c>
      <c r="J191" s="617"/>
      <c r="K191" s="618">
        <v>0.8</v>
      </c>
      <c r="L191" s="610"/>
      <c r="M191" s="615" t="str">
        <f>IMAGE("https://raw.githubusercontent.com/msikma/pokesprite/master/items-outline/berry/kasib.png",1)</f>
        <v/>
      </c>
      <c r="N191" s="616" t="s">
        <v>1123</v>
      </c>
      <c r="O191" s="617"/>
      <c r="P191" s="618">
        <v>0.8</v>
      </c>
      <c r="Q191" s="610"/>
      <c r="R191" s="615" t="str">
        <f>IMAGE("https://raw.githubusercontent.com/msikma/pokesprite/master/items-outline/berry/kasib.png",1)</f>
        <v/>
      </c>
      <c r="S191" s="616" t="s">
        <v>1123</v>
      </c>
      <c r="T191" s="617"/>
      <c r="U191" s="618">
        <v>0.8</v>
      </c>
      <c r="V191" s="610"/>
      <c r="W191" s="615" t="str">
        <f>IMAGE("https://raw.githubusercontent.com/msikma/pokesprite/master/items-outline/berry/kasib.png",1)</f>
        <v/>
      </c>
      <c r="X191" s="616" t="s">
        <v>1123</v>
      </c>
      <c r="Y191" s="617"/>
      <c r="Z191" s="618">
        <v>0.8</v>
      </c>
      <c r="AA191" s="572"/>
      <c r="AB191" s="560"/>
    </row>
    <row r="192" ht="24.0" customHeight="1">
      <c r="A192" s="556"/>
      <c r="B192" s="577"/>
      <c r="C192" s="619" t="str">
        <f>IMAGE("https://raw.githubusercontent.com/msikma/pokesprite/master/items-outline/shard/yellow.png",4, 40, 40)</f>
        <v/>
      </c>
      <c r="D192" s="620" t="s">
        <v>1109</v>
      </c>
      <c r="E192" s="621"/>
      <c r="F192" s="622">
        <v>0.5</v>
      </c>
      <c r="G192" s="609"/>
      <c r="H192" s="619" t="str">
        <f>IMAGE("https://raw.githubusercontent.com/msikma/pokesprite/master/items-outline/shard/yellow.png",4, 40, 40)</f>
        <v/>
      </c>
      <c r="I192" s="620" t="s">
        <v>1109</v>
      </c>
      <c r="J192" s="621"/>
      <c r="K192" s="622">
        <v>0.5</v>
      </c>
      <c r="L192" s="610"/>
      <c r="M192" s="619" t="str">
        <f>IMAGE("https://raw.githubusercontent.com/msikma/pokesprite/master/items-outline/shard/yellow.png",4, 40, 40)</f>
        <v/>
      </c>
      <c r="N192" s="620" t="s">
        <v>1109</v>
      </c>
      <c r="O192" s="621"/>
      <c r="P192" s="622">
        <v>0.5</v>
      </c>
      <c r="Q192" s="610"/>
      <c r="R192" s="619" t="str">
        <f>IMAGE("https://raw.githubusercontent.com/msikma/pokesprite/master/items-outline/shard/yellow.png",4, 40, 40)</f>
        <v/>
      </c>
      <c r="S192" s="620" t="s">
        <v>1109</v>
      </c>
      <c r="T192" s="621"/>
      <c r="U192" s="622">
        <v>0.5</v>
      </c>
      <c r="V192" s="610"/>
      <c r="W192" s="619" t="str">
        <f>IMAGE("https://raw.githubusercontent.com/msikma/pokesprite/master/items-outline/shard/yellow.png",4, 40, 40)</f>
        <v/>
      </c>
      <c r="X192" s="620" t="s">
        <v>1109</v>
      </c>
      <c r="Y192" s="621"/>
      <c r="Z192" s="622">
        <v>0.5</v>
      </c>
      <c r="AA192" s="572"/>
      <c r="AB192" s="560"/>
    </row>
    <row r="193" ht="24.0" customHeight="1">
      <c r="A193" s="556"/>
      <c r="B193" s="577"/>
      <c r="C193" s="623" t="str">
        <f>IMAGE("https://raw.githubusercontent.com/msikma/pokesprite/master/items-outline/valuable-item/star-piece.png",1)</f>
        <v/>
      </c>
      <c r="D193" s="624" t="s">
        <v>1108</v>
      </c>
      <c r="E193" s="625"/>
      <c r="F193" s="626">
        <v>0.5</v>
      </c>
      <c r="G193" s="609"/>
      <c r="H193" s="623" t="str">
        <f>IMAGE("https://raw.githubusercontent.com/msikma/pokesprite/master/items-outline/valuable-item/star-piece.png",1)</f>
        <v/>
      </c>
      <c r="I193" s="624" t="s">
        <v>1108</v>
      </c>
      <c r="J193" s="625"/>
      <c r="K193" s="626">
        <v>0.5</v>
      </c>
      <c r="L193" s="610"/>
      <c r="M193" s="623" t="str">
        <f>IMAGE("https://raw.githubusercontent.com/msikma/pokesprite/master/items-outline/valuable-item/star-piece.png",1)</f>
        <v/>
      </c>
      <c r="N193" s="624" t="s">
        <v>1108</v>
      </c>
      <c r="O193" s="625"/>
      <c r="P193" s="626">
        <v>0.5</v>
      </c>
      <c r="Q193" s="610"/>
      <c r="R193" s="623" t="str">
        <f>IMAGE("https://raw.githubusercontent.com/msikma/pokesprite/master/items-outline/valuable-item/star-piece.png",1)</f>
        <v/>
      </c>
      <c r="S193" s="624" t="s">
        <v>1108</v>
      </c>
      <c r="T193" s="625"/>
      <c r="U193" s="626">
        <v>0.5</v>
      </c>
      <c r="V193" s="610"/>
      <c r="W193" s="623" t="str">
        <f>IMAGE("https://raw.githubusercontent.com/msikma/pokesprite/master/items-outline/valuable-item/star-piece.png",1)</f>
        <v/>
      </c>
      <c r="X193" s="624" t="s">
        <v>1108</v>
      </c>
      <c r="Y193" s="625"/>
      <c r="Z193" s="626">
        <v>0.5</v>
      </c>
      <c r="AA193" s="572"/>
      <c r="AB193" s="560"/>
    </row>
    <row r="194" ht="24.0" customHeight="1">
      <c r="A194" s="556"/>
      <c r="B194" s="577"/>
      <c r="C194" s="611" t="str">
        <f>IMAGE("https://raw.githubusercontent.com/msikma/pokesprite/master/items-outline/valuable-item/nugget.png",1)</f>
        <v/>
      </c>
      <c r="D194" s="612" t="s">
        <v>1084</v>
      </c>
      <c r="E194" s="613"/>
      <c r="F194" s="627">
        <v>0.3</v>
      </c>
      <c r="G194" s="609"/>
      <c r="H194" s="611" t="str">
        <f>IMAGE("https://raw.githubusercontent.com/msikma/pokesprite/master/items-outline/valuable-item/nugget.png",1)</f>
        <v/>
      </c>
      <c r="I194" s="612" t="s">
        <v>1084</v>
      </c>
      <c r="J194" s="613"/>
      <c r="K194" s="627">
        <v>0.3</v>
      </c>
      <c r="L194" s="610"/>
      <c r="M194" s="611" t="str">
        <f>IMAGE("https://raw.githubusercontent.com/msikma/pokesprite/master/items-outline/valuable-item/nugget.png",1)</f>
        <v/>
      </c>
      <c r="N194" s="612" t="s">
        <v>1084</v>
      </c>
      <c r="O194" s="613"/>
      <c r="P194" s="627">
        <v>0.3</v>
      </c>
      <c r="Q194" s="610"/>
      <c r="R194" s="611" t="str">
        <f>IMAGE("https://raw.githubusercontent.com/msikma/pokesprite/master/items-outline/valuable-item/nugget.png",1)</f>
        <v/>
      </c>
      <c r="S194" s="612" t="s">
        <v>1084</v>
      </c>
      <c r="T194" s="613"/>
      <c r="U194" s="627">
        <v>0.3</v>
      </c>
      <c r="V194" s="610"/>
      <c r="W194" s="611" t="str">
        <f>IMAGE("https://raw.githubusercontent.com/msikma/pokesprite/master/items-outline/valuable-item/nugget.png",1)</f>
        <v/>
      </c>
      <c r="X194" s="612" t="s">
        <v>1084</v>
      </c>
      <c r="Y194" s="613"/>
      <c r="Z194" s="627">
        <v>0.3</v>
      </c>
      <c r="AA194" s="572"/>
      <c r="AB194" s="560"/>
    </row>
    <row r="195" ht="24.0" customHeight="1">
      <c r="A195" s="556"/>
      <c r="B195" s="577"/>
      <c r="C195" s="615"/>
      <c r="D195" s="616" t="s">
        <v>1068</v>
      </c>
      <c r="E195" s="617"/>
      <c r="F195" s="628">
        <v>0.3</v>
      </c>
      <c r="G195" s="609"/>
      <c r="H195" s="615"/>
      <c r="I195" s="616" t="s">
        <v>1068</v>
      </c>
      <c r="J195" s="617"/>
      <c r="K195" s="628">
        <v>0.3</v>
      </c>
      <c r="L195" s="610"/>
      <c r="M195" s="615"/>
      <c r="N195" s="616" t="s">
        <v>1068</v>
      </c>
      <c r="O195" s="617"/>
      <c r="P195" s="628">
        <v>0.3</v>
      </c>
      <c r="Q195" s="610"/>
      <c r="R195" s="615"/>
      <c r="S195" s="616" t="s">
        <v>1068</v>
      </c>
      <c r="T195" s="617"/>
      <c r="U195" s="628">
        <v>0.3</v>
      </c>
      <c r="V195" s="610"/>
      <c r="W195" s="615"/>
      <c r="X195" s="616" t="s">
        <v>1068</v>
      </c>
      <c r="Y195" s="617"/>
      <c r="Z195" s="628">
        <v>0.3</v>
      </c>
      <c r="AA195" s="572"/>
      <c r="AB195" s="560"/>
    </row>
    <row r="196" ht="24.0" customHeight="1">
      <c r="A196" s="556"/>
      <c r="B196" s="577"/>
      <c r="C196" s="619" t="str">
        <f>IMAGE("https://raw.githubusercontent.com/msikma/pokesprite/master/items-outline/medicine/ability-capsule.png",1)</f>
        <v/>
      </c>
      <c r="D196" s="620" t="s">
        <v>1094</v>
      </c>
      <c r="E196" s="621"/>
      <c r="F196" s="629">
        <v>0.25</v>
      </c>
      <c r="G196" s="609"/>
      <c r="H196" s="619" t="str">
        <f>IMAGE("https://raw.githubusercontent.com/msikma/pokesprite/master/items-outline/medicine/ability-capsule.png",1)</f>
        <v/>
      </c>
      <c r="I196" s="620" t="s">
        <v>1094</v>
      </c>
      <c r="J196" s="621"/>
      <c r="K196" s="629">
        <v>0.25</v>
      </c>
      <c r="L196" s="610"/>
      <c r="M196" s="619" t="str">
        <f>IMAGE("https://raw.githubusercontent.com/msikma/pokesprite/master/items-outline/medicine/ability-capsule.png",1)</f>
        <v/>
      </c>
      <c r="N196" s="620" t="s">
        <v>1094</v>
      </c>
      <c r="O196" s="621"/>
      <c r="P196" s="629">
        <v>0.25</v>
      </c>
      <c r="Q196" s="610"/>
      <c r="R196" s="619" t="str">
        <f>IMAGE("https://raw.githubusercontent.com/msikma/pokesprite/master/items-outline/medicine/ability-capsule.png",1)</f>
        <v/>
      </c>
      <c r="S196" s="620" t="s">
        <v>1094</v>
      </c>
      <c r="T196" s="621"/>
      <c r="U196" s="629">
        <v>0.25</v>
      </c>
      <c r="V196" s="610"/>
      <c r="W196" s="619" t="str">
        <f>IMAGE("https://raw.githubusercontent.com/msikma/pokesprite/master/items-outline/medicine/ability-capsule.png",1)</f>
        <v/>
      </c>
      <c r="X196" s="620" t="s">
        <v>1094</v>
      </c>
      <c r="Y196" s="621"/>
      <c r="Z196" s="629">
        <v>0.25</v>
      </c>
      <c r="AA196" s="572"/>
      <c r="AB196" s="560"/>
    </row>
    <row r="197" ht="24.0" customHeight="1">
      <c r="A197" s="556"/>
      <c r="B197" s="577"/>
      <c r="C197" s="623" t="str">
        <f>IMAGE("https://raw.githubusercontent.com/msikma/pokesprite/master/items-outline/ball/dream.png",1)</f>
        <v/>
      </c>
      <c r="D197" s="630" t="s">
        <v>1117</v>
      </c>
      <c r="E197" s="625"/>
      <c r="F197" s="631">
        <v>0.25</v>
      </c>
      <c r="G197" s="609"/>
      <c r="H197" s="623" t="str">
        <f>IMAGE("https://raw.githubusercontent.com/msikma/pokesprite/master/items-outline/ball/dream.png",1)</f>
        <v/>
      </c>
      <c r="I197" s="630" t="s">
        <v>1117</v>
      </c>
      <c r="J197" s="625"/>
      <c r="K197" s="631">
        <v>0.25</v>
      </c>
      <c r="L197" s="610"/>
      <c r="M197" s="623" t="str">
        <f>IMAGE("https://raw.githubusercontent.com/msikma/pokesprite/master/items-outline/ball/dream.png",1)</f>
        <v/>
      </c>
      <c r="N197" s="630" t="s">
        <v>1117</v>
      </c>
      <c r="O197" s="625"/>
      <c r="P197" s="631">
        <v>0.25</v>
      </c>
      <c r="Q197" s="610"/>
      <c r="R197" s="623" t="str">
        <f>IMAGE("https://raw.githubusercontent.com/msikma/pokesprite/master/items-outline/ball/dream.png",1)</f>
        <v/>
      </c>
      <c r="S197" s="630" t="s">
        <v>1117</v>
      </c>
      <c r="T197" s="625"/>
      <c r="U197" s="631">
        <v>0.25</v>
      </c>
      <c r="V197" s="610"/>
      <c r="W197" s="623" t="str">
        <f>IMAGE("https://raw.githubusercontent.com/msikma/pokesprite/master/items-outline/ball/dream.png",1)</f>
        <v/>
      </c>
      <c r="X197" s="630" t="s">
        <v>1117</v>
      </c>
      <c r="Y197" s="625"/>
      <c r="Z197" s="631">
        <v>0.25</v>
      </c>
      <c r="AA197" s="572"/>
      <c r="AB197" s="560"/>
    </row>
    <row r="198" ht="24.0" customHeight="1">
      <c r="A198" s="556"/>
      <c r="B198" s="577"/>
      <c r="C198" s="632" t="str">
        <f>IMAGE("https://raw.githubusercontent.com/msikma/pokesprite/master/items-outline/medicine/pp-up.png",1)</f>
        <v/>
      </c>
      <c r="D198" s="633" t="s">
        <v>1070</v>
      </c>
      <c r="E198" s="634"/>
      <c r="F198" s="635">
        <v>0.05</v>
      </c>
      <c r="G198" s="636"/>
      <c r="H198" s="632" t="str">
        <f>IMAGE("https://raw.githubusercontent.com/msikma/pokesprite/master/items-outline/medicine/pp-up.png",1)</f>
        <v/>
      </c>
      <c r="I198" s="633" t="s">
        <v>1070</v>
      </c>
      <c r="J198" s="634"/>
      <c r="K198" s="635">
        <v>0.05</v>
      </c>
      <c r="L198" s="610"/>
      <c r="M198" s="632" t="str">
        <f>IMAGE("https://raw.githubusercontent.com/msikma/pokesprite/master/items-outline/medicine/pp-up.png",1)</f>
        <v/>
      </c>
      <c r="N198" s="633" t="s">
        <v>1070</v>
      </c>
      <c r="O198" s="634"/>
      <c r="P198" s="635">
        <v>0.05</v>
      </c>
      <c r="Q198" s="610"/>
      <c r="R198" s="632" t="str">
        <f>IMAGE("https://raw.githubusercontent.com/msikma/pokesprite/master/items-outline/medicine/pp-up.png",1)</f>
        <v/>
      </c>
      <c r="S198" s="633" t="s">
        <v>1070</v>
      </c>
      <c r="T198" s="634"/>
      <c r="U198" s="635">
        <v>0.05</v>
      </c>
      <c r="V198" s="610"/>
      <c r="W198" s="632" t="str">
        <f>IMAGE("https://raw.githubusercontent.com/msikma/pokesprite/master/items-outline/medicine/pp-up.png",1)</f>
        <v/>
      </c>
      <c r="X198" s="633" t="s">
        <v>1070</v>
      </c>
      <c r="Y198" s="634"/>
      <c r="Z198" s="635">
        <v>0.05</v>
      </c>
      <c r="AA198" s="572"/>
      <c r="AB198" s="560"/>
    </row>
    <row r="199" ht="24.0" customHeight="1">
      <c r="A199" s="556"/>
      <c r="B199" s="577"/>
      <c r="C199" s="637" t="str">
        <f t="shared" ref="C199:C200" si="16">IMAGE("https://raw.githubusercontent.com/msikma/pokesprite/master/items-outline/hold-item/lucky-egg.png",1)</f>
        <v/>
      </c>
      <c r="D199" s="638" t="s">
        <v>1071</v>
      </c>
      <c r="E199" s="639"/>
      <c r="F199" s="640">
        <v>0.04</v>
      </c>
      <c r="G199" s="636"/>
      <c r="H199" s="637" t="str">
        <f t="shared" ref="H199:H200" si="17">IMAGE("https://raw.githubusercontent.com/msikma/pokesprite/master/items-outline/hold-item/lucky-egg.png",1)</f>
        <v/>
      </c>
      <c r="I199" s="638" t="s">
        <v>1071</v>
      </c>
      <c r="J199" s="639"/>
      <c r="K199" s="640">
        <v>0.04</v>
      </c>
      <c r="L199" s="610"/>
      <c r="M199" s="637" t="str">
        <f t="shared" ref="M199:M200" si="18">IMAGE("https://raw.githubusercontent.com/msikma/pokesprite/master/items-outline/hold-item/lucky-egg.png",1)</f>
        <v/>
      </c>
      <c r="N199" s="638" t="s">
        <v>1071</v>
      </c>
      <c r="O199" s="639"/>
      <c r="P199" s="640">
        <v>0.04</v>
      </c>
      <c r="Q199" s="610"/>
      <c r="R199" s="637" t="str">
        <f t="shared" ref="R199:R200" si="19">IMAGE("https://raw.githubusercontent.com/msikma/pokesprite/master/items-outline/hold-item/lucky-egg.png",1)</f>
        <v/>
      </c>
      <c r="S199" s="638" t="s">
        <v>1071</v>
      </c>
      <c r="T199" s="639"/>
      <c r="U199" s="640">
        <v>0.04</v>
      </c>
      <c r="V199" s="610"/>
      <c r="W199" s="637" t="str">
        <f t="shared" ref="W199:W200" si="20">IMAGE("https://raw.githubusercontent.com/msikma/pokesprite/master/items-outline/hold-item/lucky-egg.png",1)</f>
        <v/>
      </c>
      <c r="X199" s="638" t="s">
        <v>1071</v>
      </c>
      <c r="Y199" s="639"/>
      <c r="Z199" s="640">
        <v>0.04</v>
      </c>
      <c r="AA199" s="572"/>
      <c r="AB199" s="560"/>
    </row>
    <row r="200" ht="24.75" customHeight="1">
      <c r="A200" s="556"/>
      <c r="B200" s="577"/>
      <c r="C200" s="641" t="str">
        <f t="shared" si="16"/>
        <v/>
      </c>
      <c r="D200" s="642" t="s">
        <v>1071</v>
      </c>
      <c r="E200" s="643"/>
      <c r="F200" s="644">
        <v>0.01</v>
      </c>
      <c r="G200" s="645"/>
      <c r="H200" s="641" t="str">
        <f t="shared" si="17"/>
        <v/>
      </c>
      <c r="I200" s="642" t="s">
        <v>1071</v>
      </c>
      <c r="J200" s="643"/>
      <c r="K200" s="644">
        <v>0.01</v>
      </c>
      <c r="L200" s="646"/>
      <c r="M200" s="641" t="str">
        <f t="shared" si="18"/>
        <v/>
      </c>
      <c r="N200" s="642" t="s">
        <v>1071</v>
      </c>
      <c r="O200" s="643"/>
      <c r="P200" s="644">
        <v>0.01</v>
      </c>
      <c r="Q200" s="646"/>
      <c r="R200" s="641" t="str">
        <f t="shared" si="19"/>
        <v/>
      </c>
      <c r="S200" s="642" t="s">
        <v>1071</v>
      </c>
      <c r="T200" s="643"/>
      <c r="U200" s="644">
        <v>0.01</v>
      </c>
      <c r="V200" s="646"/>
      <c r="W200" s="641" t="str">
        <f t="shared" si="20"/>
        <v/>
      </c>
      <c r="X200" s="642" t="s">
        <v>1071</v>
      </c>
      <c r="Y200" s="643"/>
      <c r="Z200" s="644">
        <v>0.01</v>
      </c>
      <c r="AA200" s="572"/>
      <c r="AB200" s="560"/>
    </row>
    <row r="201" ht="60.0" customHeight="1">
      <c r="A201" s="556"/>
      <c r="B201" s="577"/>
      <c r="C201" s="680" t="s">
        <v>1124</v>
      </c>
      <c r="Z201" s="588"/>
      <c r="AA201" s="648"/>
      <c r="AB201" s="560"/>
    </row>
    <row r="202" ht="37.5" customHeight="1">
      <c r="A202" s="556"/>
      <c r="B202" s="577"/>
      <c r="C202" s="590" t="s">
        <v>517</v>
      </c>
      <c r="D202" s="168"/>
      <c r="E202" s="591"/>
      <c r="F202" s="592" t="str">
        <f t="array" ref="F202">IFERROR(VLOOKUP(C202,Dex!$B$3:$N689,2,FALSE),"")</f>
        <v/>
      </c>
      <c r="G202" s="593"/>
      <c r="H202" s="590" t="s">
        <v>1125</v>
      </c>
      <c r="I202" s="168"/>
      <c r="J202" s="591"/>
      <c r="K202" s="592" t="str">
        <f t="array" ref="K202">IFERROR(VLOOKUP(H202,Dex!$B$3:$N689,2,FALSE),"")</f>
        <v/>
      </c>
      <c r="L202" s="594"/>
      <c r="M202" s="590" t="s">
        <v>440</v>
      </c>
      <c r="N202" s="168"/>
      <c r="O202" s="591"/>
      <c r="P202" s="592" t="str">
        <f t="array" ref="P202">IFERROR(VLOOKUP(M202,Dex!$B$3:$N689,2,FALSE),"")</f>
        <v/>
      </c>
      <c r="Q202" s="594"/>
      <c r="R202" s="702" t="s">
        <v>551</v>
      </c>
      <c r="S202" s="168"/>
      <c r="T202" s="591"/>
      <c r="U202" s="592" t="str">
        <f t="array" ref="U202">IFERROR(VLOOKUP(R202,Dex!$B$3:$N689,2,FALSE),"")</f>
        <v/>
      </c>
      <c r="V202" s="594"/>
      <c r="W202" s="590" t="s">
        <v>461</v>
      </c>
      <c r="X202" s="168"/>
      <c r="Y202" s="591"/>
      <c r="Z202" s="592" t="str">
        <f t="array" ref="Z202">IFERROR(VLOOKUP(W202,Dex!$B$3:$N689,2,FALSE),"")</f>
        <v/>
      </c>
      <c r="AA202" s="572"/>
      <c r="AB202" s="560"/>
    </row>
    <row r="203">
      <c r="A203" s="595"/>
      <c r="B203" s="596"/>
      <c r="C203" s="597" t="s">
        <v>1056</v>
      </c>
      <c r="D203" s="598"/>
      <c r="E203" s="599"/>
      <c r="F203" s="600" t="s">
        <v>1057</v>
      </c>
      <c r="G203" s="601"/>
      <c r="H203" s="597" t="s">
        <v>1056</v>
      </c>
      <c r="I203" s="598"/>
      <c r="J203" s="599"/>
      <c r="K203" s="600" t="s">
        <v>1057</v>
      </c>
      <c r="L203" s="602"/>
      <c r="M203" s="597" t="s">
        <v>1056</v>
      </c>
      <c r="N203" s="598"/>
      <c r="O203" s="599"/>
      <c r="P203" s="600" t="s">
        <v>1057</v>
      </c>
      <c r="Q203" s="602"/>
      <c r="R203" s="597" t="s">
        <v>1056</v>
      </c>
      <c r="S203" s="598"/>
      <c r="T203" s="599"/>
      <c r="U203" s="600" t="s">
        <v>1057</v>
      </c>
      <c r="V203" s="602"/>
      <c r="W203" s="597" t="s">
        <v>1056</v>
      </c>
      <c r="X203" s="598"/>
      <c r="Y203" s="599"/>
      <c r="Z203" s="600" t="s">
        <v>1057</v>
      </c>
      <c r="AA203" s="603"/>
      <c r="AB203" s="604"/>
    </row>
    <row r="204" ht="24.0" customHeight="1">
      <c r="A204" s="556"/>
      <c r="B204" s="577"/>
      <c r="C204" s="605" t="str">
        <f>IMAGE("https://raw.githubusercontent.com/msikma/pokesprite/master/items-outline/ball/quick.png",1)</f>
        <v/>
      </c>
      <c r="D204" s="606" t="s">
        <v>1088</v>
      </c>
      <c r="E204" s="607"/>
      <c r="F204" s="608">
        <v>1.0</v>
      </c>
      <c r="G204" s="609"/>
      <c r="H204" s="605" t="str">
        <f>IMAGE("https://raw.githubusercontent.com/msikma/pokesprite/master/items-outline/ball/quick.png",1)</f>
        <v/>
      </c>
      <c r="I204" s="606" t="s">
        <v>1088</v>
      </c>
      <c r="J204" s="607"/>
      <c r="K204" s="608">
        <v>1.0</v>
      </c>
      <c r="L204" s="610"/>
      <c r="M204" s="605" t="str">
        <f>IMAGE("https://raw.githubusercontent.com/msikma/pokesprite/master/items-outline/ball/quick.png",1)</f>
        <v/>
      </c>
      <c r="N204" s="606" t="s">
        <v>1088</v>
      </c>
      <c r="O204" s="607"/>
      <c r="P204" s="608">
        <v>1.0</v>
      </c>
      <c r="Q204" s="610"/>
      <c r="R204" s="605" t="str">
        <f>IMAGE("https://raw.githubusercontent.com/msikma/pokesprite/master/items-outline/ball/quick.png",1)</f>
        <v/>
      </c>
      <c r="S204" s="606" t="s">
        <v>1088</v>
      </c>
      <c r="T204" s="607"/>
      <c r="U204" s="608">
        <v>1.0</v>
      </c>
      <c r="V204" s="610"/>
      <c r="W204" s="605" t="str">
        <f>IMAGE("https://raw.githubusercontent.com/msikma/pokesprite/master/items-outline/ball/quick.png",1)</f>
        <v/>
      </c>
      <c r="X204" s="606" t="s">
        <v>1088</v>
      </c>
      <c r="Y204" s="607"/>
      <c r="Z204" s="608">
        <v>1.0</v>
      </c>
      <c r="AA204" s="572"/>
      <c r="AB204" s="560"/>
    </row>
    <row r="205" ht="24.0" customHeight="1">
      <c r="A205" s="556"/>
      <c r="B205" s="577"/>
      <c r="C205" s="611" t="str">
        <f>IMAGE("https://raw.githubusercontent.com/msikma/pokesprite/master/items-outline/ball/ultra.png",1)</f>
        <v/>
      </c>
      <c r="D205" s="612" t="s">
        <v>1091</v>
      </c>
      <c r="E205" s="613"/>
      <c r="F205" s="614">
        <v>0.8</v>
      </c>
      <c r="G205" s="609"/>
      <c r="H205" s="611" t="str">
        <f>IMAGE("https://raw.githubusercontent.com/msikma/pokesprite/master/items-outline/ball/ultra.png",1)</f>
        <v/>
      </c>
      <c r="I205" s="612" t="s">
        <v>1091</v>
      </c>
      <c r="J205" s="613"/>
      <c r="K205" s="614">
        <v>0.8</v>
      </c>
      <c r="L205" s="610"/>
      <c r="M205" s="611" t="str">
        <f>IMAGE("https://raw.githubusercontent.com/msikma/pokesprite/master/items-outline/ball/ultra.png",1)</f>
        <v/>
      </c>
      <c r="N205" s="612" t="s">
        <v>1091</v>
      </c>
      <c r="O205" s="613"/>
      <c r="P205" s="614">
        <v>0.8</v>
      </c>
      <c r="Q205" s="610"/>
      <c r="R205" s="611" t="str">
        <f>IMAGE("https://raw.githubusercontent.com/msikma/pokesprite/master/items-outline/ball/ultra.png",1)</f>
        <v/>
      </c>
      <c r="S205" s="612" t="s">
        <v>1091</v>
      </c>
      <c r="T205" s="613"/>
      <c r="U205" s="614">
        <v>0.8</v>
      </c>
      <c r="V205" s="610"/>
      <c r="W205" s="611" t="str">
        <f>IMAGE("https://raw.githubusercontent.com/msikma/pokesprite/master/items-outline/ball/ultra.png",1)</f>
        <v/>
      </c>
      <c r="X205" s="612" t="s">
        <v>1091</v>
      </c>
      <c r="Y205" s="613"/>
      <c r="Z205" s="614">
        <v>0.8</v>
      </c>
      <c r="AA205" s="572"/>
      <c r="AB205" s="560"/>
    </row>
    <row r="206" ht="24.0" customHeight="1">
      <c r="A206" s="556"/>
      <c r="B206" s="577"/>
      <c r="C206" s="615" t="str">
        <f>IMAGE("https://raw.githubusercontent.com/msikma/pokesprite/master/items-outline/berry/babiri.png",1)</f>
        <v/>
      </c>
      <c r="D206" s="616" t="s">
        <v>1126</v>
      </c>
      <c r="E206" s="617"/>
      <c r="F206" s="618">
        <v>0.8</v>
      </c>
      <c r="G206" s="609"/>
      <c r="H206" s="615" t="str">
        <f>IMAGE("https://raw.githubusercontent.com/msikma/pokesprite/master/items-outline/berry/babiri.png",1)</f>
        <v/>
      </c>
      <c r="I206" s="616" t="s">
        <v>1126</v>
      </c>
      <c r="J206" s="617"/>
      <c r="K206" s="618">
        <v>0.8</v>
      </c>
      <c r="L206" s="610"/>
      <c r="M206" s="615" t="str">
        <f>IMAGE("https://raw.githubusercontent.com/msikma/pokesprite/master/items-outline/berry/babiri.png",1)</f>
        <v/>
      </c>
      <c r="N206" s="616" t="s">
        <v>1126</v>
      </c>
      <c r="O206" s="617"/>
      <c r="P206" s="618">
        <v>0.8</v>
      </c>
      <c r="Q206" s="610"/>
      <c r="R206" s="615" t="str">
        <f>IMAGE("https://raw.githubusercontent.com/msikma/pokesprite/master/items-outline/berry/babiri.png",1)</f>
        <v/>
      </c>
      <c r="S206" s="616" t="s">
        <v>1126</v>
      </c>
      <c r="T206" s="617"/>
      <c r="U206" s="618">
        <v>0.8</v>
      </c>
      <c r="V206" s="610"/>
      <c r="W206" s="615" t="str">
        <f>IMAGE("https://raw.githubusercontent.com/msikma/pokesprite/master/items-outline/berry/babiri.png",1)</f>
        <v/>
      </c>
      <c r="X206" s="616" t="s">
        <v>1126</v>
      </c>
      <c r="Y206" s="617"/>
      <c r="Z206" s="618">
        <v>0.8</v>
      </c>
      <c r="AA206" s="572"/>
      <c r="AB206" s="560"/>
    </row>
    <row r="207" ht="24.0" customHeight="1">
      <c r="A207" s="556"/>
      <c r="B207" s="577"/>
      <c r="C207" s="619" t="str">
        <f>IMAGE("https://raw.githubusercontent.com/msikma/pokesprite/master/items-outline/shard/yellow.png",4, 40, 40)</f>
        <v/>
      </c>
      <c r="D207" s="620" t="s">
        <v>1109</v>
      </c>
      <c r="E207" s="621"/>
      <c r="F207" s="622">
        <v>0.5</v>
      </c>
      <c r="G207" s="609"/>
      <c r="H207" s="619" t="str">
        <f>IMAGE("https://raw.githubusercontent.com/msikma/pokesprite/master/items-outline/shard/red.png",4, 40, 40)</f>
        <v/>
      </c>
      <c r="I207" s="620" t="s">
        <v>1111</v>
      </c>
      <c r="J207" s="621"/>
      <c r="K207" s="622">
        <v>0.5</v>
      </c>
      <c r="L207" s="610"/>
      <c r="M207" s="619" t="str">
        <f>IMAGE("https://raw.githubusercontent.com/msikma/pokesprite/master/items-outline/shard/red.png",4, 40, 40)</f>
        <v/>
      </c>
      <c r="N207" s="620" t="s">
        <v>1111</v>
      </c>
      <c r="O207" s="621"/>
      <c r="P207" s="622">
        <v>0.5</v>
      </c>
      <c r="Q207" s="610"/>
      <c r="R207" s="619" t="str">
        <f>IMAGE("https://raw.githubusercontent.com/msikma/pokesprite/master/items-outline/shard/blue.png",4, 40, 40)</f>
        <v/>
      </c>
      <c r="S207" s="620" t="s">
        <v>1112</v>
      </c>
      <c r="T207" s="621"/>
      <c r="U207" s="622">
        <v>0.5</v>
      </c>
      <c r="V207" s="610"/>
      <c r="W207" s="619" t="str">
        <f>IMAGE("https://raw.githubusercontent.com/msikma/pokesprite/master/items-outline/shard/green.png",4, 40, 40)</f>
        <v/>
      </c>
      <c r="X207" s="620" t="s">
        <v>1110</v>
      </c>
      <c r="Y207" s="621"/>
      <c r="Z207" s="622">
        <v>0.5</v>
      </c>
      <c r="AA207" s="572"/>
      <c r="AB207" s="560"/>
    </row>
    <row r="208" ht="24.0" customHeight="1">
      <c r="A208" s="556"/>
      <c r="B208" s="577"/>
      <c r="C208" s="623" t="str">
        <f>IMAGE("https://raw.githubusercontent.com/msikma/pokesprite/master/items-outline/valuable-item/star-piece.png",1)</f>
        <v/>
      </c>
      <c r="D208" s="624" t="s">
        <v>1108</v>
      </c>
      <c r="E208" s="625"/>
      <c r="F208" s="626">
        <v>0.5</v>
      </c>
      <c r="G208" s="609"/>
      <c r="H208" s="623" t="str">
        <f>IMAGE("https://raw.githubusercontent.com/msikma/pokesprite/master/items-outline/valuable-item/star-piece.png",1)</f>
        <v/>
      </c>
      <c r="I208" s="624" t="s">
        <v>1108</v>
      </c>
      <c r="J208" s="625"/>
      <c r="K208" s="626">
        <v>0.5</v>
      </c>
      <c r="L208" s="610"/>
      <c r="M208" s="623" t="str">
        <f>IMAGE("https://raw.githubusercontent.com/msikma/pokesprite/master/items-outline/valuable-item/star-piece.png",1)</f>
        <v/>
      </c>
      <c r="N208" s="624" t="s">
        <v>1108</v>
      </c>
      <c r="O208" s="625"/>
      <c r="P208" s="626">
        <v>0.5</v>
      </c>
      <c r="Q208" s="610"/>
      <c r="R208" s="623" t="str">
        <f>IMAGE("https://raw.githubusercontent.com/msikma/pokesprite/master/items-outline/valuable-item/star-piece.png",1)</f>
        <v/>
      </c>
      <c r="S208" s="624" t="s">
        <v>1108</v>
      </c>
      <c r="T208" s="625"/>
      <c r="U208" s="626">
        <v>0.5</v>
      </c>
      <c r="V208" s="610"/>
      <c r="W208" s="623" t="str">
        <f>IMAGE("https://raw.githubusercontent.com/msikma/pokesprite/master/items-outline/valuable-item/star-piece.png",1)</f>
        <v/>
      </c>
      <c r="X208" s="624" t="s">
        <v>1108</v>
      </c>
      <c r="Y208" s="625"/>
      <c r="Z208" s="626">
        <v>0.5</v>
      </c>
      <c r="AA208" s="572"/>
      <c r="AB208" s="560"/>
    </row>
    <row r="209" ht="24.0" customHeight="1">
      <c r="A209" s="556"/>
      <c r="B209" s="577"/>
      <c r="C209" s="611" t="str">
        <f>IMAGE("https://raw.githubusercontent.com/msikma/pokesprite/master/items-outline/valuable-item/nugget.png",1)</f>
        <v/>
      </c>
      <c r="D209" s="612" t="s">
        <v>1084</v>
      </c>
      <c r="E209" s="613"/>
      <c r="F209" s="627">
        <v>0.3</v>
      </c>
      <c r="G209" s="609"/>
      <c r="H209" s="611" t="str">
        <f>IMAGE("https://raw.githubusercontent.com/msikma/pokesprite/master/items-outline/valuable-item/nugget.png",1)</f>
        <v/>
      </c>
      <c r="I209" s="612" t="s">
        <v>1084</v>
      </c>
      <c r="J209" s="613"/>
      <c r="K209" s="627">
        <v>0.3</v>
      </c>
      <c r="L209" s="610"/>
      <c r="M209" s="611" t="str">
        <f>IMAGE("https://raw.githubusercontent.com/msikma/pokesprite/master/items-outline/valuable-item/nugget.png",1)</f>
        <v/>
      </c>
      <c r="N209" s="612" t="s">
        <v>1084</v>
      </c>
      <c r="O209" s="613"/>
      <c r="P209" s="627">
        <v>0.3</v>
      </c>
      <c r="Q209" s="610"/>
      <c r="R209" s="611" t="str">
        <f>IMAGE("https://raw.githubusercontent.com/msikma/pokesprite/master/items-outline/valuable-item/nugget.png",1)</f>
        <v/>
      </c>
      <c r="S209" s="612" t="s">
        <v>1084</v>
      </c>
      <c r="T209" s="613"/>
      <c r="U209" s="627">
        <v>0.3</v>
      </c>
      <c r="V209" s="610"/>
      <c r="W209" s="611" t="str">
        <f>IMAGE("https://raw.githubusercontent.com/msikma/pokesprite/master/items-outline/valuable-item/nugget.png",1)</f>
        <v/>
      </c>
      <c r="X209" s="612" t="s">
        <v>1084</v>
      </c>
      <c r="Y209" s="613"/>
      <c r="Z209" s="627">
        <v>0.3</v>
      </c>
      <c r="AA209" s="572"/>
      <c r="AB209" s="560"/>
    </row>
    <row r="210" ht="24.0" customHeight="1">
      <c r="A210" s="556"/>
      <c r="B210" s="577"/>
      <c r="C210" s="615"/>
      <c r="D210" s="616" t="s">
        <v>1068</v>
      </c>
      <c r="E210" s="617"/>
      <c r="F210" s="628">
        <v>0.3</v>
      </c>
      <c r="G210" s="609"/>
      <c r="H210" s="615"/>
      <c r="I210" s="616" t="s">
        <v>1068</v>
      </c>
      <c r="J210" s="617"/>
      <c r="K210" s="628">
        <v>0.3</v>
      </c>
      <c r="L210" s="610"/>
      <c r="M210" s="615"/>
      <c r="N210" s="616" t="s">
        <v>1068</v>
      </c>
      <c r="O210" s="617"/>
      <c r="P210" s="628">
        <v>0.3</v>
      </c>
      <c r="Q210" s="610"/>
      <c r="R210" s="615"/>
      <c r="S210" s="616" t="s">
        <v>1068</v>
      </c>
      <c r="T210" s="617"/>
      <c r="U210" s="628">
        <v>0.3</v>
      </c>
      <c r="V210" s="610"/>
      <c r="W210" s="615"/>
      <c r="X210" s="616" t="s">
        <v>1068</v>
      </c>
      <c r="Y210" s="617"/>
      <c r="Z210" s="628">
        <v>0.3</v>
      </c>
      <c r="AA210" s="572"/>
      <c r="AB210" s="560"/>
    </row>
    <row r="211" ht="24.0" customHeight="1">
      <c r="A211" s="556"/>
      <c r="B211" s="577"/>
      <c r="C211" s="619" t="str">
        <f>IMAGE("https://raw.githubusercontent.com/msikma/pokesprite/master/items-outline/medicine/ability-capsule.png",1)</f>
        <v/>
      </c>
      <c r="D211" s="620" t="s">
        <v>1094</v>
      </c>
      <c r="E211" s="621"/>
      <c r="F211" s="629">
        <v>0.25</v>
      </c>
      <c r="G211" s="609"/>
      <c r="H211" s="619" t="str">
        <f>IMAGE("https://raw.githubusercontent.com/msikma/pokesprite/master/items-outline/medicine/ability-capsule.png",1)</f>
        <v/>
      </c>
      <c r="I211" s="620" t="s">
        <v>1094</v>
      </c>
      <c r="J211" s="621"/>
      <c r="K211" s="629">
        <v>0.25</v>
      </c>
      <c r="L211" s="610"/>
      <c r="M211" s="619" t="str">
        <f>IMAGE("https://raw.githubusercontent.com/msikma/pokesprite/master/items-outline/medicine/ability-capsule.png",1)</f>
        <v/>
      </c>
      <c r="N211" s="620" t="s">
        <v>1094</v>
      </c>
      <c r="O211" s="621"/>
      <c r="P211" s="629">
        <v>0.25</v>
      </c>
      <c r="Q211" s="610"/>
      <c r="R211" s="619" t="str">
        <f>IMAGE("https://raw.githubusercontent.com/msikma/pokesprite/master/items-outline/medicine/ability-capsule.png",1)</f>
        <v/>
      </c>
      <c r="S211" s="620" t="s">
        <v>1094</v>
      </c>
      <c r="T211" s="621"/>
      <c r="U211" s="629">
        <v>0.25</v>
      </c>
      <c r="V211" s="610"/>
      <c r="W211" s="619" t="str">
        <f>IMAGE("https://raw.githubusercontent.com/msikma/pokesprite/master/items-outline/medicine/ability-capsule.png",1)</f>
        <v/>
      </c>
      <c r="X211" s="620" t="s">
        <v>1094</v>
      </c>
      <c r="Y211" s="621"/>
      <c r="Z211" s="629">
        <v>0.25</v>
      </c>
      <c r="AA211" s="572"/>
      <c r="AB211" s="560"/>
    </row>
    <row r="212" ht="24.0" customHeight="1">
      <c r="A212" s="556"/>
      <c r="B212" s="577"/>
      <c r="C212" s="623" t="str">
        <f>IMAGE("https://raw.githubusercontent.com/msikma/pokesprite/master/items-outline/ball/dream.png",1)</f>
        <v/>
      </c>
      <c r="D212" s="630" t="s">
        <v>1117</v>
      </c>
      <c r="E212" s="625"/>
      <c r="F212" s="631">
        <v>0.25</v>
      </c>
      <c r="G212" s="609"/>
      <c r="H212" s="623" t="str">
        <f>IMAGE("https://raw.githubusercontent.com/msikma/pokesprite/master/items-outline/ball/dream.png",1)</f>
        <v/>
      </c>
      <c r="I212" s="630" t="s">
        <v>1117</v>
      </c>
      <c r="J212" s="625"/>
      <c r="K212" s="631">
        <v>0.25</v>
      </c>
      <c r="L212" s="610"/>
      <c r="M212" s="623" t="str">
        <f>IMAGE("https://raw.githubusercontent.com/msikma/pokesprite/master/items-outline/ball/dream.png",1)</f>
        <v/>
      </c>
      <c r="N212" s="630" t="s">
        <v>1117</v>
      </c>
      <c r="O212" s="625"/>
      <c r="P212" s="631">
        <v>0.25</v>
      </c>
      <c r="Q212" s="610"/>
      <c r="R212" s="623" t="str">
        <f>IMAGE("https://raw.githubusercontent.com/msikma/pokesprite/master/items-outline/ball/dream.png",1)</f>
        <v/>
      </c>
      <c r="S212" s="630" t="s">
        <v>1117</v>
      </c>
      <c r="T212" s="625"/>
      <c r="U212" s="631">
        <v>0.25</v>
      </c>
      <c r="V212" s="610"/>
      <c r="W212" s="623" t="str">
        <f>IMAGE("https://raw.githubusercontent.com/msikma/pokesprite/master/items-outline/ball/dream.png",1)</f>
        <v/>
      </c>
      <c r="X212" s="630" t="s">
        <v>1117</v>
      </c>
      <c r="Y212" s="625"/>
      <c r="Z212" s="631">
        <v>0.25</v>
      </c>
      <c r="AA212" s="572"/>
      <c r="AB212" s="560"/>
    </row>
    <row r="213" ht="24.0" customHeight="1">
      <c r="A213" s="556"/>
      <c r="B213" s="577"/>
      <c r="C213" s="632" t="str">
        <f>IMAGE("https://raw.githubusercontent.com/msikma/pokesprite/master/items-outline/medicine/pp-up.png",1)</f>
        <v/>
      </c>
      <c r="D213" s="633" t="s">
        <v>1070</v>
      </c>
      <c r="E213" s="634"/>
      <c r="F213" s="635">
        <v>0.05</v>
      </c>
      <c r="G213" s="636"/>
      <c r="H213" s="632" t="str">
        <f>IMAGE("https://raw.githubusercontent.com/msikma/pokesprite/master/items-outline/medicine/pp-up.png",1)</f>
        <v/>
      </c>
      <c r="I213" s="633" t="s">
        <v>1070</v>
      </c>
      <c r="J213" s="634"/>
      <c r="K213" s="635">
        <v>0.05</v>
      </c>
      <c r="L213" s="610"/>
      <c r="M213" s="632" t="str">
        <f>IMAGE("https://raw.githubusercontent.com/msikma/pokesprite/master/items-outline/medicine/pp-up.png",1)</f>
        <v/>
      </c>
      <c r="N213" s="633" t="s">
        <v>1070</v>
      </c>
      <c r="O213" s="634"/>
      <c r="P213" s="635">
        <v>0.05</v>
      </c>
      <c r="Q213" s="610"/>
      <c r="R213" s="632" t="str">
        <f>IMAGE("https://raw.githubusercontent.com/msikma/pokesprite/master/items-outline/medicine/pp-up.png",1)</f>
        <v/>
      </c>
      <c r="S213" s="633" t="s">
        <v>1070</v>
      </c>
      <c r="T213" s="634"/>
      <c r="U213" s="635">
        <v>0.05</v>
      </c>
      <c r="V213" s="610"/>
      <c r="W213" s="632" t="str">
        <f>IMAGE("https://raw.githubusercontent.com/msikma/pokesprite/master/items-outline/medicine/pp-up.png",1)</f>
        <v/>
      </c>
      <c r="X213" s="633" t="s">
        <v>1070</v>
      </c>
      <c r="Y213" s="634"/>
      <c r="Z213" s="635">
        <v>0.05</v>
      </c>
      <c r="AA213" s="572"/>
      <c r="AB213" s="560"/>
    </row>
    <row r="214" ht="24.0" customHeight="1">
      <c r="A214" s="556"/>
      <c r="B214" s="577"/>
      <c r="C214" s="637" t="str">
        <f t="shared" ref="C214:C215" si="21">IMAGE("https://raw.githubusercontent.com/msikma/pokesprite/master/items-outline/hold-item/lucky-egg.png",1)</f>
        <v/>
      </c>
      <c r="D214" s="638" t="s">
        <v>1071</v>
      </c>
      <c r="E214" s="639"/>
      <c r="F214" s="640">
        <v>0.04</v>
      </c>
      <c r="G214" s="636"/>
      <c r="H214" s="637" t="str">
        <f t="shared" ref="H214:H215" si="22">IMAGE("https://raw.githubusercontent.com/msikma/pokesprite/master/items-outline/hold-item/lucky-egg.png",1)</f>
        <v/>
      </c>
      <c r="I214" s="638" t="s">
        <v>1071</v>
      </c>
      <c r="J214" s="639"/>
      <c r="K214" s="640">
        <v>0.04</v>
      </c>
      <c r="L214" s="610"/>
      <c r="M214" s="637" t="str">
        <f t="shared" ref="M214:M215" si="23">IMAGE("https://raw.githubusercontent.com/msikma/pokesprite/master/items-outline/hold-item/lucky-egg.png",1)</f>
        <v/>
      </c>
      <c r="N214" s="638" t="s">
        <v>1071</v>
      </c>
      <c r="O214" s="639"/>
      <c r="P214" s="640">
        <v>0.04</v>
      </c>
      <c r="Q214" s="610"/>
      <c r="R214" s="637" t="str">
        <f t="shared" ref="R214:R215" si="24">IMAGE("https://raw.githubusercontent.com/msikma/pokesprite/master/items-outline/hold-item/lucky-egg.png",1)</f>
        <v/>
      </c>
      <c r="S214" s="638" t="s">
        <v>1071</v>
      </c>
      <c r="T214" s="639"/>
      <c r="U214" s="640">
        <v>0.04</v>
      </c>
      <c r="V214" s="610"/>
      <c r="W214" s="637" t="str">
        <f t="shared" ref="W214:W215" si="25">IMAGE("https://raw.githubusercontent.com/msikma/pokesprite/master/items-outline/hold-item/lucky-egg.png",1)</f>
        <v/>
      </c>
      <c r="X214" s="638" t="s">
        <v>1071</v>
      </c>
      <c r="Y214" s="639"/>
      <c r="Z214" s="640">
        <v>0.04</v>
      </c>
      <c r="AA214" s="572"/>
      <c r="AB214" s="560"/>
    </row>
    <row r="215" ht="24.75" customHeight="1">
      <c r="A215" s="556"/>
      <c r="B215" s="577"/>
      <c r="C215" s="641" t="str">
        <f t="shared" si="21"/>
        <v/>
      </c>
      <c r="D215" s="642" t="s">
        <v>1071</v>
      </c>
      <c r="E215" s="643"/>
      <c r="F215" s="644">
        <v>0.01</v>
      </c>
      <c r="G215" s="645"/>
      <c r="H215" s="641" t="str">
        <f t="shared" si="22"/>
        <v/>
      </c>
      <c r="I215" s="642" t="s">
        <v>1071</v>
      </c>
      <c r="J215" s="643"/>
      <c r="K215" s="644">
        <v>0.01</v>
      </c>
      <c r="L215" s="646"/>
      <c r="M215" s="641" t="str">
        <f t="shared" si="23"/>
        <v/>
      </c>
      <c r="N215" s="642" t="s">
        <v>1071</v>
      </c>
      <c r="O215" s="643"/>
      <c r="P215" s="644">
        <v>0.01</v>
      </c>
      <c r="Q215" s="646"/>
      <c r="R215" s="641" t="str">
        <f t="shared" si="24"/>
        <v/>
      </c>
      <c r="S215" s="642" t="s">
        <v>1071</v>
      </c>
      <c r="T215" s="643"/>
      <c r="U215" s="644">
        <v>0.01</v>
      </c>
      <c r="V215" s="646"/>
      <c r="W215" s="641" t="str">
        <f t="shared" si="25"/>
        <v/>
      </c>
      <c r="X215" s="642" t="s">
        <v>1071</v>
      </c>
      <c r="Y215" s="643"/>
      <c r="Z215" s="644">
        <v>0.01</v>
      </c>
      <c r="AA215" s="572"/>
      <c r="AB215" s="560"/>
    </row>
    <row r="216" ht="60.0" customHeight="1">
      <c r="A216" s="556"/>
      <c r="B216" s="577"/>
      <c r="C216" s="680" t="s">
        <v>1127</v>
      </c>
      <c r="Z216" s="588"/>
      <c r="AA216" s="648"/>
      <c r="AB216" s="560"/>
    </row>
    <row r="217" ht="37.5" customHeight="1">
      <c r="A217" s="556"/>
      <c r="B217" s="577"/>
      <c r="C217" s="590" t="s">
        <v>505</v>
      </c>
      <c r="D217" s="168"/>
      <c r="E217" s="591"/>
      <c r="F217" s="592" t="str">
        <f t="array" ref="F217">IFERROR(VLOOKUP(C217,Dex!$B$3:$N689,2,FALSE),"")</f>
        <v/>
      </c>
      <c r="G217" s="593"/>
      <c r="H217" s="590" t="s">
        <v>405</v>
      </c>
      <c r="I217" s="168"/>
      <c r="J217" s="591"/>
      <c r="K217" s="592" t="str">
        <f t="array" ref="K217">IFERROR(VLOOKUP(H217,Dex!$B$3:$N689,2,FALSE),"")</f>
        <v/>
      </c>
      <c r="L217" s="594"/>
      <c r="M217" s="590" t="s">
        <v>614</v>
      </c>
      <c r="N217" s="168"/>
      <c r="O217" s="591"/>
      <c r="P217" s="592" t="str">
        <f t="array" ref="P217">IFERROR(VLOOKUP(M217,Dex!$B$3:$N689,2,FALSE),"")</f>
        <v/>
      </c>
      <c r="Q217" s="594"/>
      <c r="R217" s="590" t="s">
        <v>740</v>
      </c>
      <c r="S217" s="168"/>
      <c r="T217" s="591"/>
      <c r="U217" s="592" t="str">
        <f t="array" ref="U217">IFERROR(VLOOKUP(R217,Dex!$B$3:$N689,2,FALSE),"")</f>
        <v/>
      </c>
      <c r="V217" s="594"/>
      <c r="W217" s="590" t="s">
        <v>1128</v>
      </c>
      <c r="X217" s="168"/>
      <c r="Y217" s="591"/>
      <c r="Z217" s="592" t="str">
        <f t="array" ref="Z217">IFERROR(VLOOKUP(W217,Dex!$B$3:$N689,2,FALSE),"")</f>
        <v/>
      </c>
      <c r="AA217" s="572"/>
      <c r="AB217" s="560"/>
    </row>
    <row r="218">
      <c r="A218" s="595"/>
      <c r="B218" s="596"/>
      <c r="C218" s="597" t="s">
        <v>1056</v>
      </c>
      <c r="D218" s="598"/>
      <c r="E218" s="599"/>
      <c r="F218" s="600" t="s">
        <v>1057</v>
      </c>
      <c r="G218" s="601"/>
      <c r="H218" s="597" t="s">
        <v>1056</v>
      </c>
      <c r="I218" s="598"/>
      <c r="J218" s="599"/>
      <c r="K218" s="600" t="s">
        <v>1057</v>
      </c>
      <c r="L218" s="602"/>
      <c r="M218" s="597" t="s">
        <v>1056</v>
      </c>
      <c r="N218" s="598"/>
      <c r="O218" s="599"/>
      <c r="P218" s="600" t="s">
        <v>1057</v>
      </c>
      <c r="Q218" s="602"/>
      <c r="R218" s="597" t="s">
        <v>1056</v>
      </c>
      <c r="S218" s="598"/>
      <c r="T218" s="599"/>
      <c r="U218" s="600" t="s">
        <v>1057</v>
      </c>
      <c r="V218" s="602"/>
      <c r="W218" s="597" t="s">
        <v>1056</v>
      </c>
      <c r="X218" s="598"/>
      <c r="Y218" s="599"/>
      <c r="Z218" s="600" t="s">
        <v>1057</v>
      </c>
      <c r="AA218" s="603"/>
      <c r="AB218" s="604"/>
    </row>
    <row r="219" ht="24.0" customHeight="1">
      <c r="A219" s="556"/>
      <c r="B219" s="577"/>
      <c r="C219" s="605" t="str">
        <f>IMAGE("https://raw.githubusercontent.com/msikma/pokesprite/master/items-outline/valuable-item/stardust.png",1)</f>
        <v/>
      </c>
      <c r="D219" s="606" t="s">
        <v>1059</v>
      </c>
      <c r="E219" s="607"/>
      <c r="F219" s="608">
        <v>1.0</v>
      </c>
      <c r="G219" s="609"/>
      <c r="H219" s="605" t="str">
        <f>IMAGE("https://raw.githubusercontent.com/msikma/pokesprite/master/items-outline/valuable-item/stardust.png",1)</f>
        <v/>
      </c>
      <c r="I219" s="606" t="s">
        <v>1059</v>
      </c>
      <c r="J219" s="607"/>
      <c r="K219" s="608">
        <v>1.0</v>
      </c>
      <c r="L219" s="610"/>
      <c r="M219" s="605" t="str">
        <f>IMAGE("https://raw.githubusercontent.com/msikma/pokesprite/master/items-outline/valuable-item/stardust.png",1)</f>
        <v/>
      </c>
      <c r="N219" s="606" t="s">
        <v>1059</v>
      </c>
      <c r="O219" s="607"/>
      <c r="P219" s="608">
        <v>1.0</v>
      </c>
      <c r="Q219" s="610"/>
      <c r="R219" s="605" t="str">
        <f>IMAGE("https://raw.githubusercontent.com/msikma/pokesprite/master/items-outline/valuable-item/stardust.png",1)</f>
        <v/>
      </c>
      <c r="S219" s="606" t="s">
        <v>1059</v>
      </c>
      <c r="T219" s="607"/>
      <c r="U219" s="608">
        <v>1.0</v>
      </c>
      <c r="V219" s="610"/>
      <c r="W219" s="605" t="str">
        <f>IMAGE("https://raw.githubusercontent.com/msikma/pokesprite/master/items-outline/valuable-item/stardust.png",1)</f>
        <v/>
      </c>
      <c r="X219" s="606" t="s">
        <v>1059</v>
      </c>
      <c r="Y219" s="607"/>
      <c r="Z219" s="608">
        <v>1.0</v>
      </c>
      <c r="AA219" s="572"/>
      <c r="AB219" s="560"/>
    </row>
    <row r="220" ht="24.0" customHeight="1">
      <c r="A220" s="556"/>
      <c r="B220" s="577"/>
      <c r="C220" s="611" t="str">
        <f>IMAGE("https://raw.githubusercontent.com/msikma/pokesprite/master/items-outline/ball/dusk.png",1)</f>
        <v/>
      </c>
      <c r="D220" s="612" t="s">
        <v>1129</v>
      </c>
      <c r="E220" s="613"/>
      <c r="F220" s="614">
        <v>0.8</v>
      </c>
      <c r="G220" s="609"/>
      <c r="H220" s="611" t="str">
        <f>IMAGE("https://raw.githubusercontent.com/msikma/pokesprite/master/items-outline/ball/dusk.png",1)</f>
        <v/>
      </c>
      <c r="I220" s="612" t="s">
        <v>1129</v>
      </c>
      <c r="J220" s="613"/>
      <c r="K220" s="614">
        <v>0.8</v>
      </c>
      <c r="L220" s="610"/>
      <c r="M220" s="611" t="str">
        <f>IMAGE("https://raw.githubusercontent.com/msikma/pokesprite/master/items-outline/ball/dusk.png",1)</f>
        <v/>
      </c>
      <c r="N220" s="612" t="s">
        <v>1129</v>
      </c>
      <c r="O220" s="613"/>
      <c r="P220" s="614">
        <v>0.8</v>
      </c>
      <c r="Q220" s="610"/>
      <c r="R220" s="611" t="str">
        <f>IMAGE("https://raw.githubusercontent.com/msikma/pokesprite/master/items-outline/ball/dusk.png",1)</f>
        <v/>
      </c>
      <c r="S220" s="612" t="s">
        <v>1129</v>
      </c>
      <c r="T220" s="613"/>
      <c r="U220" s="614">
        <v>0.8</v>
      </c>
      <c r="V220" s="610"/>
      <c r="W220" s="611" t="str">
        <f>IMAGE("https://raw.githubusercontent.com/msikma/pokesprite/master/items-outline/ball/dusk.png",1)</f>
        <v/>
      </c>
      <c r="X220" s="612" t="s">
        <v>1129</v>
      </c>
      <c r="Y220" s="613"/>
      <c r="Z220" s="614">
        <v>0.8</v>
      </c>
      <c r="AA220" s="572"/>
      <c r="AB220" s="560"/>
    </row>
    <row r="221" ht="24.0" customHeight="1">
      <c r="A221" s="556"/>
      <c r="B221" s="577"/>
      <c r="C221" s="615" t="str">
        <f>IMAGE("https://raw.githubusercontent.com/msikma/pokesprite/master/items-outline/berry/payapa.png",1)</f>
        <v/>
      </c>
      <c r="D221" s="616" t="s">
        <v>1130</v>
      </c>
      <c r="E221" s="617"/>
      <c r="F221" s="618">
        <v>0.8</v>
      </c>
      <c r="G221" s="609"/>
      <c r="H221" s="615" t="str">
        <f>IMAGE("https://raw.githubusercontent.com/msikma/pokesprite/master/items-outline/berry/payapa.png",1)</f>
        <v/>
      </c>
      <c r="I221" s="616" t="s">
        <v>1130</v>
      </c>
      <c r="J221" s="617"/>
      <c r="K221" s="618">
        <v>0.8</v>
      </c>
      <c r="L221" s="610"/>
      <c r="M221" s="615" t="str">
        <f>IMAGE("https://raw.githubusercontent.com/msikma/pokesprite/master/items-outline/berry/payapa.png",1)</f>
        <v/>
      </c>
      <c r="N221" s="616" t="s">
        <v>1130</v>
      </c>
      <c r="O221" s="617"/>
      <c r="P221" s="618">
        <v>0.8</v>
      </c>
      <c r="Q221" s="610"/>
      <c r="R221" s="615" t="str">
        <f>IMAGE("https://raw.githubusercontent.com/msikma/pokesprite/master/items-outline/berry/payapa.png",1)</f>
        <v/>
      </c>
      <c r="S221" s="616" t="s">
        <v>1130</v>
      </c>
      <c r="T221" s="617"/>
      <c r="U221" s="618">
        <v>0.8</v>
      </c>
      <c r="V221" s="610"/>
      <c r="W221" s="615" t="str">
        <f>IMAGE("https://raw.githubusercontent.com/msikma/pokesprite/master/items-outline/berry/payapa.png",1)</f>
        <v/>
      </c>
      <c r="X221" s="616" t="s">
        <v>1130</v>
      </c>
      <c r="Y221" s="617"/>
      <c r="Z221" s="618">
        <v>0.8</v>
      </c>
      <c r="AA221" s="572"/>
      <c r="AB221" s="560"/>
    </row>
    <row r="222" ht="24.0" customHeight="1">
      <c r="A222" s="556"/>
      <c r="B222" s="577"/>
      <c r="C222" s="619" t="str">
        <f>IMAGE("https://raw.githubusercontent.com/msikma/pokesprite/master/items-outline/shard/blue.png",4, 40, 40)</f>
        <v/>
      </c>
      <c r="D222" s="620" t="s">
        <v>1112</v>
      </c>
      <c r="E222" s="621"/>
      <c r="F222" s="622">
        <v>0.5</v>
      </c>
      <c r="G222" s="609"/>
      <c r="H222" s="619" t="str">
        <f>IMAGE("https://raw.githubusercontent.com/msikma/pokesprite/master/items-outline/shard/green.png",4, 40, 40)</f>
        <v/>
      </c>
      <c r="I222" s="620" t="s">
        <v>1110</v>
      </c>
      <c r="J222" s="621"/>
      <c r="K222" s="622">
        <v>0.5</v>
      </c>
      <c r="L222" s="610"/>
      <c r="M222" s="619" t="str">
        <f>IMAGE("https://raw.githubusercontent.com/msikma/pokesprite/master/items-outline/shard/yellow.png",4, 40, 40)</f>
        <v/>
      </c>
      <c r="N222" s="620" t="s">
        <v>1109</v>
      </c>
      <c r="O222" s="621"/>
      <c r="P222" s="622">
        <v>0.5</v>
      </c>
      <c r="Q222" s="610"/>
      <c r="R222" s="619" t="str">
        <f>IMAGE("https://raw.githubusercontent.com/msikma/pokesprite/master/items-outline/shard/red.png",4, 40, 40)</f>
        <v/>
      </c>
      <c r="S222" s="620" t="s">
        <v>1111</v>
      </c>
      <c r="T222" s="621"/>
      <c r="U222" s="622">
        <v>0.5</v>
      </c>
      <c r="V222" s="610"/>
      <c r="W222" s="619" t="str">
        <f>IMAGE("https://raw.githubusercontent.com/msikma/pokesprite/master/items-outline/shard/blue.png",4, 40, 40)</f>
        <v/>
      </c>
      <c r="X222" s="620" t="s">
        <v>1112</v>
      </c>
      <c r="Y222" s="621"/>
      <c r="Z222" s="622">
        <v>0.5</v>
      </c>
      <c r="AA222" s="572"/>
      <c r="AB222" s="560"/>
    </row>
    <row r="223" ht="24.0" customHeight="1">
      <c r="A223" s="556"/>
      <c r="B223" s="577"/>
      <c r="C223" s="623" t="str">
        <f>IMAGE("https://raw.githubusercontent.com/msikma/pokesprite/master/items-outline/valuable-item/star-piece.png",1)</f>
        <v/>
      </c>
      <c r="D223" s="624" t="s">
        <v>1108</v>
      </c>
      <c r="E223" s="625"/>
      <c r="F223" s="626">
        <v>0.5</v>
      </c>
      <c r="G223" s="609"/>
      <c r="H223" s="623" t="str">
        <f>IMAGE("https://raw.githubusercontent.com/msikma/pokesprite/master/items-outline/valuable-item/star-piece.png",1)</f>
        <v/>
      </c>
      <c r="I223" s="624" t="s">
        <v>1108</v>
      </c>
      <c r="J223" s="625"/>
      <c r="K223" s="626">
        <v>0.5</v>
      </c>
      <c r="L223" s="610"/>
      <c r="M223" s="623" t="str">
        <f>IMAGE("https://raw.githubusercontent.com/msikma/pokesprite/master/items-outline/valuable-item/star-piece.png",1)</f>
        <v/>
      </c>
      <c r="N223" s="624" t="s">
        <v>1108</v>
      </c>
      <c r="O223" s="625"/>
      <c r="P223" s="626">
        <v>0.5</v>
      </c>
      <c r="Q223" s="610"/>
      <c r="R223" s="623" t="str">
        <f>IMAGE("https://raw.githubusercontent.com/msikma/pokesprite/master/items-outline/valuable-item/star-piece.png",1)</f>
        <v/>
      </c>
      <c r="S223" s="624" t="s">
        <v>1108</v>
      </c>
      <c r="T223" s="625"/>
      <c r="U223" s="626">
        <v>0.5</v>
      </c>
      <c r="V223" s="610"/>
      <c r="W223" s="623" t="str">
        <f>IMAGE("https://raw.githubusercontent.com/msikma/pokesprite/master/items-outline/valuable-item/star-piece.png",1)</f>
        <v/>
      </c>
      <c r="X223" s="624" t="s">
        <v>1108</v>
      </c>
      <c r="Y223" s="625"/>
      <c r="Z223" s="626">
        <v>0.5</v>
      </c>
      <c r="AA223" s="572"/>
      <c r="AB223" s="560"/>
    </row>
    <row r="224" ht="24.0" customHeight="1">
      <c r="A224" s="556"/>
      <c r="B224" s="577"/>
      <c r="C224" s="611" t="str">
        <f>IMAGE("https://raw.githubusercontent.com/msikma/pokesprite/master/items-outline/valuable-item/nugget.png",1)</f>
        <v/>
      </c>
      <c r="D224" s="612" t="s">
        <v>1084</v>
      </c>
      <c r="E224" s="613"/>
      <c r="F224" s="627">
        <v>0.3</v>
      </c>
      <c r="G224" s="609"/>
      <c r="H224" s="611" t="str">
        <f>IMAGE("https://raw.githubusercontent.com/msikma/pokesprite/master/items-outline/valuable-item/nugget.png",1)</f>
        <v/>
      </c>
      <c r="I224" s="612" t="s">
        <v>1084</v>
      </c>
      <c r="J224" s="613"/>
      <c r="K224" s="627">
        <v>0.3</v>
      </c>
      <c r="L224" s="610"/>
      <c r="M224" s="611" t="str">
        <f>IMAGE("https://raw.githubusercontent.com/msikma/pokesprite/master/items-outline/valuable-item/nugget.png",1)</f>
        <v/>
      </c>
      <c r="N224" s="612" t="s">
        <v>1084</v>
      </c>
      <c r="O224" s="613"/>
      <c r="P224" s="627">
        <v>0.3</v>
      </c>
      <c r="Q224" s="610"/>
      <c r="R224" s="611" t="str">
        <f>IMAGE("https://raw.githubusercontent.com/msikma/pokesprite/master/items-outline/valuable-item/nugget.png",1)</f>
        <v/>
      </c>
      <c r="S224" s="612" t="s">
        <v>1084</v>
      </c>
      <c r="T224" s="613"/>
      <c r="U224" s="627">
        <v>0.3</v>
      </c>
      <c r="V224" s="610"/>
      <c r="W224" s="611" t="str">
        <f>IMAGE("https://raw.githubusercontent.com/msikma/pokesprite/master/items-outline/valuable-item/nugget.png",1)</f>
        <v/>
      </c>
      <c r="X224" s="612" t="s">
        <v>1084</v>
      </c>
      <c r="Y224" s="613"/>
      <c r="Z224" s="627">
        <v>0.3</v>
      </c>
      <c r="AA224" s="572"/>
      <c r="AB224" s="560"/>
    </row>
    <row r="225" ht="24.0" customHeight="1">
      <c r="A225" s="556"/>
      <c r="B225" s="577"/>
      <c r="C225" s="615"/>
      <c r="D225" s="616" t="s">
        <v>1068</v>
      </c>
      <c r="E225" s="617"/>
      <c r="F225" s="628">
        <v>0.3</v>
      </c>
      <c r="G225" s="609"/>
      <c r="H225" s="615"/>
      <c r="I225" s="616" t="s">
        <v>1068</v>
      </c>
      <c r="J225" s="617"/>
      <c r="K225" s="628">
        <v>0.3</v>
      </c>
      <c r="L225" s="610"/>
      <c r="M225" s="615"/>
      <c r="N225" s="616" t="s">
        <v>1068</v>
      </c>
      <c r="O225" s="617"/>
      <c r="P225" s="628">
        <v>0.3</v>
      </c>
      <c r="Q225" s="610"/>
      <c r="R225" s="615"/>
      <c r="S225" s="616" t="s">
        <v>1068</v>
      </c>
      <c r="T225" s="617"/>
      <c r="U225" s="628">
        <v>0.3</v>
      </c>
      <c r="V225" s="610"/>
      <c r="W225" s="615"/>
      <c r="X225" s="616" t="s">
        <v>1068</v>
      </c>
      <c r="Y225" s="617"/>
      <c r="Z225" s="628">
        <v>0.3</v>
      </c>
      <c r="AA225" s="572"/>
      <c r="AB225" s="560"/>
    </row>
    <row r="226" ht="24.0" customHeight="1">
      <c r="A226" s="556"/>
      <c r="B226" s="577"/>
      <c r="C226" s="619" t="str">
        <f>IMAGE("https://raw.githubusercontent.com/msikma/pokesprite/master/items-outline/medicine/pp-up.png",1)</f>
        <v/>
      </c>
      <c r="D226" s="620" t="s">
        <v>1070</v>
      </c>
      <c r="E226" s="621"/>
      <c r="F226" s="629">
        <v>0.25</v>
      </c>
      <c r="G226" s="609"/>
      <c r="H226" s="619" t="str">
        <f>IMAGE("https://raw.githubusercontent.com/msikma/pokesprite/master/items-outline/medicine/pp-up.png",1)</f>
        <v/>
      </c>
      <c r="I226" s="620" t="s">
        <v>1070</v>
      </c>
      <c r="J226" s="621"/>
      <c r="K226" s="629">
        <v>0.25</v>
      </c>
      <c r="L226" s="610"/>
      <c r="M226" s="619" t="str">
        <f>IMAGE("https://raw.githubusercontent.com/msikma/pokesprite/master/items-outline/medicine/pp-up.png",1)</f>
        <v/>
      </c>
      <c r="N226" s="620" t="s">
        <v>1070</v>
      </c>
      <c r="O226" s="621"/>
      <c r="P226" s="629">
        <v>0.25</v>
      </c>
      <c r="Q226" s="610"/>
      <c r="R226" s="619" t="str">
        <f>IMAGE("https://raw.githubusercontent.com/msikma/pokesprite/master/items-outline/medicine/pp-up.png",1)</f>
        <v/>
      </c>
      <c r="S226" s="620" t="s">
        <v>1070</v>
      </c>
      <c r="T226" s="621"/>
      <c r="U226" s="629">
        <v>0.25</v>
      </c>
      <c r="V226" s="610"/>
      <c r="W226" s="619" t="str">
        <f>IMAGE("https://raw.githubusercontent.com/msikma/pokesprite/master/items-outline/medicine/pp-up.png",1)</f>
        <v/>
      </c>
      <c r="X226" s="620" t="s">
        <v>1070</v>
      </c>
      <c r="Y226" s="621"/>
      <c r="Z226" s="629">
        <v>0.25</v>
      </c>
      <c r="AA226" s="572"/>
      <c r="AB226" s="560"/>
    </row>
    <row r="227" ht="24.0" customHeight="1">
      <c r="A227" s="556"/>
      <c r="B227" s="577"/>
      <c r="C227" s="623" t="str">
        <f>IMAGE("https://raw.githubusercontent.com/msikma/pokesprite/master/items-outline/ball/dream.png",1)</f>
        <v/>
      </c>
      <c r="D227" s="630" t="s">
        <v>1117</v>
      </c>
      <c r="E227" s="625"/>
      <c r="F227" s="631">
        <v>0.25</v>
      </c>
      <c r="G227" s="609"/>
      <c r="H227" s="623" t="str">
        <f>IMAGE("https://raw.githubusercontent.com/msikma/pokesprite/master/items-outline/ball/dream.png",1)</f>
        <v/>
      </c>
      <c r="I227" s="630" t="s">
        <v>1117</v>
      </c>
      <c r="J227" s="625"/>
      <c r="K227" s="631">
        <v>0.25</v>
      </c>
      <c r="L227" s="610"/>
      <c r="M227" s="623" t="str">
        <f>IMAGE("https://raw.githubusercontent.com/msikma/pokesprite/master/items-outline/ball/dream.png",1)</f>
        <v/>
      </c>
      <c r="N227" s="630" t="s">
        <v>1117</v>
      </c>
      <c r="O227" s="625"/>
      <c r="P227" s="631">
        <v>0.25</v>
      </c>
      <c r="Q227" s="610"/>
      <c r="R227" s="623" t="str">
        <f>IMAGE("https://raw.githubusercontent.com/msikma/pokesprite/master/items-outline/ball/dream.png",1)</f>
        <v/>
      </c>
      <c r="S227" s="630" t="s">
        <v>1117</v>
      </c>
      <c r="T227" s="625"/>
      <c r="U227" s="631">
        <v>0.25</v>
      </c>
      <c r="V227" s="610"/>
      <c r="W227" s="623" t="str">
        <f>IMAGE("https://raw.githubusercontent.com/msikma/pokesprite/master/items-outline/ball/dream.png",1)</f>
        <v/>
      </c>
      <c r="X227" s="630" t="s">
        <v>1117</v>
      </c>
      <c r="Y227" s="625"/>
      <c r="Z227" s="631">
        <v>0.25</v>
      </c>
      <c r="AA227" s="572"/>
      <c r="AB227" s="560"/>
    </row>
    <row r="228" ht="24.0" customHeight="1">
      <c r="A228" s="556"/>
      <c r="B228" s="577"/>
      <c r="C228" s="632" t="str">
        <f>IMAGE("https://raw.githubusercontent.com/msikma/pokesprite/master/items-outline/valuable-item/big-nugget.png",1)</f>
        <v/>
      </c>
      <c r="D228" s="633" t="s">
        <v>1131</v>
      </c>
      <c r="E228" s="634"/>
      <c r="F228" s="635">
        <v>0.05</v>
      </c>
      <c r="G228" s="636"/>
      <c r="H228" s="632" t="str">
        <f>IMAGE("https://raw.githubusercontent.com/msikma/pokesprite/master/items-outline/valuable-item/big-nugget.png",1)</f>
        <v/>
      </c>
      <c r="I228" s="633" t="s">
        <v>1131</v>
      </c>
      <c r="J228" s="634"/>
      <c r="K228" s="635">
        <v>0.05</v>
      </c>
      <c r="L228" s="610"/>
      <c r="M228" s="632" t="str">
        <f>IMAGE("https://raw.githubusercontent.com/msikma/pokesprite/master/items-outline/valuable-item/big-nugget.png",1)</f>
        <v/>
      </c>
      <c r="N228" s="633" t="s">
        <v>1131</v>
      </c>
      <c r="O228" s="634"/>
      <c r="P228" s="635">
        <v>0.05</v>
      </c>
      <c r="Q228" s="610"/>
      <c r="R228" s="632" t="str">
        <f>IMAGE("https://raw.githubusercontent.com/msikma/pokesprite/master/items-outline/valuable-item/big-nugget.png",1)</f>
        <v/>
      </c>
      <c r="S228" s="633" t="s">
        <v>1131</v>
      </c>
      <c r="T228" s="634"/>
      <c r="U228" s="635">
        <v>0.05</v>
      </c>
      <c r="V228" s="610"/>
      <c r="W228" s="632" t="str">
        <f>IMAGE("https://raw.githubusercontent.com/msikma/pokesprite/master/items-outline/valuable-item/big-nugget.png",1)</f>
        <v/>
      </c>
      <c r="X228" s="633" t="s">
        <v>1131</v>
      </c>
      <c r="Y228" s="634"/>
      <c r="Z228" s="635">
        <v>0.05</v>
      </c>
      <c r="AA228" s="572"/>
      <c r="AB228" s="560"/>
    </row>
    <row r="229" ht="24.0" customHeight="1">
      <c r="A229" s="556"/>
      <c r="B229" s="577"/>
      <c r="C229" s="637" t="str">
        <f t="shared" ref="C229:C230" si="26">IMAGE("https://raw.githubusercontent.com/msikma/pokesprite/master/items-outline/hold-item/lucky-egg.png",1)</f>
        <v/>
      </c>
      <c r="D229" s="638" t="s">
        <v>1071</v>
      </c>
      <c r="E229" s="639"/>
      <c r="F229" s="640">
        <v>0.04</v>
      </c>
      <c r="G229" s="636"/>
      <c r="H229" s="637" t="str">
        <f t="shared" ref="H229:H230" si="27">IMAGE("https://raw.githubusercontent.com/msikma/pokesprite/master/items-outline/hold-item/lucky-egg.png",1)</f>
        <v/>
      </c>
      <c r="I229" s="638" t="s">
        <v>1071</v>
      </c>
      <c r="J229" s="639"/>
      <c r="K229" s="640">
        <v>0.04</v>
      </c>
      <c r="L229" s="610"/>
      <c r="M229" s="637" t="str">
        <f t="shared" ref="M229:M230" si="28">IMAGE("https://raw.githubusercontent.com/msikma/pokesprite/master/items-outline/hold-item/lucky-egg.png",1)</f>
        <v/>
      </c>
      <c r="N229" s="638" t="s">
        <v>1071</v>
      </c>
      <c r="O229" s="639"/>
      <c r="P229" s="640">
        <v>0.04</v>
      </c>
      <c r="Q229" s="610"/>
      <c r="R229" s="637" t="str">
        <f t="shared" ref="R229:R230" si="29">IMAGE("https://raw.githubusercontent.com/msikma/pokesprite/master/items-outline/hold-item/lucky-egg.png",1)</f>
        <v/>
      </c>
      <c r="S229" s="638" t="s">
        <v>1071</v>
      </c>
      <c r="T229" s="639"/>
      <c r="U229" s="640">
        <v>0.04</v>
      </c>
      <c r="V229" s="610"/>
      <c r="W229" s="637" t="str">
        <f t="shared" ref="W229:W230" si="30">IMAGE("https://raw.githubusercontent.com/msikma/pokesprite/master/items-outline/hold-item/lucky-egg.png",1)</f>
        <v/>
      </c>
      <c r="X229" s="638" t="s">
        <v>1071</v>
      </c>
      <c r="Y229" s="639"/>
      <c r="Z229" s="640">
        <v>0.04</v>
      </c>
      <c r="AA229" s="572"/>
      <c r="AB229" s="560"/>
    </row>
    <row r="230" ht="24.75" customHeight="1">
      <c r="A230" s="556"/>
      <c r="B230" s="577"/>
      <c r="C230" s="641" t="str">
        <f t="shared" si="26"/>
        <v/>
      </c>
      <c r="D230" s="642" t="s">
        <v>1071</v>
      </c>
      <c r="E230" s="643"/>
      <c r="F230" s="644">
        <v>0.01</v>
      </c>
      <c r="G230" s="645"/>
      <c r="H230" s="641" t="str">
        <f t="shared" si="27"/>
        <v/>
      </c>
      <c r="I230" s="642" t="s">
        <v>1071</v>
      </c>
      <c r="J230" s="643"/>
      <c r="K230" s="644">
        <v>0.01</v>
      </c>
      <c r="L230" s="646"/>
      <c r="M230" s="641" t="str">
        <f t="shared" si="28"/>
        <v/>
      </c>
      <c r="N230" s="642" t="s">
        <v>1071</v>
      </c>
      <c r="O230" s="643"/>
      <c r="P230" s="644">
        <v>0.01</v>
      </c>
      <c r="Q230" s="646"/>
      <c r="R230" s="641" t="str">
        <f t="shared" si="29"/>
        <v/>
      </c>
      <c r="S230" s="642" t="s">
        <v>1071</v>
      </c>
      <c r="T230" s="643"/>
      <c r="U230" s="644">
        <v>0.01</v>
      </c>
      <c r="V230" s="646"/>
      <c r="W230" s="641" t="str">
        <f t="shared" si="30"/>
        <v/>
      </c>
      <c r="X230" s="642" t="s">
        <v>1071</v>
      </c>
      <c r="Y230" s="643"/>
      <c r="Z230" s="644">
        <v>0.01</v>
      </c>
      <c r="AA230" s="572"/>
      <c r="AB230" s="560"/>
    </row>
    <row r="231" ht="60.0" customHeight="1">
      <c r="A231" s="556"/>
      <c r="B231" s="577"/>
      <c r="C231" s="680" t="s">
        <v>1132</v>
      </c>
      <c r="Z231" s="588"/>
      <c r="AA231" s="648"/>
      <c r="AB231" s="560"/>
    </row>
    <row r="232" ht="37.5" customHeight="1">
      <c r="A232" s="556"/>
      <c r="B232" s="577"/>
      <c r="C232" s="590" t="s">
        <v>370</v>
      </c>
      <c r="D232" s="168"/>
      <c r="E232" s="591"/>
      <c r="F232" s="592" t="str">
        <f t="array" ref="F232">IFERROR(VLOOKUP(C232,Dex!$B$3:$N689,2,FALSE),"")</f>
        <v/>
      </c>
      <c r="G232" s="593"/>
      <c r="H232" s="590" t="s">
        <v>458</v>
      </c>
      <c r="I232" s="168"/>
      <c r="J232" s="591"/>
      <c r="K232" s="592" t="str">
        <f t="array" ref="K232">IFERROR(VLOOKUP(H232,Dex!$B$3:$N689,2,FALSE),"")</f>
        <v/>
      </c>
      <c r="L232" s="594"/>
      <c r="M232" s="590" t="s">
        <v>185</v>
      </c>
      <c r="N232" s="168"/>
      <c r="O232" s="591"/>
      <c r="P232" s="592" t="str">
        <f t="array" ref="P232">IFERROR(VLOOKUP(M232,Dex!$B$3:$N689,2,FALSE),"")</f>
        <v/>
      </c>
      <c r="Q232" s="594"/>
      <c r="R232" s="590" t="s">
        <v>462</v>
      </c>
      <c r="S232" s="168"/>
      <c r="T232" s="591"/>
      <c r="U232" s="592" t="str">
        <f t="array" ref="U232">IFERROR(VLOOKUP(R232,Dex!$B$3:$N689,2,FALSE),"")</f>
        <v/>
      </c>
      <c r="V232" s="594"/>
      <c r="W232" s="590" t="s">
        <v>739</v>
      </c>
      <c r="X232" s="168"/>
      <c r="Y232" s="591"/>
      <c r="Z232" s="592" t="str">
        <f t="array" ref="Z232">IFERROR(VLOOKUP(W232,Dex!$B$3:$N689,2,FALSE),"")</f>
        <v/>
      </c>
      <c r="AA232" s="572"/>
      <c r="AB232" s="560"/>
    </row>
    <row r="233">
      <c r="A233" s="595"/>
      <c r="B233" s="596"/>
      <c r="C233" s="597" t="s">
        <v>1056</v>
      </c>
      <c r="D233" s="598"/>
      <c r="E233" s="599"/>
      <c r="F233" s="600" t="s">
        <v>1057</v>
      </c>
      <c r="G233" s="601"/>
      <c r="H233" s="597" t="s">
        <v>1056</v>
      </c>
      <c r="I233" s="598"/>
      <c r="J233" s="599"/>
      <c r="K233" s="600" t="s">
        <v>1057</v>
      </c>
      <c r="L233" s="602"/>
      <c r="M233" s="597" t="s">
        <v>1056</v>
      </c>
      <c r="N233" s="598"/>
      <c r="O233" s="599"/>
      <c r="P233" s="600" t="s">
        <v>1057</v>
      </c>
      <c r="Q233" s="602"/>
      <c r="R233" s="597" t="s">
        <v>1056</v>
      </c>
      <c r="S233" s="598"/>
      <c r="T233" s="599"/>
      <c r="U233" s="600" t="s">
        <v>1057</v>
      </c>
      <c r="V233" s="602"/>
      <c r="W233" s="597" t="s">
        <v>1056</v>
      </c>
      <c r="X233" s="598"/>
      <c r="Y233" s="599"/>
      <c r="Z233" s="600" t="s">
        <v>1057</v>
      </c>
      <c r="AA233" s="603"/>
      <c r="AB233" s="604"/>
    </row>
    <row r="234" ht="24.0" customHeight="1">
      <c r="A234" s="556"/>
      <c r="B234" s="577"/>
      <c r="C234" s="605" t="str">
        <f>IMAGE("https://raw.githubusercontent.com/msikma/pokesprite/master/items-outline/valuable-item/stardust.png",1)</f>
        <v/>
      </c>
      <c r="D234" s="606" t="s">
        <v>1059</v>
      </c>
      <c r="E234" s="607"/>
      <c r="F234" s="608">
        <v>1.0</v>
      </c>
      <c r="G234" s="609"/>
      <c r="H234" s="605" t="str">
        <f>IMAGE("https://raw.githubusercontent.com/msikma/pokesprite/master/items-outline/valuable-item/stardust.png",1)</f>
        <v/>
      </c>
      <c r="I234" s="606" t="s">
        <v>1059</v>
      </c>
      <c r="J234" s="607"/>
      <c r="K234" s="608">
        <v>1.0</v>
      </c>
      <c r="L234" s="610"/>
      <c r="M234" s="605" t="str">
        <f>IMAGE("https://raw.githubusercontent.com/msikma/pokesprite/master/items-outline/valuable-item/stardust.png",1)</f>
        <v/>
      </c>
      <c r="N234" s="606" t="s">
        <v>1059</v>
      </c>
      <c r="O234" s="607"/>
      <c r="P234" s="608">
        <v>1.0</v>
      </c>
      <c r="Q234" s="610"/>
      <c r="R234" s="605" t="str">
        <f>IMAGE("https://raw.githubusercontent.com/msikma/pokesprite/master/items-outline/valuable-item/stardust.png",1)</f>
        <v/>
      </c>
      <c r="S234" s="606" t="s">
        <v>1059</v>
      </c>
      <c r="T234" s="607"/>
      <c r="U234" s="608">
        <v>1.0</v>
      </c>
      <c r="V234" s="610"/>
      <c r="W234" s="605" t="str">
        <f>IMAGE("https://raw.githubusercontent.com/msikma/pokesprite/master/items-outline/valuable-item/stardust.png",1)</f>
        <v/>
      </c>
      <c r="X234" s="606" t="s">
        <v>1059</v>
      </c>
      <c r="Y234" s="607"/>
      <c r="Z234" s="608">
        <v>1.0</v>
      </c>
      <c r="AA234" s="572"/>
      <c r="AB234" s="560"/>
    </row>
    <row r="235" ht="24.0" customHeight="1">
      <c r="A235" s="556"/>
      <c r="B235" s="577"/>
      <c r="C235" s="611" t="str">
        <f>IMAGE("https://raw.githubusercontent.com/msikma/pokesprite/master/items-outline/ball/dusk.png",1)</f>
        <v/>
      </c>
      <c r="D235" s="612" t="s">
        <v>1129</v>
      </c>
      <c r="E235" s="613"/>
      <c r="F235" s="614">
        <v>0.8</v>
      </c>
      <c r="G235" s="609"/>
      <c r="H235" s="611" t="str">
        <f>IMAGE("https://raw.githubusercontent.com/msikma/pokesprite/master/items-outline/ball/dusk.png",1)</f>
        <v/>
      </c>
      <c r="I235" s="612" t="s">
        <v>1129</v>
      </c>
      <c r="J235" s="613"/>
      <c r="K235" s="614">
        <v>0.8</v>
      </c>
      <c r="L235" s="610"/>
      <c r="M235" s="611" t="str">
        <f>IMAGE("https://raw.githubusercontent.com/msikma/pokesprite/master/items-outline/ball/dusk.png",1)</f>
        <v/>
      </c>
      <c r="N235" s="612" t="s">
        <v>1129</v>
      </c>
      <c r="O235" s="613"/>
      <c r="P235" s="614">
        <v>0.8</v>
      </c>
      <c r="Q235" s="610"/>
      <c r="R235" s="611" t="str">
        <f>IMAGE("https://raw.githubusercontent.com/msikma/pokesprite/master/items-outline/ball/dusk.png",1)</f>
        <v/>
      </c>
      <c r="S235" s="612" t="s">
        <v>1129</v>
      </c>
      <c r="T235" s="613"/>
      <c r="U235" s="614">
        <v>0.8</v>
      </c>
      <c r="V235" s="610"/>
      <c r="W235" s="611" t="str">
        <f>IMAGE("https://raw.githubusercontent.com/msikma/pokesprite/master/items-outline/ball/dusk.png",1)</f>
        <v/>
      </c>
      <c r="X235" s="612" t="s">
        <v>1129</v>
      </c>
      <c r="Y235" s="613"/>
      <c r="Z235" s="614">
        <v>0.8</v>
      </c>
      <c r="AA235" s="572"/>
      <c r="AB235" s="560"/>
    </row>
    <row r="236" ht="24.0" customHeight="1">
      <c r="A236" s="556"/>
      <c r="B236" s="577"/>
      <c r="C236" s="615" t="str">
        <f>IMAGE("https://raw.githubusercontent.com/msikma/pokesprite/master/items-outline/berry/rindo.png",1)</f>
        <v/>
      </c>
      <c r="D236" s="616" t="s">
        <v>1133</v>
      </c>
      <c r="E236" s="617"/>
      <c r="F236" s="618">
        <v>0.8</v>
      </c>
      <c r="G236" s="609"/>
      <c r="H236" s="615" t="str">
        <f>IMAGE("https://raw.githubusercontent.com/msikma/pokesprite/master/items-outline/berry/rindo.png",1)</f>
        <v/>
      </c>
      <c r="I236" s="616" t="s">
        <v>1133</v>
      </c>
      <c r="J236" s="617"/>
      <c r="K236" s="618">
        <v>0.8</v>
      </c>
      <c r="L236" s="610"/>
      <c r="M236" s="615" t="str">
        <f>IMAGE("https://raw.githubusercontent.com/msikma/pokesprite/master/items-outline/berry/rindo.png",1)</f>
        <v/>
      </c>
      <c r="N236" s="616" t="s">
        <v>1133</v>
      </c>
      <c r="O236" s="617"/>
      <c r="P236" s="618">
        <v>0.8</v>
      </c>
      <c r="Q236" s="610"/>
      <c r="R236" s="615" t="str">
        <f>IMAGE("https://raw.githubusercontent.com/msikma/pokesprite/master/items-outline/berry/rindo.png",1)</f>
        <v/>
      </c>
      <c r="S236" s="616" t="s">
        <v>1133</v>
      </c>
      <c r="T236" s="617"/>
      <c r="U236" s="618">
        <v>0.8</v>
      </c>
      <c r="V236" s="610"/>
      <c r="W236" s="615" t="str">
        <f>IMAGE("https://raw.githubusercontent.com/msikma/pokesprite/master/items-outline/berry/rindo.png",1)</f>
        <v/>
      </c>
      <c r="X236" s="616" t="s">
        <v>1133</v>
      </c>
      <c r="Y236" s="617"/>
      <c r="Z236" s="618">
        <v>0.8</v>
      </c>
      <c r="AA236" s="572"/>
      <c r="AB236" s="560"/>
    </row>
    <row r="237" ht="24.0" customHeight="1">
      <c r="A237" s="556"/>
      <c r="B237" s="577"/>
      <c r="C237" s="619" t="str">
        <f>IMAGE("https://raw.githubusercontent.com/msikma/pokesprite/master/items-outline/shard/blue.png",4, 40, 40)</f>
        <v/>
      </c>
      <c r="D237" s="620" t="s">
        <v>1112</v>
      </c>
      <c r="E237" s="621"/>
      <c r="F237" s="622">
        <v>0.5</v>
      </c>
      <c r="G237" s="609"/>
      <c r="H237" s="619" t="str">
        <f>IMAGE("https://raw.githubusercontent.com/msikma/pokesprite/master/items-outline/shard/red.png",4, 40, 40)</f>
        <v/>
      </c>
      <c r="I237" s="620" t="s">
        <v>1111</v>
      </c>
      <c r="J237" s="621"/>
      <c r="K237" s="622">
        <v>0.5</v>
      </c>
      <c r="L237" s="610"/>
      <c r="M237" s="619" t="str">
        <f>IMAGE("https://raw.githubusercontent.com/msikma/pokesprite/master/items-outline/shard/yellow.png",4, 40, 40)</f>
        <v/>
      </c>
      <c r="N237" s="620" t="s">
        <v>1109</v>
      </c>
      <c r="O237" s="621"/>
      <c r="P237" s="622">
        <v>0.5</v>
      </c>
      <c r="Q237" s="610"/>
      <c r="R237" s="619" t="str">
        <f>IMAGE("https://raw.githubusercontent.com/msikma/pokesprite/master/items-outline/shard/blue.png",4, 40, 40)</f>
        <v/>
      </c>
      <c r="S237" s="620" t="s">
        <v>1112</v>
      </c>
      <c r="T237" s="621"/>
      <c r="U237" s="622">
        <v>0.5</v>
      </c>
      <c r="V237" s="610"/>
      <c r="W237" s="619" t="str">
        <f>IMAGE("https://raw.githubusercontent.com/msikma/pokesprite/master/items-outline/shard/green.png",4, 40, 40)</f>
        <v/>
      </c>
      <c r="X237" s="620" t="s">
        <v>1110</v>
      </c>
      <c r="Y237" s="621"/>
      <c r="Z237" s="622">
        <v>0.5</v>
      </c>
      <c r="AA237" s="572"/>
      <c r="AB237" s="560"/>
    </row>
    <row r="238" ht="24.0" customHeight="1">
      <c r="A238" s="556"/>
      <c r="B238" s="577"/>
      <c r="C238" s="623" t="str">
        <f>IMAGE("https://raw.githubusercontent.com/msikma/pokesprite/master/items-outline/valuable-item/star-piece.png",1)</f>
        <v/>
      </c>
      <c r="D238" s="624" t="s">
        <v>1108</v>
      </c>
      <c r="E238" s="625"/>
      <c r="F238" s="626">
        <v>0.5</v>
      </c>
      <c r="G238" s="609"/>
      <c r="H238" s="623" t="str">
        <f>IMAGE("https://raw.githubusercontent.com/msikma/pokesprite/master/items-outline/valuable-item/star-piece.png",1)</f>
        <v/>
      </c>
      <c r="I238" s="624" t="s">
        <v>1108</v>
      </c>
      <c r="J238" s="625"/>
      <c r="K238" s="626">
        <v>0.5</v>
      </c>
      <c r="L238" s="610"/>
      <c r="M238" s="623" t="str">
        <f>IMAGE("https://raw.githubusercontent.com/msikma/pokesprite/master/items-outline/valuable-item/star-piece.png",1)</f>
        <v/>
      </c>
      <c r="N238" s="624" t="s">
        <v>1108</v>
      </c>
      <c r="O238" s="625"/>
      <c r="P238" s="626">
        <v>0.5</v>
      </c>
      <c r="Q238" s="610"/>
      <c r="R238" s="623" t="str">
        <f>IMAGE("https://raw.githubusercontent.com/msikma/pokesprite/master/items-outline/valuable-item/star-piece.png",1)</f>
        <v/>
      </c>
      <c r="S238" s="624" t="s">
        <v>1108</v>
      </c>
      <c r="T238" s="625"/>
      <c r="U238" s="626">
        <v>0.5</v>
      </c>
      <c r="V238" s="610"/>
      <c r="W238" s="623" t="str">
        <f>IMAGE("https://raw.githubusercontent.com/msikma/pokesprite/master/items-outline/valuable-item/star-piece.png",1)</f>
        <v/>
      </c>
      <c r="X238" s="624" t="s">
        <v>1108</v>
      </c>
      <c r="Y238" s="625"/>
      <c r="Z238" s="626">
        <v>0.5</v>
      </c>
      <c r="AA238" s="572"/>
      <c r="AB238" s="560"/>
    </row>
    <row r="239" ht="24.0" customHeight="1">
      <c r="A239" s="556"/>
      <c r="B239" s="577"/>
      <c r="C239" s="611" t="str">
        <f>IMAGE("https://raw.githubusercontent.com/msikma/pokesprite/master/items-outline/valuable-item/nugget.png",1)</f>
        <v/>
      </c>
      <c r="D239" s="612" t="s">
        <v>1084</v>
      </c>
      <c r="E239" s="613"/>
      <c r="F239" s="627">
        <v>0.3</v>
      </c>
      <c r="G239" s="609"/>
      <c r="H239" s="611" t="str">
        <f>IMAGE("https://raw.githubusercontent.com/msikma/pokesprite/master/items-outline/valuable-item/nugget.png",1)</f>
        <v/>
      </c>
      <c r="I239" s="612" t="s">
        <v>1084</v>
      </c>
      <c r="J239" s="613"/>
      <c r="K239" s="627">
        <v>0.3</v>
      </c>
      <c r="L239" s="610"/>
      <c r="M239" s="611" t="str">
        <f>IMAGE("https://raw.githubusercontent.com/msikma/pokesprite/master/items-outline/valuable-item/nugget.png",1)</f>
        <v/>
      </c>
      <c r="N239" s="612" t="s">
        <v>1084</v>
      </c>
      <c r="O239" s="613"/>
      <c r="P239" s="627">
        <v>0.3</v>
      </c>
      <c r="Q239" s="610"/>
      <c r="R239" s="611" t="str">
        <f>IMAGE("https://raw.githubusercontent.com/msikma/pokesprite/master/items-outline/valuable-item/nugget.png",1)</f>
        <v/>
      </c>
      <c r="S239" s="612" t="s">
        <v>1084</v>
      </c>
      <c r="T239" s="613"/>
      <c r="U239" s="627">
        <v>0.3</v>
      </c>
      <c r="V239" s="610"/>
      <c r="W239" s="611" t="str">
        <f>IMAGE("https://raw.githubusercontent.com/msikma/pokesprite/master/items-outline/valuable-item/nugget.png",1)</f>
        <v/>
      </c>
      <c r="X239" s="612" t="s">
        <v>1084</v>
      </c>
      <c r="Y239" s="613"/>
      <c r="Z239" s="627">
        <v>0.3</v>
      </c>
      <c r="AA239" s="572"/>
      <c r="AB239" s="560"/>
    </row>
    <row r="240" ht="24.0" customHeight="1">
      <c r="A240" s="556"/>
      <c r="B240" s="577"/>
      <c r="C240" s="615"/>
      <c r="D240" s="616" t="s">
        <v>1068</v>
      </c>
      <c r="E240" s="617"/>
      <c r="F240" s="628">
        <v>0.3</v>
      </c>
      <c r="G240" s="609"/>
      <c r="H240" s="615"/>
      <c r="I240" s="616" t="s">
        <v>1068</v>
      </c>
      <c r="J240" s="617"/>
      <c r="K240" s="628">
        <v>0.3</v>
      </c>
      <c r="L240" s="610"/>
      <c r="M240" s="615"/>
      <c r="N240" s="616" t="s">
        <v>1068</v>
      </c>
      <c r="O240" s="617"/>
      <c r="P240" s="628">
        <v>0.3</v>
      </c>
      <c r="Q240" s="610"/>
      <c r="R240" s="615"/>
      <c r="S240" s="616" t="s">
        <v>1068</v>
      </c>
      <c r="T240" s="617"/>
      <c r="U240" s="628">
        <v>0.3</v>
      </c>
      <c r="V240" s="610"/>
      <c r="W240" s="615"/>
      <c r="X240" s="616" t="s">
        <v>1068</v>
      </c>
      <c r="Y240" s="617"/>
      <c r="Z240" s="628">
        <v>0.3</v>
      </c>
      <c r="AA240" s="572"/>
      <c r="AB240" s="560"/>
    </row>
    <row r="241" ht="24.0" customHeight="1">
      <c r="A241" s="556"/>
      <c r="B241" s="577"/>
      <c r="C241" s="619" t="str">
        <f>IMAGE("https://raw.githubusercontent.com/msikma/pokesprite/master/items-outline/medicine/pp-up.png",1)</f>
        <v/>
      </c>
      <c r="D241" s="620" t="s">
        <v>1070</v>
      </c>
      <c r="E241" s="621"/>
      <c r="F241" s="629">
        <v>0.25</v>
      </c>
      <c r="G241" s="609"/>
      <c r="H241" s="619" t="str">
        <f>IMAGE("https://raw.githubusercontent.com/msikma/pokesprite/master/items-outline/medicine/pp-up.png",1)</f>
        <v/>
      </c>
      <c r="I241" s="620" t="s">
        <v>1070</v>
      </c>
      <c r="J241" s="621"/>
      <c r="K241" s="629">
        <v>0.25</v>
      </c>
      <c r="L241" s="610"/>
      <c r="M241" s="619" t="str">
        <f>IMAGE("https://raw.githubusercontent.com/msikma/pokesprite/master/items-outline/medicine/pp-up.png",1)</f>
        <v/>
      </c>
      <c r="N241" s="620" t="s">
        <v>1070</v>
      </c>
      <c r="O241" s="621"/>
      <c r="P241" s="629">
        <v>0.25</v>
      </c>
      <c r="Q241" s="610"/>
      <c r="R241" s="619" t="str">
        <f>IMAGE("https://raw.githubusercontent.com/msikma/pokesprite/master/items-outline/medicine/pp-up.png",1)</f>
        <v/>
      </c>
      <c r="S241" s="620" t="s">
        <v>1070</v>
      </c>
      <c r="T241" s="621"/>
      <c r="U241" s="629">
        <v>0.25</v>
      </c>
      <c r="V241" s="610"/>
      <c r="W241" s="619" t="str">
        <f>IMAGE("https://raw.githubusercontent.com/msikma/pokesprite/master/items-outline/medicine/pp-up.png",1)</f>
        <v/>
      </c>
      <c r="X241" s="620" t="s">
        <v>1070</v>
      </c>
      <c r="Y241" s="621"/>
      <c r="Z241" s="629">
        <v>0.25</v>
      </c>
      <c r="AA241" s="572"/>
      <c r="AB241" s="560"/>
    </row>
    <row r="242" ht="24.0" customHeight="1">
      <c r="A242" s="556"/>
      <c r="B242" s="577"/>
      <c r="C242" s="623" t="str">
        <f>IMAGE("https://raw.githubusercontent.com/msikma/pokesprite/master/items-outline/ball/dream.png",1)</f>
        <v/>
      </c>
      <c r="D242" s="630" t="s">
        <v>1117</v>
      </c>
      <c r="E242" s="625"/>
      <c r="F242" s="631">
        <v>0.25</v>
      </c>
      <c r="G242" s="609"/>
      <c r="H242" s="623" t="str">
        <f>IMAGE("https://raw.githubusercontent.com/msikma/pokesprite/master/items-outline/ball/dream.png",1)</f>
        <v/>
      </c>
      <c r="I242" s="630" t="s">
        <v>1117</v>
      </c>
      <c r="J242" s="625"/>
      <c r="K242" s="631">
        <v>0.25</v>
      </c>
      <c r="L242" s="610"/>
      <c r="M242" s="623" t="str">
        <f>IMAGE("https://raw.githubusercontent.com/msikma/pokesprite/master/items-outline/ball/dream.png",1)</f>
        <v/>
      </c>
      <c r="N242" s="630" t="s">
        <v>1117</v>
      </c>
      <c r="O242" s="625"/>
      <c r="P242" s="631">
        <v>0.25</v>
      </c>
      <c r="Q242" s="610"/>
      <c r="R242" s="623" t="str">
        <f>IMAGE("https://raw.githubusercontent.com/msikma/pokesprite/master/items-outline/ball/dream.png",1)</f>
        <v/>
      </c>
      <c r="S242" s="630" t="s">
        <v>1117</v>
      </c>
      <c r="T242" s="625"/>
      <c r="U242" s="631">
        <v>0.25</v>
      </c>
      <c r="V242" s="610"/>
      <c r="W242" s="623" t="str">
        <f>IMAGE("https://raw.githubusercontent.com/msikma/pokesprite/master/items-outline/ball/dream.png",1)</f>
        <v/>
      </c>
      <c r="X242" s="630" t="s">
        <v>1117</v>
      </c>
      <c r="Y242" s="625"/>
      <c r="Z242" s="631">
        <v>0.25</v>
      </c>
      <c r="AA242" s="572"/>
      <c r="AB242" s="560"/>
    </row>
    <row r="243" ht="24.0" customHeight="1">
      <c r="A243" s="556"/>
      <c r="B243" s="577"/>
      <c r="C243" s="632" t="str">
        <f>IMAGE("https://raw.githubusercontent.com/msikma/pokesprite/master/items-outline/valuable-item/big-nugget.png",1)</f>
        <v/>
      </c>
      <c r="D243" s="633" t="s">
        <v>1131</v>
      </c>
      <c r="E243" s="634"/>
      <c r="F243" s="635">
        <v>0.05</v>
      </c>
      <c r="G243" s="636"/>
      <c r="H243" s="632" t="str">
        <f>IMAGE("https://raw.githubusercontent.com/msikma/pokesprite/master/items-outline/valuable-item/big-nugget.png",1)</f>
        <v/>
      </c>
      <c r="I243" s="633" t="s">
        <v>1131</v>
      </c>
      <c r="J243" s="634"/>
      <c r="K243" s="635">
        <v>0.05</v>
      </c>
      <c r="L243" s="610"/>
      <c r="M243" s="632" t="str">
        <f>IMAGE("https://raw.githubusercontent.com/msikma/pokesprite/master/items-outline/valuable-item/big-nugget.png",1)</f>
        <v/>
      </c>
      <c r="N243" s="633" t="s">
        <v>1131</v>
      </c>
      <c r="O243" s="634"/>
      <c r="P243" s="635">
        <v>0.05</v>
      </c>
      <c r="Q243" s="610"/>
      <c r="R243" s="632" t="str">
        <f>IMAGE("https://raw.githubusercontent.com/msikma/pokesprite/master/items-outline/valuable-item/big-nugget.png",1)</f>
        <v/>
      </c>
      <c r="S243" s="633" t="s">
        <v>1131</v>
      </c>
      <c r="T243" s="634"/>
      <c r="U243" s="635">
        <v>0.05</v>
      </c>
      <c r="V243" s="610"/>
      <c r="W243" s="632" t="str">
        <f>IMAGE("https://raw.githubusercontent.com/msikma/pokesprite/master/items-outline/valuable-item/big-nugget.png",1)</f>
        <v/>
      </c>
      <c r="X243" s="633" t="s">
        <v>1131</v>
      </c>
      <c r="Y243" s="634"/>
      <c r="Z243" s="635">
        <v>0.05</v>
      </c>
      <c r="AA243" s="572"/>
      <c r="AB243" s="560"/>
    </row>
    <row r="244" ht="24.0" customHeight="1">
      <c r="A244" s="556"/>
      <c r="B244" s="577"/>
      <c r="C244" s="637" t="str">
        <f t="shared" ref="C244:C245" si="31">IMAGE("https://raw.githubusercontent.com/msikma/pokesprite/master/items-outline/hold-item/lucky-egg.png",1)</f>
        <v/>
      </c>
      <c r="D244" s="638" t="s">
        <v>1071</v>
      </c>
      <c r="E244" s="639"/>
      <c r="F244" s="640">
        <v>0.04</v>
      </c>
      <c r="G244" s="636"/>
      <c r="H244" s="637" t="str">
        <f t="shared" ref="H244:H245" si="32">IMAGE("https://raw.githubusercontent.com/msikma/pokesprite/master/items-outline/hold-item/lucky-egg.png",1)</f>
        <v/>
      </c>
      <c r="I244" s="638" t="s">
        <v>1071</v>
      </c>
      <c r="J244" s="639"/>
      <c r="K244" s="640">
        <v>0.04</v>
      </c>
      <c r="L244" s="610"/>
      <c r="M244" s="637" t="str">
        <f t="shared" ref="M244:M245" si="33">IMAGE("https://raw.githubusercontent.com/msikma/pokesprite/master/items-outline/hold-item/lucky-egg.png",1)</f>
        <v/>
      </c>
      <c r="N244" s="638" t="s">
        <v>1071</v>
      </c>
      <c r="O244" s="639"/>
      <c r="P244" s="640">
        <v>0.04</v>
      </c>
      <c r="Q244" s="610"/>
      <c r="R244" s="637" t="str">
        <f t="shared" ref="R244:R245" si="34">IMAGE("https://raw.githubusercontent.com/msikma/pokesprite/master/items-outline/hold-item/lucky-egg.png",1)</f>
        <v/>
      </c>
      <c r="S244" s="638" t="s">
        <v>1071</v>
      </c>
      <c r="T244" s="639"/>
      <c r="U244" s="640">
        <v>0.04</v>
      </c>
      <c r="V244" s="610"/>
      <c r="W244" s="637" t="str">
        <f t="shared" ref="W244:W245" si="35">IMAGE("https://raw.githubusercontent.com/msikma/pokesprite/master/items-outline/hold-item/lucky-egg.png",1)</f>
        <v/>
      </c>
      <c r="X244" s="638" t="s">
        <v>1071</v>
      </c>
      <c r="Y244" s="639"/>
      <c r="Z244" s="640">
        <v>0.04</v>
      </c>
      <c r="AA244" s="572"/>
      <c r="AB244" s="560"/>
    </row>
    <row r="245" ht="24.75" customHeight="1">
      <c r="A245" s="556"/>
      <c r="B245" s="577"/>
      <c r="C245" s="641" t="str">
        <f t="shared" si="31"/>
        <v/>
      </c>
      <c r="D245" s="642" t="s">
        <v>1071</v>
      </c>
      <c r="E245" s="643"/>
      <c r="F245" s="644">
        <v>0.01</v>
      </c>
      <c r="G245" s="645"/>
      <c r="H245" s="641" t="str">
        <f t="shared" si="32"/>
        <v/>
      </c>
      <c r="I245" s="642" t="s">
        <v>1071</v>
      </c>
      <c r="J245" s="643"/>
      <c r="K245" s="644">
        <v>0.01</v>
      </c>
      <c r="L245" s="646"/>
      <c r="M245" s="641" t="str">
        <f t="shared" si="33"/>
        <v/>
      </c>
      <c r="N245" s="642" t="s">
        <v>1071</v>
      </c>
      <c r="O245" s="643"/>
      <c r="P245" s="644">
        <v>0.01</v>
      </c>
      <c r="Q245" s="646"/>
      <c r="R245" s="641" t="str">
        <f t="shared" si="34"/>
        <v/>
      </c>
      <c r="S245" s="642" t="s">
        <v>1071</v>
      </c>
      <c r="T245" s="643"/>
      <c r="U245" s="644">
        <v>0.01</v>
      </c>
      <c r="V245" s="646"/>
      <c r="W245" s="641" t="str">
        <f t="shared" si="35"/>
        <v/>
      </c>
      <c r="X245" s="642" t="s">
        <v>1071</v>
      </c>
      <c r="Y245" s="643"/>
      <c r="Z245" s="644">
        <v>0.01</v>
      </c>
      <c r="AA245" s="572"/>
      <c r="AB245" s="560"/>
    </row>
    <row r="246" ht="60.0" customHeight="1">
      <c r="A246" s="556"/>
      <c r="B246" s="577"/>
      <c r="C246" s="680" t="s">
        <v>1134</v>
      </c>
      <c r="Z246" s="588"/>
      <c r="AA246" s="648"/>
      <c r="AB246" s="560"/>
    </row>
    <row r="247" ht="37.5" customHeight="1">
      <c r="A247" s="556"/>
      <c r="B247" s="577"/>
      <c r="C247" s="590" t="s">
        <v>694</v>
      </c>
      <c r="D247" s="168"/>
      <c r="E247" s="591"/>
      <c r="F247" s="592" t="str">
        <f t="array" ref="F247">IFERROR(VLOOKUP(C247,Dex!$B$3:$N689,2,FALSE),"")</f>
        <v/>
      </c>
      <c r="G247" s="593"/>
      <c r="H247" s="590" t="s">
        <v>688</v>
      </c>
      <c r="I247" s="168"/>
      <c r="J247" s="591"/>
      <c r="K247" s="592" t="str">
        <f t="array" ref="K247">IFERROR(VLOOKUP(H247,Dex!$B$3:$N689,2,FALSE),"")</f>
        <v/>
      </c>
      <c r="L247" s="594"/>
      <c r="M247" s="590" t="s">
        <v>1135</v>
      </c>
      <c r="N247" s="168"/>
      <c r="O247" s="591"/>
      <c r="P247" s="592" t="str">
        <f t="array" ref="P247">IFERROR(VLOOKUP(M247,Dex!$B$3:$N689,2,FALSE),"")</f>
        <v/>
      </c>
      <c r="Q247" s="594"/>
      <c r="R247" s="590" t="s">
        <v>710</v>
      </c>
      <c r="S247" s="168"/>
      <c r="T247" s="591"/>
      <c r="U247" s="592" t="str">
        <f t="array" ref="U247">IFERROR(VLOOKUP(R247,Dex!$B$3:$N689,2,FALSE),"")</f>
        <v/>
      </c>
      <c r="V247" s="594"/>
      <c r="W247" s="590" t="s">
        <v>760</v>
      </c>
      <c r="X247" s="168"/>
      <c r="Y247" s="591"/>
      <c r="Z247" s="592" t="str">
        <f t="array" ref="Z247">IFERROR(VLOOKUP(W247,Dex!$B$3:$N689,2,FALSE),"")</f>
        <v/>
      </c>
      <c r="AA247" s="572"/>
      <c r="AB247" s="560"/>
    </row>
    <row r="248">
      <c r="A248" s="595"/>
      <c r="B248" s="596"/>
      <c r="C248" s="597" t="s">
        <v>1056</v>
      </c>
      <c r="D248" s="598"/>
      <c r="E248" s="599"/>
      <c r="F248" s="600" t="s">
        <v>1057</v>
      </c>
      <c r="G248" s="601"/>
      <c r="H248" s="597" t="s">
        <v>1056</v>
      </c>
      <c r="I248" s="598"/>
      <c r="J248" s="599"/>
      <c r="K248" s="600" t="s">
        <v>1057</v>
      </c>
      <c r="L248" s="602"/>
      <c r="M248" s="597" t="s">
        <v>1056</v>
      </c>
      <c r="N248" s="598"/>
      <c r="O248" s="599"/>
      <c r="P248" s="600" t="s">
        <v>1057</v>
      </c>
      <c r="Q248" s="602"/>
      <c r="R248" s="597" t="s">
        <v>1056</v>
      </c>
      <c r="S248" s="598"/>
      <c r="T248" s="599"/>
      <c r="U248" s="600" t="s">
        <v>1057</v>
      </c>
      <c r="V248" s="602"/>
      <c r="W248" s="597" t="s">
        <v>1056</v>
      </c>
      <c r="X248" s="598"/>
      <c r="Y248" s="599"/>
      <c r="Z248" s="600" t="s">
        <v>1057</v>
      </c>
      <c r="AA248" s="603"/>
      <c r="AB248" s="604"/>
    </row>
    <row r="249" ht="24.0" customHeight="1">
      <c r="A249" s="556"/>
      <c r="B249" s="577"/>
      <c r="C249" s="605" t="str">
        <f>IMAGE("https://raw.githubusercontent.com/msikma/pokesprite/master/items-outline/valuable-item/stardust.png",1)</f>
        <v/>
      </c>
      <c r="D249" s="606" t="s">
        <v>1059</v>
      </c>
      <c r="E249" s="607"/>
      <c r="F249" s="608">
        <v>1.0</v>
      </c>
      <c r="G249" s="609"/>
      <c r="H249" s="605" t="str">
        <f>IMAGE("https://raw.githubusercontent.com/msikma/pokesprite/master/items-outline/valuable-item/stardust.png",1)</f>
        <v/>
      </c>
      <c r="I249" s="606" t="s">
        <v>1059</v>
      </c>
      <c r="J249" s="607"/>
      <c r="K249" s="608">
        <v>1.0</v>
      </c>
      <c r="L249" s="610"/>
      <c r="M249" s="605" t="str">
        <f>IMAGE("https://raw.githubusercontent.com/msikma/pokesprite/master/items-outline/valuable-item/stardust.png",1)</f>
        <v/>
      </c>
      <c r="N249" s="606" t="s">
        <v>1059</v>
      </c>
      <c r="O249" s="607"/>
      <c r="P249" s="608">
        <v>1.0</v>
      </c>
      <c r="Q249" s="610"/>
      <c r="R249" s="605" t="str">
        <f>IMAGE("https://raw.githubusercontent.com/msikma/pokesprite/master/items-outline/valuable-item/stardust.png",1)</f>
        <v/>
      </c>
      <c r="S249" s="606" t="s">
        <v>1059</v>
      </c>
      <c r="T249" s="607"/>
      <c r="U249" s="608">
        <v>1.0</v>
      </c>
      <c r="V249" s="610"/>
      <c r="W249" s="605" t="str">
        <f>IMAGE("https://raw.githubusercontent.com/msikma/pokesprite/master/items-outline/valuable-item/stardust.png",1)</f>
        <v/>
      </c>
      <c r="X249" s="606" t="s">
        <v>1059</v>
      </c>
      <c r="Y249" s="607"/>
      <c r="Z249" s="608">
        <v>1.0</v>
      </c>
      <c r="AA249" s="572"/>
      <c r="AB249" s="560"/>
    </row>
    <row r="250" ht="24.0" customHeight="1">
      <c r="A250" s="556"/>
      <c r="B250" s="577"/>
      <c r="C250" s="611" t="str">
        <f>IMAGE("https://raw.githubusercontent.com/msikma/pokesprite/master/items-outline/ball/dive.png",1)</f>
        <v/>
      </c>
      <c r="D250" s="612" t="s">
        <v>1136</v>
      </c>
      <c r="E250" s="613"/>
      <c r="F250" s="614">
        <v>0.8</v>
      </c>
      <c r="G250" s="609"/>
      <c r="H250" s="611" t="str">
        <f>IMAGE("https://raw.githubusercontent.com/msikma/pokesprite/master/items-outline/ball/dive.png",1)</f>
        <v/>
      </c>
      <c r="I250" s="612" t="s">
        <v>1136</v>
      </c>
      <c r="J250" s="613"/>
      <c r="K250" s="614">
        <v>0.8</v>
      </c>
      <c r="L250" s="610"/>
      <c r="M250" s="611" t="str">
        <f>IMAGE("https://raw.githubusercontent.com/msikma/pokesprite/master/items-outline/ball/dive.png",1)</f>
        <v/>
      </c>
      <c r="N250" s="612" t="s">
        <v>1136</v>
      </c>
      <c r="O250" s="613"/>
      <c r="P250" s="614">
        <v>0.8</v>
      </c>
      <c r="Q250" s="610"/>
      <c r="R250" s="611" t="str">
        <f>IMAGE("https://raw.githubusercontent.com/msikma/pokesprite/master/items-outline/ball/dive.png",1)</f>
        <v/>
      </c>
      <c r="S250" s="612" t="s">
        <v>1136</v>
      </c>
      <c r="T250" s="613"/>
      <c r="U250" s="614">
        <v>0.8</v>
      </c>
      <c r="V250" s="610"/>
      <c r="W250" s="611" t="str">
        <f>IMAGE("https://raw.githubusercontent.com/msikma/pokesprite/master/items-outline/ball/dive.png",1)</f>
        <v/>
      </c>
      <c r="X250" s="612" t="s">
        <v>1136</v>
      </c>
      <c r="Y250" s="613"/>
      <c r="Z250" s="614">
        <v>0.8</v>
      </c>
      <c r="AA250" s="572"/>
      <c r="AB250" s="560"/>
    </row>
    <row r="251" ht="24.0" customHeight="1">
      <c r="A251" s="556"/>
      <c r="B251" s="577"/>
      <c r="C251" s="615" t="str">
        <f>IMAGE("https://raw.githubusercontent.com/msikma/pokesprite/master/items-outline/valuable-item/star-piece.png",1)</f>
        <v/>
      </c>
      <c r="D251" s="616" t="s">
        <v>1108</v>
      </c>
      <c r="E251" s="617"/>
      <c r="F251" s="618">
        <v>0.8</v>
      </c>
      <c r="G251" s="609"/>
      <c r="H251" s="615" t="str">
        <f>IMAGE("https://raw.githubusercontent.com/msikma/pokesprite/master/items-outline/valuable-item/star-piece.png",1)</f>
        <v/>
      </c>
      <c r="I251" s="616" t="s">
        <v>1108</v>
      </c>
      <c r="J251" s="617"/>
      <c r="K251" s="618">
        <v>0.8</v>
      </c>
      <c r="L251" s="610"/>
      <c r="M251" s="615" t="str">
        <f>IMAGE("https://raw.githubusercontent.com/msikma/pokesprite/master/items-outline/valuable-item/star-piece.png",1)</f>
        <v/>
      </c>
      <c r="N251" s="616" t="s">
        <v>1108</v>
      </c>
      <c r="O251" s="617"/>
      <c r="P251" s="618">
        <v>0.8</v>
      </c>
      <c r="Q251" s="610"/>
      <c r="R251" s="615" t="str">
        <f>IMAGE("https://raw.githubusercontent.com/msikma/pokesprite/master/items-outline/valuable-item/star-piece.png",1)</f>
        <v/>
      </c>
      <c r="S251" s="616" t="s">
        <v>1108</v>
      </c>
      <c r="T251" s="617"/>
      <c r="U251" s="618">
        <v>0.8</v>
      </c>
      <c r="V251" s="610"/>
      <c r="W251" s="615" t="str">
        <f>IMAGE("https://raw.githubusercontent.com/msikma/pokesprite/master/items-outline/valuable-item/star-piece.png",1)</f>
        <v/>
      </c>
      <c r="X251" s="616" t="s">
        <v>1108</v>
      </c>
      <c r="Y251" s="617"/>
      <c r="Z251" s="618">
        <v>0.8</v>
      </c>
      <c r="AA251" s="572"/>
      <c r="AB251" s="560"/>
    </row>
    <row r="252" ht="24.0" customHeight="1">
      <c r="A252" s="556"/>
      <c r="B252" s="577"/>
      <c r="C252" s="619" t="str">
        <f>IMAGE("https://raw.githubusercontent.com/msikma/pokesprite/master/items-outline/shard/blue.png",4, 40, 40)</f>
        <v/>
      </c>
      <c r="D252" s="620" t="s">
        <v>1112</v>
      </c>
      <c r="E252" s="621"/>
      <c r="F252" s="622">
        <v>0.5</v>
      </c>
      <c r="G252" s="609"/>
      <c r="H252" s="619" t="str">
        <f>IMAGE("https://raw.githubusercontent.com/msikma/pokesprite/master/items-outline/shard/blue.png",4, 40, 40)</f>
        <v/>
      </c>
      <c r="I252" s="620" t="s">
        <v>1112</v>
      </c>
      <c r="J252" s="621"/>
      <c r="K252" s="622">
        <v>0.5</v>
      </c>
      <c r="L252" s="610"/>
      <c r="M252" s="619" t="str">
        <f>IMAGE("https://raw.githubusercontent.com/msikma/pokesprite/master/items-outline/shard/blue.png",4, 40, 40)</f>
        <v/>
      </c>
      <c r="N252" s="620" t="s">
        <v>1112</v>
      </c>
      <c r="O252" s="621"/>
      <c r="P252" s="622">
        <v>0.5</v>
      </c>
      <c r="Q252" s="610"/>
      <c r="R252" s="619" t="str">
        <f>IMAGE("https://raw.githubusercontent.com/msikma/pokesprite/master/items-outline/shard/blue.png",4, 40, 40)</f>
        <v/>
      </c>
      <c r="S252" s="620" t="s">
        <v>1112</v>
      </c>
      <c r="T252" s="621"/>
      <c r="U252" s="622">
        <v>0.5</v>
      </c>
      <c r="V252" s="610"/>
      <c r="W252" s="619" t="str">
        <f>IMAGE("https://raw.githubusercontent.com/msikma/pokesprite/master/items-outline/shard/blue.png",4, 40, 40)</f>
        <v/>
      </c>
      <c r="X252" s="620" t="s">
        <v>1112</v>
      </c>
      <c r="Y252" s="621"/>
      <c r="Z252" s="622">
        <v>0.5</v>
      </c>
      <c r="AA252" s="572"/>
      <c r="AB252" s="560"/>
    </row>
    <row r="253" ht="24.0" customHeight="1">
      <c r="A253" s="556"/>
      <c r="B253" s="577"/>
      <c r="C253" s="623" t="str">
        <f>IMAGE("https://raw.githubusercontent.com/msikma/pokesprite/master/items-outline/berry/yache.png",1)</f>
        <v/>
      </c>
      <c r="D253" s="624" t="s">
        <v>1137</v>
      </c>
      <c r="E253" s="625"/>
      <c r="F253" s="626">
        <v>0.5</v>
      </c>
      <c r="G253" s="609"/>
      <c r="H253" s="623" t="str">
        <f>IMAGE("https://raw.githubusercontent.com/msikma/pokesprite/master/items-outline/berry/yache.png",1)</f>
        <v/>
      </c>
      <c r="I253" s="624" t="s">
        <v>1137</v>
      </c>
      <c r="J253" s="625"/>
      <c r="K253" s="626">
        <v>0.5</v>
      </c>
      <c r="L253" s="610"/>
      <c r="M253" s="623" t="str">
        <f>IMAGE("https://raw.githubusercontent.com/msikma/pokesprite/master/items-outline/berry/yache.png",1)</f>
        <v/>
      </c>
      <c r="N253" s="624" t="s">
        <v>1137</v>
      </c>
      <c r="O253" s="625"/>
      <c r="P253" s="626">
        <v>0.5</v>
      </c>
      <c r="Q253" s="610"/>
      <c r="R253" s="623" t="str">
        <f>IMAGE("https://raw.githubusercontent.com/msikma/pokesprite/master/items-outline/berry/yache.png",1)</f>
        <v/>
      </c>
      <c r="S253" s="624" t="s">
        <v>1137</v>
      </c>
      <c r="T253" s="625"/>
      <c r="U253" s="626">
        <v>0.5</v>
      </c>
      <c r="V253" s="610"/>
      <c r="W253" s="623" t="str">
        <f>IMAGE("https://raw.githubusercontent.com/msikma/pokesprite/master/items-outline/berry/yache.png",1)</f>
        <v/>
      </c>
      <c r="X253" s="624" t="s">
        <v>1137</v>
      </c>
      <c r="Y253" s="625"/>
      <c r="Z253" s="626">
        <v>0.5</v>
      </c>
      <c r="AA253" s="572"/>
      <c r="AB253" s="560"/>
    </row>
    <row r="254" ht="24.0" customHeight="1">
      <c r="A254" s="556"/>
      <c r="B254" s="577"/>
      <c r="C254" s="611" t="str">
        <f>IMAGE("https://raw.githubusercontent.com/msikma/pokesprite/master/items-outline/valuable-item/nugget.png",1)</f>
        <v/>
      </c>
      <c r="D254" s="612" t="s">
        <v>1084</v>
      </c>
      <c r="E254" s="613"/>
      <c r="F254" s="627">
        <v>0.3</v>
      </c>
      <c r="G254" s="609"/>
      <c r="H254" s="611" t="str">
        <f>IMAGE("https://raw.githubusercontent.com/msikma/pokesprite/master/items-outline/valuable-item/nugget.png",1)</f>
        <v/>
      </c>
      <c r="I254" s="612" t="s">
        <v>1084</v>
      </c>
      <c r="J254" s="613"/>
      <c r="K254" s="627">
        <v>0.3</v>
      </c>
      <c r="L254" s="610"/>
      <c r="M254" s="611" t="str">
        <f>IMAGE("https://raw.githubusercontent.com/msikma/pokesprite/master/items-outline/valuable-item/nugget.png",1)</f>
        <v/>
      </c>
      <c r="N254" s="612" t="s">
        <v>1084</v>
      </c>
      <c r="O254" s="613"/>
      <c r="P254" s="627">
        <v>0.3</v>
      </c>
      <c r="Q254" s="610"/>
      <c r="R254" s="611" t="str">
        <f>IMAGE("https://raw.githubusercontent.com/msikma/pokesprite/master/items-outline/valuable-item/nugget.png",1)</f>
        <v/>
      </c>
      <c r="S254" s="612" t="s">
        <v>1084</v>
      </c>
      <c r="T254" s="613"/>
      <c r="U254" s="627">
        <v>0.3</v>
      </c>
      <c r="V254" s="610"/>
      <c r="W254" s="611" t="str">
        <f>IMAGE("https://raw.githubusercontent.com/msikma/pokesprite/master/items-outline/valuable-item/nugget.png",1)</f>
        <v/>
      </c>
      <c r="X254" s="612" t="s">
        <v>1084</v>
      </c>
      <c r="Y254" s="613"/>
      <c r="Z254" s="627">
        <v>0.3</v>
      </c>
      <c r="AA254" s="572"/>
      <c r="AB254" s="560"/>
    </row>
    <row r="255" ht="24.0" customHeight="1">
      <c r="A255" s="556"/>
      <c r="B255" s="577"/>
      <c r="C255" s="615"/>
      <c r="D255" s="616" t="s">
        <v>1068</v>
      </c>
      <c r="E255" s="617"/>
      <c r="F255" s="628">
        <v>0.3</v>
      </c>
      <c r="G255" s="609"/>
      <c r="H255" s="615"/>
      <c r="I255" s="616" t="s">
        <v>1068</v>
      </c>
      <c r="J255" s="617"/>
      <c r="K255" s="628">
        <v>0.3</v>
      </c>
      <c r="L255" s="610"/>
      <c r="M255" s="615"/>
      <c r="N255" s="616" t="s">
        <v>1068</v>
      </c>
      <c r="O255" s="617"/>
      <c r="P255" s="628">
        <v>0.3</v>
      </c>
      <c r="Q255" s="610"/>
      <c r="R255" s="615"/>
      <c r="S255" s="616" t="s">
        <v>1068</v>
      </c>
      <c r="T255" s="617"/>
      <c r="U255" s="628">
        <v>0.3</v>
      </c>
      <c r="V255" s="610"/>
      <c r="W255" s="615"/>
      <c r="X255" s="616" t="s">
        <v>1068</v>
      </c>
      <c r="Y255" s="617"/>
      <c r="Z255" s="628">
        <v>0.3</v>
      </c>
      <c r="AA255" s="572"/>
      <c r="AB255" s="560"/>
    </row>
    <row r="256" ht="24.0" customHeight="1">
      <c r="A256" s="556"/>
      <c r="B256" s="577"/>
      <c r="C256" s="619" t="str">
        <f>IMAGE("https://raw.githubusercontent.com/msikma/pokesprite/master/items-outline/medicine/pp-up.png",1)</f>
        <v/>
      </c>
      <c r="D256" s="620" t="s">
        <v>1070</v>
      </c>
      <c r="E256" s="621"/>
      <c r="F256" s="629">
        <v>0.25</v>
      </c>
      <c r="G256" s="609"/>
      <c r="H256" s="619" t="str">
        <f>IMAGE("https://raw.githubusercontent.com/msikma/pokesprite/master/items-outline/medicine/pp-up.png",1)</f>
        <v/>
      </c>
      <c r="I256" s="620" t="s">
        <v>1070</v>
      </c>
      <c r="J256" s="621"/>
      <c r="K256" s="629">
        <v>0.25</v>
      </c>
      <c r="L256" s="610"/>
      <c r="M256" s="619" t="str">
        <f>IMAGE("https://raw.githubusercontent.com/msikma/pokesprite/master/items-outline/medicine/pp-up.png",1)</f>
        <v/>
      </c>
      <c r="N256" s="620" t="s">
        <v>1070</v>
      </c>
      <c r="O256" s="621"/>
      <c r="P256" s="629">
        <v>0.25</v>
      </c>
      <c r="Q256" s="610"/>
      <c r="R256" s="619" t="str">
        <f>IMAGE("https://raw.githubusercontent.com/msikma/pokesprite/master/items-outline/medicine/pp-up.png",1)</f>
        <v/>
      </c>
      <c r="S256" s="620" t="s">
        <v>1070</v>
      </c>
      <c r="T256" s="621"/>
      <c r="U256" s="629">
        <v>0.25</v>
      </c>
      <c r="V256" s="610"/>
      <c r="W256" s="619" t="str">
        <f>IMAGE("https://raw.githubusercontent.com/msikma/pokesprite/master/items-outline/medicine/pp-up.png",1)</f>
        <v/>
      </c>
      <c r="X256" s="620" t="s">
        <v>1070</v>
      </c>
      <c r="Y256" s="621"/>
      <c r="Z256" s="629">
        <v>0.25</v>
      </c>
      <c r="AA256" s="572"/>
      <c r="AB256" s="560"/>
    </row>
    <row r="257" ht="24.0" customHeight="1">
      <c r="A257" s="556"/>
      <c r="B257" s="577"/>
      <c r="C257" s="623" t="str">
        <f>IMAGE("https://raw.githubusercontent.com/msikma/pokesprite/master/items-outline/ball/dream.png",1)</f>
        <v/>
      </c>
      <c r="D257" s="630" t="s">
        <v>1117</v>
      </c>
      <c r="E257" s="625"/>
      <c r="F257" s="631">
        <v>0.25</v>
      </c>
      <c r="G257" s="609"/>
      <c r="H257" s="623" t="str">
        <f>IMAGE("https://raw.githubusercontent.com/msikma/pokesprite/master/items-outline/ball/dream.png",1)</f>
        <v/>
      </c>
      <c r="I257" s="630" t="s">
        <v>1117</v>
      </c>
      <c r="J257" s="625"/>
      <c r="K257" s="631">
        <v>0.25</v>
      </c>
      <c r="L257" s="610"/>
      <c r="M257" s="623" t="str">
        <f>IMAGE("https://raw.githubusercontent.com/msikma/pokesprite/master/items-outline/ball/dream.png",1)</f>
        <v/>
      </c>
      <c r="N257" s="630" t="s">
        <v>1117</v>
      </c>
      <c r="O257" s="625"/>
      <c r="P257" s="631">
        <v>0.25</v>
      </c>
      <c r="Q257" s="610"/>
      <c r="R257" s="623" t="str">
        <f>IMAGE("https://raw.githubusercontent.com/msikma/pokesprite/master/items-outline/ball/dream.png",1)</f>
        <v/>
      </c>
      <c r="S257" s="630" t="s">
        <v>1117</v>
      </c>
      <c r="T257" s="625"/>
      <c r="U257" s="631">
        <v>0.25</v>
      </c>
      <c r="V257" s="610"/>
      <c r="W257" s="623" t="str">
        <f>IMAGE("https://raw.githubusercontent.com/msikma/pokesprite/master/items-outline/ball/dream.png",1)</f>
        <v/>
      </c>
      <c r="X257" s="630" t="s">
        <v>1117</v>
      </c>
      <c r="Y257" s="625"/>
      <c r="Z257" s="631">
        <v>0.25</v>
      </c>
      <c r="AA257" s="572"/>
      <c r="AB257" s="560"/>
    </row>
    <row r="258" ht="24.0" customHeight="1">
      <c r="A258" s="556"/>
      <c r="B258" s="577"/>
      <c r="C258" s="632" t="str">
        <f>IMAGE("https://raw.githubusercontent.com/msikma/pokesprite/master/items-outline/valuable-item/big-nugget.png",1)</f>
        <v/>
      </c>
      <c r="D258" s="633" t="s">
        <v>1131</v>
      </c>
      <c r="E258" s="634"/>
      <c r="F258" s="635">
        <v>0.05</v>
      </c>
      <c r="G258" s="636"/>
      <c r="H258" s="632" t="str">
        <f>IMAGE("https://raw.githubusercontent.com/msikma/pokesprite/master/items-outline/valuable-item/big-nugget.png",1)</f>
        <v/>
      </c>
      <c r="I258" s="633" t="s">
        <v>1131</v>
      </c>
      <c r="J258" s="634"/>
      <c r="K258" s="635">
        <v>0.05</v>
      </c>
      <c r="L258" s="610"/>
      <c r="M258" s="632" t="str">
        <f>IMAGE("https://raw.githubusercontent.com/msikma/pokesprite/master/items-outline/valuable-item/big-nugget.png",1)</f>
        <v/>
      </c>
      <c r="N258" s="633" t="s">
        <v>1131</v>
      </c>
      <c r="O258" s="634"/>
      <c r="P258" s="635">
        <v>0.05</v>
      </c>
      <c r="Q258" s="610"/>
      <c r="R258" s="632" t="str">
        <f>IMAGE("https://raw.githubusercontent.com/msikma/pokesprite/master/items-outline/valuable-item/big-nugget.png",1)</f>
        <v/>
      </c>
      <c r="S258" s="633" t="s">
        <v>1131</v>
      </c>
      <c r="T258" s="634"/>
      <c r="U258" s="635">
        <v>0.05</v>
      </c>
      <c r="V258" s="610"/>
      <c r="W258" s="632" t="str">
        <f>IMAGE("https://raw.githubusercontent.com/msikma/pokesprite/master/items-outline/valuable-item/big-nugget.png",1)</f>
        <v/>
      </c>
      <c r="X258" s="633" t="s">
        <v>1131</v>
      </c>
      <c r="Y258" s="634"/>
      <c r="Z258" s="635">
        <v>0.05</v>
      </c>
      <c r="AA258" s="572"/>
      <c r="AB258" s="560"/>
    </row>
    <row r="259" ht="24.0" customHeight="1">
      <c r="A259" s="556"/>
      <c r="B259" s="577"/>
      <c r="C259" s="637" t="str">
        <f t="shared" ref="C259:C260" si="36">IMAGE("https://raw.githubusercontent.com/msikma/pokesprite/master/items-outline/hold-item/lucky-egg.png",1)</f>
        <v/>
      </c>
      <c r="D259" s="638" t="s">
        <v>1071</v>
      </c>
      <c r="E259" s="639"/>
      <c r="F259" s="640">
        <v>0.04</v>
      </c>
      <c r="G259" s="636"/>
      <c r="H259" s="637" t="str">
        <f t="shared" ref="H259:H260" si="37">IMAGE("https://raw.githubusercontent.com/msikma/pokesprite/master/items-outline/hold-item/lucky-egg.png",1)</f>
        <v/>
      </c>
      <c r="I259" s="638" t="s">
        <v>1071</v>
      </c>
      <c r="J259" s="639"/>
      <c r="K259" s="640">
        <v>0.04</v>
      </c>
      <c r="L259" s="610"/>
      <c r="M259" s="637" t="str">
        <f t="shared" ref="M259:M260" si="38">IMAGE("https://raw.githubusercontent.com/msikma/pokesprite/master/items-outline/hold-item/lucky-egg.png",1)</f>
        <v/>
      </c>
      <c r="N259" s="638" t="s">
        <v>1071</v>
      </c>
      <c r="O259" s="639"/>
      <c r="P259" s="640">
        <v>0.04</v>
      </c>
      <c r="Q259" s="610"/>
      <c r="R259" s="637" t="str">
        <f t="shared" ref="R259:R260" si="39">IMAGE("https://raw.githubusercontent.com/msikma/pokesprite/master/items-outline/hold-item/lucky-egg.png",1)</f>
        <v/>
      </c>
      <c r="S259" s="638" t="s">
        <v>1071</v>
      </c>
      <c r="T259" s="639"/>
      <c r="U259" s="640">
        <v>0.04</v>
      </c>
      <c r="V259" s="610"/>
      <c r="W259" s="637" t="str">
        <f t="shared" ref="W259:W260" si="40">IMAGE("https://raw.githubusercontent.com/msikma/pokesprite/master/items-outline/hold-item/lucky-egg.png",1)</f>
        <v/>
      </c>
      <c r="X259" s="638" t="s">
        <v>1071</v>
      </c>
      <c r="Y259" s="639"/>
      <c r="Z259" s="640">
        <v>0.04</v>
      </c>
      <c r="AA259" s="572"/>
      <c r="AB259" s="560"/>
    </row>
    <row r="260" ht="24.75" customHeight="1">
      <c r="A260" s="556"/>
      <c r="B260" s="577"/>
      <c r="C260" s="641" t="str">
        <f t="shared" si="36"/>
        <v/>
      </c>
      <c r="D260" s="642" t="s">
        <v>1071</v>
      </c>
      <c r="E260" s="643"/>
      <c r="F260" s="644">
        <v>0.01</v>
      </c>
      <c r="G260" s="645"/>
      <c r="H260" s="641" t="str">
        <f t="shared" si="37"/>
        <v/>
      </c>
      <c r="I260" s="642" t="s">
        <v>1071</v>
      </c>
      <c r="J260" s="643"/>
      <c r="K260" s="644">
        <v>0.01</v>
      </c>
      <c r="L260" s="646"/>
      <c r="M260" s="641" t="str">
        <f t="shared" si="38"/>
        <v/>
      </c>
      <c r="N260" s="642" t="s">
        <v>1071</v>
      </c>
      <c r="O260" s="643"/>
      <c r="P260" s="644">
        <v>0.01</v>
      </c>
      <c r="Q260" s="646"/>
      <c r="R260" s="641" t="str">
        <f t="shared" si="39"/>
        <v/>
      </c>
      <c r="S260" s="642" t="s">
        <v>1071</v>
      </c>
      <c r="T260" s="643"/>
      <c r="U260" s="644">
        <v>0.01</v>
      </c>
      <c r="V260" s="646"/>
      <c r="W260" s="641" t="str">
        <f t="shared" si="40"/>
        <v/>
      </c>
      <c r="X260" s="642" t="s">
        <v>1071</v>
      </c>
      <c r="Y260" s="643"/>
      <c r="Z260" s="644">
        <v>0.01</v>
      </c>
      <c r="AA260" s="572"/>
      <c r="AB260" s="560"/>
    </row>
    <row r="261" ht="60.0" customHeight="1">
      <c r="A261" s="556"/>
      <c r="B261" s="577"/>
      <c r="C261" s="680" t="s">
        <v>1138</v>
      </c>
      <c r="Z261" s="588"/>
      <c r="AA261" s="648"/>
      <c r="AB261" s="560"/>
    </row>
    <row r="262" ht="37.5" customHeight="1">
      <c r="A262" s="556"/>
      <c r="B262" s="577"/>
      <c r="C262" s="703"/>
      <c r="D262" s="704"/>
      <c r="E262" s="705"/>
      <c r="F262" s="706"/>
      <c r="G262" s="593"/>
      <c r="H262" s="590" t="s">
        <v>1139</v>
      </c>
      <c r="I262" s="168"/>
      <c r="J262" s="591"/>
      <c r="K262" s="592" t="str">
        <f t="array" ref="K262">IFERROR(VLOOKUP(H262,Dex!$B$3:$N689,2,FALSE),"")</f>
        <v/>
      </c>
      <c r="L262" s="594"/>
      <c r="M262" s="590" t="s">
        <v>1140</v>
      </c>
      <c r="N262" s="168"/>
      <c r="O262" s="591"/>
      <c r="P262" s="592" t="str">
        <f t="array" ref="P262">IFERROR(VLOOKUP(M262,Dex!$B$3:$N689,2,FALSE),"")</f>
        <v/>
      </c>
      <c r="Q262" s="594"/>
      <c r="R262" s="590" t="s">
        <v>1141</v>
      </c>
      <c r="S262" s="168"/>
      <c r="T262" s="591"/>
      <c r="U262" s="592" t="str">
        <f t="array" ref="U262">IFERROR(VLOOKUP(R262,Dex!$B$3:$N689,2,FALSE),"")</f>
        <v/>
      </c>
      <c r="V262" s="594"/>
      <c r="W262" s="703"/>
      <c r="X262" s="704"/>
      <c r="Y262" s="705"/>
      <c r="Z262" s="706"/>
      <c r="AA262" s="572"/>
      <c r="AB262" s="560"/>
    </row>
    <row r="263">
      <c r="A263" s="595"/>
      <c r="B263" s="596"/>
      <c r="C263" s="707"/>
      <c r="D263" s="704"/>
      <c r="E263" s="705"/>
      <c r="F263" s="708"/>
      <c r="G263" s="601"/>
      <c r="H263" s="597" t="s">
        <v>1056</v>
      </c>
      <c r="I263" s="598"/>
      <c r="J263" s="599"/>
      <c r="K263" s="600" t="s">
        <v>1057</v>
      </c>
      <c r="L263" s="602"/>
      <c r="M263" s="597" t="s">
        <v>1056</v>
      </c>
      <c r="N263" s="598"/>
      <c r="O263" s="599"/>
      <c r="P263" s="600" t="s">
        <v>1057</v>
      </c>
      <c r="Q263" s="602"/>
      <c r="R263" s="597" t="s">
        <v>1056</v>
      </c>
      <c r="S263" s="598"/>
      <c r="T263" s="599"/>
      <c r="U263" s="600" t="s">
        <v>1057</v>
      </c>
      <c r="V263" s="602"/>
      <c r="W263" s="707"/>
      <c r="X263" s="704"/>
      <c r="Y263" s="705"/>
      <c r="Z263" s="708"/>
      <c r="AA263" s="603"/>
      <c r="AB263" s="604"/>
    </row>
    <row r="264" ht="24.0" customHeight="1">
      <c r="A264" s="556"/>
      <c r="B264" s="577"/>
      <c r="C264" s="709"/>
      <c r="D264" s="710"/>
      <c r="E264" s="705"/>
      <c r="F264" s="711"/>
      <c r="G264" s="609"/>
      <c r="H264" s="605" t="str">
        <f>IMAGE("https://raw.githubusercontent.com/msikma/pokesprite/master/items-outline/valuable-item/star-piece.png",1)</f>
        <v/>
      </c>
      <c r="I264" s="606" t="s">
        <v>1108</v>
      </c>
      <c r="J264" s="607"/>
      <c r="K264" s="608">
        <v>1.0</v>
      </c>
      <c r="L264" s="610"/>
      <c r="M264" s="605" t="str">
        <f>IMAGE("https://raw.githubusercontent.com/msikma/pokesprite/master/items-outline/valuable-item/star-piece.png",1)</f>
        <v/>
      </c>
      <c r="N264" s="606" t="s">
        <v>1108</v>
      </c>
      <c r="O264" s="607"/>
      <c r="P264" s="608">
        <v>1.0</v>
      </c>
      <c r="Q264" s="610"/>
      <c r="R264" s="605" t="str">
        <f>IMAGE("https://raw.githubusercontent.com/msikma/pokesprite/master/items-outline/valuable-item/star-piece.png",1)</f>
        <v/>
      </c>
      <c r="S264" s="606" t="s">
        <v>1108</v>
      </c>
      <c r="T264" s="607"/>
      <c r="U264" s="608">
        <v>1.0</v>
      </c>
      <c r="V264" s="610"/>
      <c r="W264" s="709"/>
      <c r="X264" s="710"/>
      <c r="Y264" s="705"/>
      <c r="Z264" s="711"/>
      <c r="AA264" s="572"/>
      <c r="AB264" s="560"/>
    </row>
    <row r="265" ht="24.0" customHeight="1">
      <c r="A265" s="556"/>
      <c r="B265" s="577"/>
      <c r="C265" s="709"/>
      <c r="D265" s="710"/>
      <c r="E265" s="705"/>
      <c r="F265" s="712"/>
      <c r="G265" s="609"/>
      <c r="H265" s="611" t="str">
        <f>IMAGE("https://raw.githubusercontent.com/msikma/pokesprite/master/items-outline/valuable-item/nugget.png",1)</f>
        <v/>
      </c>
      <c r="I265" s="612" t="s">
        <v>1084</v>
      </c>
      <c r="J265" s="613"/>
      <c r="K265" s="614">
        <v>0.8</v>
      </c>
      <c r="L265" s="610"/>
      <c r="M265" s="611" t="str">
        <f>IMAGE("https://raw.githubusercontent.com/msikma/pokesprite/master/items-outline/valuable-item/nugget.png",1)</f>
        <v/>
      </c>
      <c r="N265" s="612" t="s">
        <v>1084</v>
      </c>
      <c r="O265" s="613"/>
      <c r="P265" s="614">
        <v>0.8</v>
      </c>
      <c r="Q265" s="610"/>
      <c r="R265" s="611" t="str">
        <f>IMAGE("https://raw.githubusercontent.com/msikma/pokesprite/master/items-outline/valuable-item/nugget.png",1)</f>
        <v/>
      </c>
      <c r="S265" s="612" t="s">
        <v>1084</v>
      </c>
      <c r="T265" s="613"/>
      <c r="U265" s="614">
        <v>0.8</v>
      </c>
      <c r="V265" s="610"/>
      <c r="W265" s="709"/>
      <c r="X265" s="710"/>
      <c r="Y265" s="705"/>
      <c r="Z265" s="712"/>
      <c r="AA265" s="572"/>
      <c r="AB265" s="560"/>
    </row>
    <row r="266" ht="24.0" customHeight="1">
      <c r="A266" s="556"/>
      <c r="B266" s="577"/>
      <c r="C266" s="709"/>
      <c r="D266" s="710"/>
      <c r="E266" s="705"/>
      <c r="F266" s="712"/>
      <c r="G266" s="609"/>
      <c r="H266" s="615" t="str">
        <f>IMAGE("https://raw.githubusercontent.com/msikma/pokesprite/master/items-outline/ball/dusk.png",1)</f>
        <v/>
      </c>
      <c r="I266" s="624" t="s">
        <v>1129</v>
      </c>
      <c r="J266" s="625"/>
      <c r="K266" s="713">
        <v>0.8</v>
      </c>
      <c r="L266" s="610"/>
      <c r="M266" s="615" t="str">
        <f>IMAGE("https://raw.githubusercontent.com/msikma/pokesprite/master/items-outline/ball/dusk.png",1)</f>
        <v/>
      </c>
      <c r="N266" s="624" t="s">
        <v>1129</v>
      </c>
      <c r="O266" s="625"/>
      <c r="P266" s="618">
        <v>0.8</v>
      </c>
      <c r="Q266" s="610"/>
      <c r="R266" s="615" t="str">
        <f>IMAGE("https://raw.githubusercontent.com/msikma/pokesprite/master/items-outline/ball/dusk.png",1)</f>
        <v/>
      </c>
      <c r="S266" s="624" t="s">
        <v>1129</v>
      </c>
      <c r="T266" s="625"/>
      <c r="U266" s="618">
        <v>0.8</v>
      </c>
      <c r="V266" s="610"/>
      <c r="W266" s="709"/>
      <c r="X266" s="710"/>
      <c r="Y266" s="705"/>
      <c r="Z266" s="712"/>
      <c r="AA266" s="572"/>
      <c r="AB266" s="560"/>
    </row>
    <row r="267" ht="24.0" customHeight="1">
      <c r="A267" s="556"/>
      <c r="B267" s="577"/>
      <c r="C267" s="709"/>
      <c r="D267" s="710"/>
      <c r="E267" s="705"/>
      <c r="F267" s="712"/>
      <c r="G267" s="609"/>
      <c r="H267" s="611" t="str">
        <f>IMAGE("https://raw.githubusercontent.com/msikma/pokesprite/master/items-outline/berry/salac.png",1)</f>
        <v/>
      </c>
      <c r="I267" s="612" t="s">
        <v>1142</v>
      </c>
      <c r="J267" s="613"/>
      <c r="K267" s="714">
        <v>0.3</v>
      </c>
      <c r="L267" s="610"/>
      <c r="M267" s="611" t="str">
        <f>IMAGE("https://raw.githubusercontent.com/msikma/pokesprite/master/items-outline/berry/salac.png",1)</f>
        <v/>
      </c>
      <c r="N267" s="612" t="s">
        <v>1142</v>
      </c>
      <c r="O267" s="613"/>
      <c r="P267" s="714">
        <v>0.3</v>
      </c>
      <c r="Q267" s="610"/>
      <c r="R267" s="611" t="str">
        <f>IMAGE("https://raw.githubusercontent.com/msikma/pokesprite/master/items-outline/berry/salac.png",1)</f>
        <v/>
      </c>
      <c r="S267" s="612" t="s">
        <v>1142</v>
      </c>
      <c r="T267" s="613"/>
      <c r="U267" s="714">
        <v>0.3</v>
      </c>
      <c r="V267" s="610"/>
      <c r="W267" s="709"/>
      <c r="X267" s="710"/>
      <c r="Y267" s="705"/>
      <c r="Z267" s="712"/>
      <c r="AA267" s="572"/>
      <c r="AB267" s="560"/>
    </row>
    <row r="268" ht="24.0" customHeight="1">
      <c r="A268" s="556"/>
      <c r="B268" s="577"/>
      <c r="C268" s="709"/>
      <c r="D268" s="710"/>
      <c r="E268" s="705"/>
      <c r="F268" s="712"/>
      <c r="G268" s="609"/>
      <c r="H268" s="615" t="str">
        <f>IMAGE("https://raw.githubusercontent.com/msikma/pokesprite/master/items-outline/ball/heal.png",1)</f>
        <v/>
      </c>
      <c r="I268" s="616" t="s">
        <v>1066</v>
      </c>
      <c r="J268" s="617"/>
      <c r="K268" s="670">
        <v>0.3</v>
      </c>
      <c r="L268" s="610"/>
      <c r="M268" s="615" t="str">
        <f>IMAGE("https://raw.githubusercontent.com/msikma/pokesprite/master/items-outline/ball/heal.png",1)</f>
        <v/>
      </c>
      <c r="N268" s="616" t="s">
        <v>1066</v>
      </c>
      <c r="O268" s="617"/>
      <c r="P268" s="670">
        <v>0.3</v>
      </c>
      <c r="Q268" s="610"/>
      <c r="R268" s="615" t="str">
        <f>IMAGE("https://raw.githubusercontent.com/msikma/pokesprite/master/items-outline/ball/heal.png",1)</f>
        <v/>
      </c>
      <c r="S268" s="616" t="s">
        <v>1066</v>
      </c>
      <c r="T268" s="617"/>
      <c r="U268" s="670">
        <v>0.3</v>
      </c>
      <c r="V268" s="610"/>
      <c r="W268" s="709"/>
      <c r="X268" s="710"/>
      <c r="Y268" s="705"/>
      <c r="Z268" s="712"/>
      <c r="AA268" s="572"/>
      <c r="AB268" s="560"/>
    </row>
    <row r="269" ht="24.0" customHeight="1">
      <c r="A269" s="556"/>
      <c r="B269" s="577"/>
      <c r="C269" s="709"/>
      <c r="D269" s="710"/>
      <c r="E269" s="705"/>
      <c r="F269" s="712"/>
      <c r="G269" s="609"/>
      <c r="H269" s="619" t="str">
        <f>IMAGE("https://raw.githubusercontent.com/msikma/pokesprite/master/items-outline/berry/leppa.png",1)</f>
        <v/>
      </c>
      <c r="I269" s="620" t="s">
        <v>1067</v>
      </c>
      <c r="J269" s="621"/>
      <c r="K269" s="629">
        <v>0.25</v>
      </c>
      <c r="L269" s="610"/>
      <c r="M269" s="619" t="str">
        <f>IMAGE("https://raw.githubusercontent.com/msikma/pokesprite/master/items-outline/berry/leppa.png",1)</f>
        <v/>
      </c>
      <c r="N269" s="620" t="s">
        <v>1067</v>
      </c>
      <c r="O269" s="621"/>
      <c r="P269" s="629">
        <v>0.25</v>
      </c>
      <c r="Q269" s="610"/>
      <c r="R269" s="619" t="str">
        <f>IMAGE("https://raw.githubusercontent.com/msikma/pokesprite/master/items-outline/berry/leppa.png",1)</f>
        <v/>
      </c>
      <c r="S269" s="620" t="s">
        <v>1067</v>
      </c>
      <c r="T269" s="621"/>
      <c r="U269" s="629">
        <v>0.25</v>
      </c>
      <c r="V269" s="610"/>
      <c r="W269" s="709"/>
      <c r="X269" s="710"/>
      <c r="Y269" s="705"/>
      <c r="Z269" s="712"/>
      <c r="AA269" s="572"/>
      <c r="AB269" s="560"/>
    </row>
    <row r="270" ht="24.0" customHeight="1">
      <c r="A270" s="556"/>
      <c r="B270" s="577"/>
      <c r="C270" s="709"/>
      <c r="D270" s="715"/>
      <c r="E270" s="705"/>
      <c r="F270" s="712"/>
      <c r="G270" s="609"/>
      <c r="H270" s="623" t="str">
        <f>IMAGE("https://raw.githubusercontent.com/msikma/pokesprite/master/items-outline/other-item/ability-patch.png",1)</f>
        <v/>
      </c>
      <c r="I270" s="630" t="s">
        <v>1101</v>
      </c>
      <c r="J270" s="625"/>
      <c r="K270" s="631">
        <v>0.25</v>
      </c>
      <c r="L270" s="610"/>
      <c r="M270" s="623" t="str">
        <f>IMAGE("https://raw.githubusercontent.com/msikma/pokesprite/master/items-outline/other-item/ability-patch.png",1)</f>
        <v/>
      </c>
      <c r="N270" s="630" t="s">
        <v>1101</v>
      </c>
      <c r="O270" s="625"/>
      <c r="P270" s="631">
        <v>0.25</v>
      </c>
      <c r="Q270" s="610"/>
      <c r="R270" s="623" t="str">
        <f>IMAGE("https://raw.githubusercontent.com/msikma/pokesprite/master/items-outline/other-item/ability-patch.png",1)</f>
        <v/>
      </c>
      <c r="S270" s="630" t="s">
        <v>1101</v>
      </c>
      <c r="T270" s="625"/>
      <c r="U270" s="631">
        <v>0.25</v>
      </c>
      <c r="V270" s="610"/>
      <c r="W270" s="709"/>
      <c r="X270" s="715"/>
      <c r="Y270" s="705"/>
      <c r="Z270" s="712"/>
      <c r="AA270" s="572"/>
      <c r="AB270" s="560"/>
    </row>
    <row r="271" ht="24.0" customHeight="1">
      <c r="A271" s="556"/>
      <c r="B271" s="577"/>
      <c r="C271" s="709"/>
      <c r="D271" s="715"/>
      <c r="E271" s="705"/>
      <c r="F271" s="711"/>
      <c r="G271" s="636"/>
      <c r="H271" s="632" t="str">
        <f>IMAGE("https://raw.githubusercontent.com/msikma/pokesprite/master/items-outline/medicine/pp-max.png",1)</f>
        <v/>
      </c>
      <c r="I271" s="633" t="s">
        <v>1143</v>
      </c>
      <c r="J271" s="634"/>
      <c r="K271" s="635">
        <v>0.05</v>
      </c>
      <c r="L271" s="610"/>
      <c r="M271" s="632" t="str">
        <f>IMAGE("https://raw.githubusercontent.com/msikma/pokesprite/master/items-outline/medicine/pp-max.png",1)</f>
        <v/>
      </c>
      <c r="N271" s="633" t="s">
        <v>1143</v>
      </c>
      <c r="O271" s="634"/>
      <c r="P271" s="635">
        <v>0.05</v>
      </c>
      <c r="Q271" s="610"/>
      <c r="R271" s="632" t="str">
        <f>IMAGE("https://raw.githubusercontent.com/msikma/pokesprite/master/items-outline/medicine/pp-max.png",1)</f>
        <v/>
      </c>
      <c r="S271" s="633" t="s">
        <v>1143</v>
      </c>
      <c r="T271" s="634"/>
      <c r="U271" s="635">
        <v>0.05</v>
      </c>
      <c r="V271" s="610"/>
      <c r="W271" s="709"/>
      <c r="X271" s="715"/>
      <c r="Y271" s="705"/>
      <c r="Z271" s="711"/>
      <c r="AA271" s="572"/>
      <c r="AB271" s="560"/>
    </row>
    <row r="272" ht="24.0" customHeight="1">
      <c r="A272" s="556"/>
      <c r="B272" s="577"/>
      <c r="C272" s="709"/>
      <c r="D272" s="715"/>
      <c r="E272" s="705"/>
      <c r="F272" s="711"/>
      <c r="G272" s="636"/>
      <c r="H272" s="637" t="str">
        <f t="shared" ref="H272:H273" si="41">IMAGE("https://raw.githubusercontent.com/msikma/pokesprite/master/items/medicine/pp-max.png",1)</f>
        <v/>
      </c>
      <c r="I272" s="638" t="s">
        <v>1143</v>
      </c>
      <c r="J272" s="639"/>
      <c r="K272" s="640">
        <v>0.04</v>
      </c>
      <c r="L272" s="610"/>
      <c r="M272" s="637" t="str">
        <f t="shared" ref="M272:M273" si="42">IMAGE("https://raw.githubusercontent.com/msikma/pokesprite/master/items/medicine/pp-max.png",1)</f>
        <v/>
      </c>
      <c r="N272" s="638" t="s">
        <v>1143</v>
      </c>
      <c r="O272" s="639"/>
      <c r="P272" s="640">
        <v>0.04</v>
      </c>
      <c r="Q272" s="610"/>
      <c r="R272" s="637" t="str">
        <f t="shared" ref="R272:R273" si="43">IMAGE("https://raw.githubusercontent.com/msikma/pokesprite/master/items/medicine/pp-max.png",1)</f>
        <v/>
      </c>
      <c r="S272" s="638" t="s">
        <v>1143</v>
      </c>
      <c r="T272" s="639"/>
      <c r="U272" s="640">
        <v>0.04</v>
      </c>
      <c r="V272" s="610"/>
      <c r="W272" s="709"/>
      <c r="X272" s="715"/>
      <c r="Y272" s="705"/>
      <c r="Z272" s="711"/>
      <c r="AA272" s="572"/>
      <c r="AB272" s="560"/>
    </row>
    <row r="273" ht="24.75" customHeight="1">
      <c r="A273" s="556"/>
      <c r="B273" s="577"/>
      <c r="C273" s="709"/>
      <c r="D273" s="715"/>
      <c r="E273" s="705"/>
      <c r="F273" s="711"/>
      <c r="G273" s="645"/>
      <c r="H273" s="641" t="str">
        <f t="shared" si="41"/>
        <v/>
      </c>
      <c r="I273" s="642" t="s">
        <v>1143</v>
      </c>
      <c r="J273" s="643"/>
      <c r="K273" s="644">
        <v>0.01</v>
      </c>
      <c r="L273" s="646"/>
      <c r="M273" s="641" t="str">
        <f t="shared" si="42"/>
        <v/>
      </c>
      <c r="N273" s="642" t="s">
        <v>1143</v>
      </c>
      <c r="O273" s="643"/>
      <c r="P273" s="644">
        <v>0.01</v>
      </c>
      <c r="Q273" s="646"/>
      <c r="R273" s="641" t="str">
        <f t="shared" si="43"/>
        <v/>
      </c>
      <c r="S273" s="642" t="s">
        <v>1143</v>
      </c>
      <c r="T273" s="643"/>
      <c r="U273" s="644">
        <v>0.01</v>
      </c>
      <c r="V273" s="646"/>
      <c r="W273" s="709"/>
      <c r="X273" s="715"/>
      <c r="Y273" s="705"/>
      <c r="Z273" s="711"/>
      <c r="AA273" s="572"/>
      <c r="AB273" s="560"/>
    </row>
    <row r="274" ht="60.0" customHeight="1">
      <c r="A274" s="556"/>
      <c r="B274" s="577"/>
      <c r="C274" s="680" t="s">
        <v>1144</v>
      </c>
      <c r="Z274" s="588"/>
      <c r="AA274" s="648"/>
      <c r="AB274" s="560"/>
    </row>
    <row r="275" ht="37.5" customHeight="1">
      <c r="A275" s="556"/>
      <c r="B275" s="577"/>
      <c r="C275" s="590" t="s">
        <v>320</v>
      </c>
      <c r="D275" s="168"/>
      <c r="E275" s="591"/>
      <c r="F275" s="592" t="str">
        <f t="array" ref="F275">IFERROR(VLOOKUP(C275,Dex!$B$3:$N689,2,FALSE),"")</f>
        <v/>
      </c>
      <c r="G275" s="593"/>
      <c r="H275" s="590" t="s">
        <v>472</v>
      </c>
      <c r="I275" s="168"/>
      <c r="J275" s="591"/>
      <c r="K275" s="592" t="str">
        <f t="array" ref="K275">IFERROR(VLOOKUP(H275,Dex!$B$3:$N689,2,FALSE),"")</f>
        <v/>
      </c>
      <c r="L275" s="594"/>
      <c r="M275" s="590" t="s">
        <v>693</v>
      </c>
      <c r="N275" s="168"/>
      <c r="O275" s="591"/>
      <c r="P275" s="592" t="str">
        <f t="array" ref="P275">IFERROR(VLOOKUP(M275,Dex!$B$3:$N689,2,FALSE),"")</f>
        <v/>
      </c>
      <c r="Q275" s="594"/>
      <c r="R275" s="590" t="s">
        <v>1145</v>
      </c>
      <c r="S275" s="168"/>
      <c r="T275" s="591"/>
      <c r="U275" s="592" t="str">
        <f t="array" ref="U275">IFERROR(VLOOKUP(R275,Dex!$B$3:$N689,2,FALSE),"")</f>
        <v/>
      </c>
      <c r="V275" s="594"/>
      <c r="W275" s="590" t="s">
        <v>153</v>
      </c>
      <c r="X275" s="168"/>
      <c r="Y275" s="591"/>
      <c r="Z275" s="592" t="str">
        <f t="array" ref="Z275">IFERROR(VLOOKUP(W275,Dex!$B$3:$N689,2,FALSE),"")</f>
        <v/>
      </c>
      <c r="AA275" s="572"/>
      <c r="AB275" s="560"/>
    </row>
    <row r="276">
      <c r="A276" s="595"/>
      <c r="B276" s="596"/>
      <c r="C276" s="597" t="s">
        <v>1056</v>
      </c>
      <c r="D276" s="598"/>
      <c r="E276" s="599"/>
      <c r="F276" s="600" t="s">
        <v>1057</v>
      </c>
      <c r="G276" s="601"/>
      <c r="H276" s="597" t="s">
        <v>1056</v>
      </c>
      <c r="I276" s="598"/>
      <c r="J276" s="599"/>
      <c r="K276" s="600" t="s">
        <v>1057</v>
      </c>
      <c r="L276" s="602"/>
      <c r="M276" s="597" t="s">
        <v>1056</v>
      </c>
      <c r="N276" s="598"/>
      <c r="O276" s="599"/>
      <c r="P276" s="600" t="s">
        <v>1057</v>
      </c>
      <c r="Q276" s="602"/>
      <c r="R276" s="597" t="s">
        <v>1056</v>
      </c>
      <c r="S276" s="598"/>
      <c r="T276" s="599"/>
      <c r="U276" s="600" t="s">
        <v>1057</v>
      </c>
      <c r="V276" s="602"/>
      <c r="W276" s="597" t="s">
        <v>1056</v>
      </c>
      <c r="X276" s="598"/>
      <c r="Y276" s="599"/>
      <c r="Z276" s="600" t="s">
        <v>1057</v>
      </c>
      <c r="AA276" s="603"/>
      <c r="AB276" s="604"/>
    </row>
    <row r="277" ht="24.0" customHeight="1">
      <c r="A277" s="556"/>
      <c r="B277" s="577"/>
      <c r="C277" s="605" t="str">
        <f>IMAGE("https://raw.githubusercontent.com/msikma/pokesprite/master/items-outline/valuable-item/star-piece.png",1)</f>
        <v/>
      </c>
      <c r="D277" s="606" t="s">
        <v>1108</v>
      </c>
      <c r="E277" s="607"/>
      <c r="F277" s="608">
        <v>1.0</v>
      </c>
      <c r="G277" s="609"/>
      <c r="H277" s="605" t="str">
        <f>IMAGE("https://raw.githubusercontent.com/msikma/pokesprite/master/items-outline/valuable-item/star-piece.png",1)</f>
        <v/>
      </c>
      <c r="I277" s="606" t="s">
        <v>1108</v>
      </c>
      <c r="J277" s="607"/>
      <c r="K277" s="608">
        <v>1.0</v>
      </c>
      <c r="L277" s="610"/>
      <c r="M277" s="605" t="str">
        <f>IMAGE("https://raw.githubusercontent.com/msikma/pokesprite/master/items-outline/valuable-item/star-piece.png",1)</f>
        <v/>
      </c>
      <c r="N277" s="606" t="s">
        <v>1108</v>
      </c>
      <c r="O277" s="607"/>
      <c r="P277" s="608">
        <v>1.0</v>
      </c>
      <c r="Q277" s="610"/>
      <c r="R277" s="605" t="str">
        <f>IMAGE("https://raw.githubusercontent.com/msikma/pokesprite/master/items-outline/valuable-item/star-piece.png",1)</f>
        <v/>
      </c>
      <c r="S277" s="606" t="s">
        <v>1108</v>
      </c>
      <c r="T277" s="607"/>
      <c r="U277" s="608">
        <v>1.0</v>
      </c>
      <c r="V277" s="610"/>
      <c r="W277" s="605" t="str">
        <f>IMAGE("https://raw.githubusercontent.com/msikma/pokesprite/master/items-outline/valuable-item/star-piece.png",1)</f>
        <v/>
      </c>
      <c r="X277" s="606" t="s">
        <v>1108</v>
      </c>
      <c r="Y277" s="607"/>
      <c r="Z277" s="608">
        <v>1.0</v>
      </c>
      <c r="AA277" s="572"/>
      <c r="AB277" s="560"/>
    </row>
    <row r="278" ht="24.0" customHeight="1">
      <c r="A278" s="556"/>
      <c r="B278" s="577"/>
      <c r="C278" s="611" t="str">
        <f>IMAGE("https://raw.githubusercontent.com/msikma/pokesprite/master/items-outline/ball/dusk.png",1)</f>
        <v/>
      </c>
      <c r="D278" s="612" t="s">
        <v>1129</v>
      </c>
      <c r="E278" s="613"/>
      <c r="F278" s="614">
        <v>0.8</v>
      </c>
      <c r="G278" s="609"/>
      <c r="H278" s="611" t="str">
        <f>IMAGE("https://raw.githubusercontent.com/msikma/pokesprite/master/items-outline/ball/dusk.png",1)</f>
        <v/>
      </c>
      <c r="I278" s="612" t="s">
        <v>1129</v>
      </c>
      <c r="J278" s="613"/>
      <c r="K278" s="614">
        <v>0.8</v>
      </c>
      <c r="L278" s="610"/>
      <c r="M278" s="611" t="str">
        <f>IMAGE("https://raw.githubusercontent.com/msikma/pokesprite/master/items-outline/ball/dusk.png",1)</f>
        <v/>
      </c>
      <c r="N278" s="612" t="s">
        <v>1129</v>
      </c>
      <c r="O278" s="613"/>
      <c r="P278" s="614">
        <v>0.8</v>
      </c>
      <c r="Q278" s="610"/>
      <c r="R278" s="611" t="str">
        <f>IMAGE("https://raw.githubusercontent.com/msikma/pokesprite/master/items-outline/ball/dusk.png",1)</f>
        <v/>
      </c>
      <c r="S278" s="612" t="s">
        <v>1129</v>
      </c>
      <c r="T278" s="613"/>
      <c r="U278" s="614">
        <v>0.8</v>
      </c>
      <c r="V278" s="610"/>
      <c r="W278" s="611" t="str">
        <f>IMAGE("https://raw.githubusercontent.com/msikma/pokesprite/master/items-outline/ball/dusk.png",1)</f>
        <v/>
      </c>
      <c r="X278" s="612" t="s">
        <v>1129</v>
      </c>
      <c r="Y278" s="613"/>
      <c r="Z278" s="614">
        <v>0.8</v>
      </c>
      <c r="AA278" s="572"/>
      <c r="AB278" s="560"/>
    </row>
    <row r="279" ht="24.0" customHeight="1">
      <c r="A279" s="556"/>
      <c r="B279" s="577"/>
      <c r="C279" s="615" t="str">
        <f>IMAGE("https://raw.githubusercontent.com/msikma/pokesprite/master/items-outline/medicine/protein.png",1)</f>
        <v/>
      </c>
      <c r="D279" s="616" t="s">
        <v>1069</v>
      </c>
      <c r="E279" s="617"/>
      <c r="F279" s="618">
        <v>0.8</v>
      </c>
      <c r="G279" s="609"/>
      <c r="H279" s="615" t="str">
        <f>IMAGE("https://raw.githubusercontent.com/msikma/pokesprite/master/items-outline/medicine/protein.png",1)</f>
        <v/>
      </c>
      <c r="I279" s="616" t="s">
        <v>1069</v>
      </c>
      <c r="J279" s="617"/>
      <c r="K279" s="618">
        <v>0.8</v>
      </c>
      <c r="L279" s="610"/>
      <c r="M279" s="615" t="str">
        <f>IMAGE("https://raw.githubusercontent.com/msikma/pokesprite/master/items-outline/medicine/protein.png",1)</f>
        <v/>
      </c>
      <c r="N279" s="616" t="s">
        <v>1069</v>
      </c>
      <c r="O279" s="617"/>
      <c r="P279" s="618">
        <v>0.8</v>
      </c>
      <c r="Q279" s="610"/>
      <c r="R279" s="615" t="str">
        <f>IMAGE("https://raw.githubusercontent.com/msikma/pokesprite/master/items-outline/medicine/protein.png",1)</f>
        <v/>
      </c>
      <c r="S279" s="616" t="s">
        <v>1069</v>
      </c>
      <c r="T279" s="617"/>
      <c r="U279" s="618">
        <v>0.8</v>
      </c>
      <c r="V279" s="610"/>
      <c r="W279" s="615" t="str">
        <f>IMAGE("https://raw.githubusercontent.com/msikma/pokesprite/master/items-outline/medicine/protein.png",1)</f>
        <v/>
      </c>
      <c r="X279" s="616" t="s">
        <v>1069</v>
      </c>
      <c r="Y279" s="617"/>
      <c r="Z279" s="618">
        <v>0.8</v>
      </c>
      <c r="AA279" s="572"/>
      <c r="AB279" s="560"/>
    </row>
    <row r="280" ht="24.0" customHeight="1">
      <c r="A280" s="556"/>
      <c r="B280" s="577"/>
      <c r="C280" s="619" t="str">
        <f>IMAGE("https://raw.githubusercontent.com/msikma/pokesprite/master/items-outline/medicine/muscle-wing.png",1)</f>
        <v/>
      </c>
      <c r="D280" s="620" t="s">
        <v>1060</v>
      </c>
      <c r="E280" s="621"/>
      <c r="F280" s="622">
        <v>0.5</v>
      </c>
      <c r="G280" s="609"/>
      <c r="H280" s="619" t="str">
        <f>IMAGE("https://raw.githubusercontent.com/msikma/pokesprite/master/items-outline/medicine/muscle-wing.png",1)</f>
        <v/>
      </c>
      <c r="I280" s="620" t="s">
        <v>1060</v>
      </c>
      <c r="J280" s="621"/>
      <c r="K280" s="622">
        <v>0.5</v>
      </c>
      <c r="L280" s="610"/>
      <c r="M280" s="619" t="str">
        <f>IMAGE("https://raw.githubusercontent.com/msikma/pokesprite/master/items-outline/medicine/muscle-wing.png",1)</f>
        <v/>
      </c>
      <c r="N280" s="620" t="s">
        <v>1060</v>
      </c>
      <c r="O280" s="621"/>
      <c r="P280" s="622">
        <v>0.5</v>
      </c>
      <c r="Q280" s="610"/>
      <c r="R280" s="619" t="str">
        <f>IMAGE("https://raw.githubusercontent.com/msikma/pokesprite/master/items-outline/medicine/muscle-wing.png",1)</f>
        <v/>
      </c>
      <c r="S280" s="620" t="s">
        <v>1060</v>
      </c>
      <c r="T280" s="621"/>
      <c r="U280" s="622">
        <v>0.5</v>
      </c>
      <c r="V280" s="610"/>
      <c r="W280" s="619" t="str">
        <f>IMAGE("https://raw.githubusercontent.com/msikma/pokesprite/master/items-outline/medicine/muscle-wing.png",1)</f>
        <v/>
      </c>
      <c r="X280" s="620" t="s">
        <v>1060</v>
      </c>
      <c r="Y280" s="621"/>
      <c r="Z280" s="622">
        <v>0.5</v>
      </c>
      <c r="AA280" s="572"/>
      <c r="AB280" s="560"/>
    </row>
    <row r="281" ht="24.0" customHeight="1">
      <c r="A281" s="556"/>
      <c r="B281" s="577"/>
      <c r="C281" s="623" t="str">
        <f>IMAGE("https://raw.githubusercontent.com/msikma/pokesprite/master/items-outline/berry/kebia.png",1)</f>
        <v/>
      </c>
      <c r="D281" s="624" t="s">
        <v>1146</v>
      </c>
      <c r="E281" s="625"/>
      <c r="F281" s="626">
        <v>0.5</v>
      </c>
      <c r="G281" s="609"/>
      <c r="H281" s="623" t="str">
        <f>IMAGE("https://raw.githubusercontent.com/msikma/pokesprite/master/items-outline/berry/kebia.png",1)</f>
        <v/>
      </c>
      <c r="I281" s="624" t="s">
        <v>1146</v>
      </c>
      <c r="J281" s="625"/>
      <c r="K281" s="626">
        <v>0.5</v>
      </c>
      <c r="L281" s="610"/>
      <c r="M281" s="623" t="str">
        <f>IMAGE("https://raw.githubusercontent.com/msikma/pokesprite/master/items-outline/berry/kebia.png",1)</f>
        <v/>
      </c>
      <c r="N281" s="624" t="s">
        <v>1146</v>
      </c>
      <c r="O281" s="625"/>
      <c r="P281" s="626">
        <v>0.5</v>
      </c>
      <c r="Q281" s="610"/>
      <c r="R281" s="623" t="str">
        <f>IMAGE("https://raw.githubusercontent.com/msikma/pokesprite/master/items-outline/berry/kebia.png",1)</f>
        <v/>
      </c>
      <c r="S281" s="624" t="s">
        <v>1146</v>
      </c>
      <c r="T281" s="625"/>
      <c r="U281" s="626">
        <v>0.5</v>
      </c>
      <c r="V281" s="610"/>
      <c r="W281" s="623" t="str">
        <f>IMAGE("https://raw.githubusercontent.com/msikma/pokesprite/master/items-outline/berry/kebia.png",1)</f>
        <v/>
      </c>
      <c r="X281" s="624" t="s">
        <v>1146</v>
      </c>
      <c r="Y281" s="625"/>
      <c r="Z281" s="626">
        <v>0.5</v>
      </c>
      <c r="AA281" s="572"/>
      <c r="AB281" s="560"/>
    </row>
    <row r="282" ht="24.0" customHeight="1">
      <c r="A282" s="556"/>
      <c r="B282" s="577"/>
      <c r="C282" s="611" t="str">
        <f>IMAGE("https://raw.githubusercontent.com/msikma/pokesprite/master/items-outline/valuable-item/nugget.png",1)</f>
        <v/>
      </c>
      <c r="D282" s="612" t="s">
        <v>1084</v>
      </c>
      <c r="E282" s="613"/>
      <c r="F282" s="627">
        <v>0.3</v>
      </c>
      <c r="G282" s="609"/>
      <c r="H282" s="611" t="str">
        <f>IMAGE("https://raw.githubusercontent.com/msikma/pokesprite/master/items-outline/valuable-item/nugget.png",1)</f>
        <v/>
      </c>
      <c r="I282" s="612" t="s">
        <v>1084</v>
      </c>
      <c r="J282" s="613"/>
      <c r="K282" s="627">
        <v>0.3</v>
      </c>
      <c r="L282" s="610"/>
      <c r="M282" s="611" t="str">
        <f>IMAGE("https://raw.githubusercontent.com/msikma/pokesprite/master/items-outline/valuable-item/nugget.png",1)</f>
        <v/>
      </c>
      <c r="N282" s="612" t="s">
        <v>1084</v>
      </c>
      <c r="O282" s="613"/>
      <c r="P282" s="627">
        <v>0.3</v>
      </c>
      <c r="Q282" s="610"/>
      <c r="R282" s="611" t="str">
        <f>IMAGE("https://raw.githubusercontent.com/msikma/pokesprite/master/items-outline/valuable-item/nugget.png",1)</f>
        <v/>
      </c>
      <c r="S282" s="612" t="s">
        <v>1084</v>
      </c>
      <c r="T282" s="613"/>
      <c r="U282" s="627">
        <v>0.3</v>
      </c>
      <c r="V282" s="610"/>
      <c r="W282" s="611" t="str">
        <f>IMAGE("https://raw.githubusercontent.com/msikma/pokesprite/master/items-outline/valuable-item/nugget.png",1)</f>
        <v/>
      </c>
      <c r="X282" s="612" t="s">
        <v>1084</v>
      </c>
      <c r="Y282" s="613"/>
      <c r="Z282" s="627">
        <v>0.3</v>
      </c>
      <c r="AA282" s="572"/>
      <c r="AB282" s="560"/>
    </row>
    <row r="283" ht="24.0" customHeight="1">
      <c r="A283" s="556"/>
      <c r="B283" s="577"/>
      <c r="C283" s="615" t="str">
        <f>IMAGE("https://raw.githubusercontent.com/msikma/pokesprite/master/items-outline/berry/liechi.png",1)</f>
        <v/>
      </c>
      <c r="D283" s="616" t="s">
        <v>1147</v>
      </c>
      <c r="E283" s="617"/>
      <c r="F283" s="628">
        <v>0.3</v>
      </c>
      <c r="G283" s="609"/>
      <c r="H283" s="615" t="str">
        <f>IMAGE("https://raw.githubusercontent.com/msikma/pokesprite/master/items-outline/berry/liechi.png",1)</f>
        <v/>
      </c>
      <c r="I283" s="616" t="s">
        <v>1147</v>
      </c>
      <c r="J283" s="617"/>
      <c r="K283" s="628">
        <v>0.3</v>
      </c>
      <c r="L283" s="610"/>
      <c r="M283" s="615" t="str">
        <f>IMAGE("https://raw.githubusercontent.com/msikma/pokesprite/master/items-outline/berry/liechi.png",1)</f>
        <v/>
      </c>
      <c r="N283" s="616" t="s">
        <v>1147</v>
      </c>
      <c r="O283" s="617"/>
      <c r="P283" s="628">
        <v>0.3</v>
      </c>
      <c r="Q283" s="610"/>
      <c r="R283" s="615" t="str">
        <f>IMAGE("https://raw.githubusercontent.com/msikma/pokesprite/master/items-outline/berry/liechi.png",1)</f>
        <v/>
      </c>
      <c r="S283" s="616" t="s">
        <v>1147</v>
      </c>
      <c r="T283" s="617"/>
      <c r="U283" s="628">
        <v>0.3</v>
      </c>
      <c r="V283" s="610"/>
      <c r="W283" s="615" t="str">
        <f>IMAGE("https://raw.githubusercontent.com/msikma/pokesprite/master/items-outline/berry/liechi.png",1)</f>
        <v/>
      </c>
      <c r="X283" s="616" t="s">
        <v>1147</v>
      </c>
      <c r="Y283" s="617"/>
      <c r="Z283" s="628">
        <v>0.3</v>
      </c>
      <c r="AA283" s="572"/>
      <c r="AB283" s="560"/>
    </row>
    <row r="284" ht="24.0" customHeight="1">
      <c r="A284" s="556"/>
      <c r="B284" s="577"/>
      <c r="C284" s="619" t="str">
        <f>IMAGE("https://raw.githubusercontent.com/msikma/pokesprite/master/items-outline/medicine/pp-up.png",1)</f>
        <v/>
      </c>
      <c r="D284" s="620" t="s">
        <v>1070</v>
      </c>
      <c r="E284" s="621"/>
      <c r="F284" s="629">
        <v>0.25</v>
      </c>
      <c r="G284" s="609"/>
      <c r="H284" s="619" t="str">
        <f>IMAGE("https://raw.githubusercontent.com/msikma/pokesprite/master/items-outline/medicine/pp-up.png",1)</f>
        <v/>
      </c>
      <c r="I284" s="620" t="s">
        <v>1070</v>
      </c>
      <c r="J284" s="621"/>
      <c r="K284" s="629">
        <v>0.25</v>
      </c>
      <c r="L284" s="610"/>
      <c r="M284" s="619" t="str">
        <f>IMAGE("https://raw.githubusercontent.com/msikma/pokesprite/master/items-outline/medicine/pp-up.png",1)</f>
        <v/>
      </c>
      <c r="N284" s="620" t="s">
        <v>1070</v>
      </c>
      <c r="O284" s="621"/>
      <c r="P284" s="629">
        <v>0.25</v>
      </c>
      <c r="Q284" s="610"/>
      <c r="R284" s="619" t="str">
        <f>IMAGE("https://raw.githubusercontent.com/msikma/pokesprite/master/items-outline/medicine/pp-up.png",1)</f>
        <v/>
      </c>
      <c r="S284" s="620" t="s">
        <v>1070</v>
      </c>
      <c r="T284" s="621"/>
      <c r="U284" s="629">
        <v>0.25</v>
      </c>
      <c r="V284" s="610"/>
      <c r="W284" s="619" t="str">
        <f>IMAGE("https://raw.githubusercontent.com/msikma/pokesprite/master/items-outline/medicine/pp-up.png",1)</f>
        <v/>
      </c>
      <c r="X284" s="620" t="s">
        <v>1070</v>
      </c>
      <c r="Y284" s="621"/>
      <c r="Z284" s="629">
        <v>0.25</v>
      </c>
      <c r="AA284" s="572"/>
      <c r="AB284" s="560"/>
    </row>
    <row r="285" ht="24.0" customHeight="1">
      <c r="A285" s="556"/>
      <c r="B285" s="577"/>
      <c r="C285" s="623" t="str">
        <f>IMAGE("https://raw.githubusercontent.com/msikma/pokesprite/master/items-outline/ball/dream.png",1)</f>
        <v/>
      </c>
      <c r="D285" s="630" t="s">
        <v>1117</v>
      </c>
      <c r="E285" s="625"/>
      <c r="F285" s="631">
        <v>0.25</v>
      </c>
      <c r="G285" s="609"/>
      <c r="H285" s="623" t="str">
        <f>IMAGE("https://raw.githubusercontent.com/msikma/pokesprite/master/items-outline/ball/dream.png",1)</f>
        <v/>
      </c>
      <c r="I285" s="630" t="s">
        <v>1117</v>
      </c>
      <c r="J285" s="625"/>
      <c r="K285" s="631">
        <v>0.25</v>
      </c>
      <c r="L285" s="610"/>
      <c r="M285" s="623" t="str">
        <f>IMAGE("https://raw.githubusercontent.com/msikma/pokesprite/master/items-outline/ball/dream.png",1)</f>
        <v/>
      </c>
      <c r="N285" s="630" t="s">
        <v>1117</v>
      </c>
      <c r="O285" s="625"/>
      <c r="P285" s="631">
        <v>0.25</v>
      </c>
      <c r="Q285" s="610"/>
      <c r="R285" s="623" t="str">
        <f>IMAGE("https://raw.githubusercontent.com/msikma/pokesprite/master/items-outline/ball/dream.png",1)</f>
        <v/>
      </c>
      <c r="S285" s="630" t="s">
        <v>1117</v>
      </c>
      <c r="T285" s="625"/>
      <c r="U285" s="631">
        <v>0.25</v>
      </c>
      <c r="V285" s="610"/>
      <c r="W285" s="623" t="str">
        <f>IMAGE("https://raw.githubusercontent.com/msikma/pokesprite/master/items-outline/ball/dream.png",1)</f>
        <v/>
      </c>
      <c r="X285" s="630" t="s">
        <v>1117</v>
      </c>
      <c r="Y285" s="625"/>
      <c r="Z285" s="631">
        <v>0.25</v>
      </c>
      <c r="AA285" s="572"/>
      <c r="AB285" s="560"/>
    </row>
    <row r="286" ht="24.0" customHeight="1">
      <c r="A286" s="556"/>
      <c r="B286" s="577"/>
      <c r="C286" s="632" t="str">
        <f>IMAGE("https://raw.githubusercontent.com/msikma/pokesprite/master/items-outline/valuable-item/big-nugget.png",1)</f>
        <v/>
      </c>
      <c r="D286" s="633" t="s">
        <v>1131</v>
      </c>
      <c r="E286" s="634"/>
      <c r="F286" s="635">
        <v>0.05</v>
      </c>
      <c r="G286" s="636"/>
      <c r="H286" s="632" t="str">
        <f>IMAGE("https://raw.githubusercontent.com/msikma/pokesprite/master/items-outline/valuable-item/big-nugget.png",1)</f>
        <v/>
      </c>
      <c r="I286" s="633" t="s">
        <v>1131</v>
      </c>
      <c r="J286" s="634"/>
      <c r="K286" s="635">
        <v>0.05</v>
      </c>
      <c r="L286" s="610"/>
      <c r="M286" s="632" t="str">
        <f>IMAGE("https://raw.githubusercontent.com/msikma/pokesprite/master/items-outline/valuable-item/big-nugget.png",1)</f>
        <v/>
      </c>
      <c r="N286" s="633" t="s">
        <v>1131</v>
      </c>
      <c r="O286" s="634"/>
      <c r="P286" s="635">
        <v>0.05</v>
      </c>
      <c r="Q286" s="610"/>
      <c r="R286" s="632" t="str">
        <f>IMAGE("https://raw.githubusercontent.com/msikma/pokesprite/master/items-outline/valuable-item/big-nugget.png",1)</f>
        <v/>
      </c>
      <c r="S286" s="633" t="s">
        <v>1131</v>
      </c>
      <c r="T286" s="634"/>
      <c r="U286" s="635">
        <v>0.05</v>
      </c>
      <c r="V286" s="610"/>
      <c r="W286" s="632" t="str">
        <f>IMAGE("https://raw.githubusercontent.com/msikma/pokesprite/master/items-outline/valuable-item/big-nugget.png",1)</f>
        <v/>
      </c>
      <c r="X286" s="633" t="s">
        <v>1131</v>
      </c>
      <c r="Y286" s="634"/>
      <c r="Z286" s="635">
        <v>0.05</v>
      </c>
      <c r="AA286" s="572"/>
      <c r="AB286" s="560"/>
    </row>
    <row r="287" ht="24.0" customHeight="1">
      <c r="A287" s="556"/>
      <c r="B287" s="577"/>
      <c r="C287" s="637" t="str">
        <f>IMAGE("https://raw.githubusercontent.com/msikma/pokesprite/master/items-outline/hold-item/lucky-egg.png",1)</f>
        <v/>
      </c>
      <c r="D287" s="638" t="s">
        <v>1071</v>
      </c>
      <c r="E287" s="639"/>
      <c r="F287" s="640">
        <v>0.04</v>
      </c>
      <c r="G287" s="636"/>
      <c r="H287" s="637" t="str">
        <f>IMAGE("https://raw.githubusercontent.com/msikma/pokesprite/master/items-outline/hold-item/lucky-egg.png",1)</f>
        <v/>
      </c>
      <c r="I287" s="638" t="s">
        <v>1071</v>
      </c>
      <c r="J287" s="639"/>
      <c r="K287" s="640">
        <v>0.04</v>
      </c>
      <c r="L287" s="610"/>
      <c r="M287" s="637" t="str">
        <f>IMAGE("https://raw.githubusercontent.com/msikma/pokesprite/master/items-outline/hold-item/lucky-egg.png",1)</f>
        <v/>
      </c>
      <c r="N287" s="638" t="s">
        <v>1071</v>
      </c>
      <c r="O287" s="639"/>
      <c r="P287" s="640">
        <v>0.04</v>
      </c>
      <c r="Q287" s="610"/>
      <c r="R287" s="637" t="str">
        <f>IMAGE("https://raw.githubusercontent.com/msikma/pokesprite/master/items-outline/hold-item/lucky-egg.png",1)</f>
        <v/>
      </c>
      <c r="S287" s="638" t="s">
        <v>1071</v>
      </c>
      <c r="T287" s="639"/>
      <c r="U287" s="640">
        <v>0.04</v>
      </c>
      <c r="V287" s="610"/>
      <c r="W287" s="637" t="str">
        <f>IMAGE("https://raw.githubusercontent.com/msikma/pokesprite/master/items-outline/hold-item/lucky-egg.png",1)</f>
        <v/>
      </c>
      <c r="X287" s="638" t="s">
        <v>1071</v>
      </c>
      <c r="Y287" s="639"/>
      <c r="Z287" s="640">
        <v>0.04</v>
      </c>
      <c r="AA287" s="572"/>
      <c r="AB287" s="560"/>
    </row>
    <row r="288" ht="24.75" customHeight="1">
      <c r="A288" s="556"/>
      <c r="B288" s="577"/>
      <c r="C288" s="641"/>
      <c r="D288" s="642" t="s">
        <v>1071</v>
      </c>
      <c r="E288" s="643"/>
      <c r="F288" s="644">
        <v>0.01</v>
      </c>
      <c r="G288" s="645"/>
      <c r="H288" s="641"/>
      <c r="I288" s="642" t="s">
        <v>1071</v>
      </c>
      <c r="J288" s="643"/>
      <c r="K288" s="644">
        <v>0.01</v>
      </c>
      <c r="L288" s="646"/>
      <c r="M288" s="641"/>
      <c r="N288" s="642" t="s">
        <v>1071</v>
      </c>
      <c r="O288" s="643"/>
      <c r="P288" s="644">
        <v>0.01</v>
      </c>
      <c r="Q288" s="646"/>
      <c r="R288" s="641"/>
      <c r="S288" s="642" t="s">
        <v>1071</v>
      </c>
      <c r="T288" s="643"/>
      <c r="U288" s="644">
        <v>0.01</v>
      </c>
      <c r="V288" s="646"/>
      <c r="W288" s="641"/>
      <c r="X288" s="642" t="s">
        <v>1071</v>
      </c>
      <c r="Y288" s="643"/>
      <c r="Z288" s="644">
        <v>0.01</v>
      </c>
      <c r="AA288" s="572"/>
      <c r="AB288" s="560"/>
    </row>
    <row r="289" ht="60.0" customHeight="1">
      <c r="A289" s="556"/>
      <c r="B289" s="577"/>
      <c r="C289" s="680" t="s">
        <v>1148</v>
      </c>
      <c r="Z289" s="588"/>
      <c r="AA289" s="648"/>
      <c r="AB289" s="560"/>
    </row>
    <row r="290" ht="37.5" customHeight="1">
      <c r="A290" s="556"/>
      <c r="B290" s="577"/>
      <c r="C290" s="703"/>
      <c r="D290" s="704"/>
      <c r="E290" s="705"/>
      <c r="F290" s="706"/>
      <c r="G290" s="593"/>
      <c r="H290" s="590" t="s">
        <v>838</v>
      </c>
      <c r="I290" s="168"/>
      <c r="J290" s="591"/>
      <c r="K290" s="592" t="str">
        <f t="array" ref="K290">IFERROR(VLOOKUP(H290,Dex!$B$3:$N689,2,FALSE),"")</f>
        <v/>
      </c>
      <c r="L290" s="594"/>
      <c r="M290" s="590" t="s">
        <v>841</v>
      </c>
      <c r="N290" s="168"/>
      <c r="O290" s="591"/>
      <c r="P290" s="592" t="str">
        <f t="array" ref="P290">IFERROR(VLOOKUP(M290,Dex!$B$3:$N689,2,FALSE),"")</f>
        <v/>
      </c>
      <c r="Q290" s="594"/>
      <c r="R290" s="590" t="s">
        <v>840</v>
      </c>
      <c r="S290" s="168"/>
      <c r="T290" s="591"/>
      <c r="U290" s="592" t="str">
        <f t="array" ref="U290">IFERROR(VLOOKUP(R290,Dex!$B$3:$N689,2,FALSE),"")</f>
        <v/>
      </c>
      <c r="V290" s="594"/>
      <c r="W290" s="703"/>
      <c r="X290" s="704"/>
      <c r="Y290" s="705"/>
      <c r="Z290" s="706"/>
      <c r="AA290" s="572"/>
      <c r="AB290" s="560"/>
    </row>
    <row r="291">
      <c r="A291" s="595"/>
      <c r="B291" s="596"/>
      <c r="C291" s="703"/>
      <c r="D291" s="704"/>
      <c r="E291" s="705"/>
      <c r="F291" s="706"/>
      <c r="G291" s="601"/>
      <c r="H291" s="597" t="s">
        <v>1056</v>
      </c>
      <c r="I291" s="598"/>
      <c r="J291" s="599"/>
      <c r="K291" s="600" t="s">
        <v>1057</v>
      </c>
      <c r="L291" s="602"/>
      <c r="M291" s="597" t="s">
        <v>1056</v>
      </c>
      <c r="N291" s="598"/>
      <c r="O291" s="599"/>
      <c r="P291" s="600" t="s">
        <v>1057</v>
      </c>
      <c r="Q291" s="602"/>
      <c r="R291" s="597" t="s">
        <v>1056</v>
      </c>
      <c r="S291" s="598"/>
      <c r="T291" s="599"/>
      <c r="U291" s="600" t="s">
        <v>1057</v>
      </c>
      <c r="V291" s="602"/>
      <c r="W291" s="703"/>
      <c r="X291" s="704"/>
      <c r="Y291" s="705"/>
      <c r="Z291" s="706"/>
      <c r="AA291" s="603"/>
      <c r="AB291" s="604"/>
    </row>
    <row r="292" ht="24.0" customHeight="1">
      <c r="A292" s="556"/>
      <c r="B292" s="577"/>
      <c r="C292" s="707"/>
      <c r="D292" s="704"/>
      <c r="E292" s="705"/>
      <c r="F292" s="708"/>
      <c r="G292" s="609"/>
      <c r="H292" s="611" t="str">
        <f>IMAGE("https://raw.githubusercontent.com/msikma/pokesprite/master/items-outline/medicine/swift-wing.png",1)</f>
        <v/>
      </c>
      <c r="I292" s="612" t="s">
        <v>1077</v>
      </c>
      <c r="J292" s="613"/>
      <c r="K292" s="614">
        <v>0.8</v>
      </c>
      <c r="L292" s="610"/>
      <c r="M292" s="611" t="str">
        <f>IMAGE("https://raw.githubusercontent.com/msikma/pokesprite/master/items-outline/medicine/swift-wing.png",1)</f>
        <v/>
      </c>
      <c r="N292" s="612" t="s">
        <v>1077</v>
      </c>
      <c r="O292" s="613"/>
      <c r="P292" s="614">
        <v>0.8</v>
      </c>
      <c r="Q292" s="610"/>
      <c r="R292" s="611" t="str">
        <f>IMAGE("https://raw.githubusercontent.com/msikma/pokesprite/master/items-outline/medicine/swift-wing.png",1)</f>
        <v/>
      </c>
      <c r="S292" s="612" t="s">
        <v>1077</v>
      </c>
      <c r="T292" s="613"/>
      <c r="U292" s="614">
        <v>0.8</v>
      </c>
      <c r="V292" s="610"/>
      <c r="W292" s="707"/>
      <c r="X292" s="704"/>
      <c r="Y292" s="705"/>
      <c r="Z292" s="708"/>
      <c r="AA292" s="572"/>
      <c r="AB292" s="560"/>
    </row>
    <row r="293" ht="24.0" customHeight="1">
      <c r="A293" s="556"/>
      <c r="B293" s="577"/>
      <c r="C293" s="709"/>
      <c r="D293" s="710"/>
      <c r="E293" s="705"/>
      <c r="F293" s="711"/>
      <c r="G293" s="609"/>
      <c r="H293" s="615" t="str">
        <f>IMAGE("https://raw.githubusercontent.com/msikma/pokesprite/master/items-outline/valuable-item/stardust.png",1)</f>
        <v/>
      </c>
      <c r="I293" s="616" t="s">
        <v>1059</v>
      </c>
      <c r="J293" s="617"/>
      <c r="K293" s="618">
        <v>0.8</v>
      </c>
      <c r="L293" s="610"/>
      <c r="M293" s="615" t="str">
        <f>IMAGE("https://raw.githubusercontent.com/msikma/pokesprite/master/items-outline/valuable-item/stardust.png",1)</f>
        <v/>
      </c>
      <c r="N293" s="616" t="s">
        <v>1059</v>
      </c>
      <c r="O293" s="617"/>
      <c r="P293" s="618">
        <v>0.8</v>
      </c>
      <c r="Q293" s="610"/>
      <c r="R293" s="615" t="str">
        <f>IMAGE("https://raw.githubusercontent.com/msikma/pokesprite/master/items-outline/valuable-item/stardust.png",1)</f>
        <v/>
      </c>
      <c r="S293" s="616" t="s">
        <v>1059</v>
      </c>
      <c r="T293" s="617"/>
      <c r="U293" s="618">
        <v>0.8</v>
      </c>
      <c r="V293" s="610"/>
      <c r="W293" s="709"/>
      <c r="X293" s="710"/>
      <c r="Y293" s="705"/>
      <c r="Z293" s="711"/>
      <c r="AA293" s="572"/>
      <c r="AB293" s="560"/>
    </row>
    <row r="294" ht="24.0" customHeight="1">
      <c r="A294" s="556"/>
      <c r="B294" s="577"/>
      <c r="C294" s="709"/>
      <c r="D294" s="710"/>
      <c r="E294" s="705"/>
      <c r="F294" s="712"/>
      <c r="G294" s="609"/>
      <c r="H294" s="619" t="str">
        <f>IMAGE("https://raw.githubusercontent.com/msikma/pokesprite/master/items-outline/berry/charti.png",1)</f>
        <v/>
      </c>
      <c r="I294" s="620" t="s">
        <v>1078</v>
      </c>
      <c r="J294" s="621"/>
      <c r="K294" s="622">
        <v>0.5</v>
      </c>
      <c r="L294" s="610"/>
      <c r="M294" s="619" t="str">
        <f>IMAGE("https://raw.githubusercontent.com/msikma/pokesprite/master/items-outline/berry/charti.png",1)</f>
        <v/>
      </c>
      <c r="N294" s="620" t="s">
        <v>1078</v>
      </c>
      <c r="O294" s="621"/>
      <c r="P294" s="622">
        <v>0.5</v>
      </c>
      <c r="Q294" s="610"/>
      <c r="R294" s="619" t="str">
        <f>IMAGE("https://raw.githubusercontent.com/msikma/pokesprite/master/items-outline/berry/charti.png",1)</f>
        <v/>
      </c>
      <c r="S294" s="620" t="s">
        <v>1078</v>
      </c>
      <c r="T294" s="621"/>
      <c r="U294" s="622">
        <v>0.5</v>
      </c>
      <c r="V294" s="610"/>
      <c r="W294" s="709"/>
      <c r="X294" s="710"/>
      <c r="Y294" s="705"/>
      <c r="Z294" s="712"/>
      <c r="AA294" s="572"/>
      <c r="AB294" s="560"/>
    </row>
    <row r="295" ht="24.0" customHeight="1">
      <c r="A295" s="556"/>
      <c r="B295" s="577"/>
      <c r="C295" s="709"/>
      <c r="D295" s="710"/>
      <c r="E295" s="705"/>
      <c r="F295" s="712"/>
      <c r="G295" s="609"/>
      <c r="H295" s="623" t="str">
        <f>IMAGE("https://raw.githubusercontent.com/msikma/pokesprite/master/items-outline/medicine/swift-wing.png",1)</f>
        <v/>
      </c>
      <c r="I295" s="624" t="s">
        <v>1077</v>
      </c>
      <c r="J295" s="625"/>
      <c r="K295" s="626">
        <v>0.5</v>
      </c>
      <c r="L295" s="610"/>
      <c r="M295" s="623" t="str">
        <f>IMAGE("https://raw.githubusercontent.com/msikma/pokesprite/master/items-outline/medicine/swift-wing.png",1)</f>
        <v/>
      </c>
      <c r="N295" s="624" t="s">
        <v>1077</v>
      </c>
      <c r="O295" s="625"/>
      <c r="P295" s="626">
        <v>0.5</v>
      </c>
      <c r="Q295" s="610"/>
      <c r="R295" s="623" t="str">
        <f>IMAGE("https://raw.githubusercontent.com/msikma/pokesprite/master/items-outline/medicine/swift-wing.png",1)</f>
        <v/>
      </c>
      <c r="S295" s="624" t="s">
        <v>1077</v>
      </c>
      <c r="T295" s="625"/>
      <c r="U295" s="626">
        <v>0.5</v>
      </c>
      <c r="V295" s="610"/>
      <c r="W295" s="709"/>
      <c r="X295" s="710"/>
      <c r="Y295" s="705"/>
      <c r="Z295" s="712"/>
      <c r="AA295" s="572"/>
      <c r="AB295" s="560"/>
    </row>
    <row r="296" ht="24.0" customHeight="1">
      <c r="A296" s="556"/>
      <c r="B296" s="577"/>
      <c r="C296" s="709"/>
      <c r="D296" s="710"/>
      <c r="E296" s="705"/>
      <c r="F296" s="712"/>
      <c r="G296" s="609"/>
      <c r="H296" s="611" t="str">
        <f>IMAGE("https://raw.githubusercontent.com/msikma/pokesprite/master/items-outline/berry/sitrus.png",1)</f>
        <v/>
      </c>
      <c r="I296" s="612" t="s">
        <v>1065</v>
      </c>
      <c r="J296" s="613"/>
      <c r="K296" s="627">
        <v>0.3</v>
      </c>
      <c r="L296" s="610"/>
      <c r="M296" s="611" t="str">
        <f>IMAGE("https://raw.githubusercontent.com/msikma/pokesprite/master/items-outline/berry/sitrus.png",1)</f>
        <v/>
      </c>
      <c r="N296" s="612" t="s">
        <v>1065</v>
      </c>
      <c r="O296" s="613"/>
      <c r="P296" s="627">
        <v>0.3</v>
      </c>
      <c r="Q296" s="610"/>
      <c r="R296" s="611" t="str">
        <f>IMAGE("https://raw.githubusercontent.com/msikma/pokesprite/master/items-outline/berry/sitrus.png",1)</f>
        <v/>
      </c>
      <c r="S296" s="612" t="s">
        <v>1065</v>
      </c>
      <c r="T296" s="613"/>
      <c r="U296" s="627">
        <v>0.3</v>
      </c>
      <c r="V296" s="610"/>
      <c r="W296" s="709"/>
      <c r="X296" s="710"/>
      <c r="Y296" s="705"/>
      <c r="Z296" s="712"/>
      <c r="AA296" s="572"/>
      <c r="AB296" s="560"/>
    </row>
    <row r="297" ht="24.0" customHeight="1">
      <c r="A297" s="556"/>
      <c r="B297" s="577"/>
      <c r="C297" s="709"/>
      <c r="D297" s="710"/>
      <c r="E297" s="705"/>
      <c r="F297" s="712"/>
      <c r="G297" s="609"/>
      <c r="H297" s="615" t="str">
        <f>IMAGE("https://raw.githubusercontent.com/msikma/pokesprite/master/items-outline/evo-item/moon-stone.png",1)</f>
        <v/>
      </c>
      <c r="I297" s="616" t="s">
        <v>1079</v>
      </c>
      <c r="J297" s="617"/>
      <c r="K297" s="628">
        <v>0.3</v>
      </c>
      <c r="L297" s="610"/>
      <c r="M297" s="615" t="str">
        <f>IMAGE("https://raw.githubusercontent.com/msikma/pokesprite/master/items-outline/evo-item/moon-stone.png",1)</f>
        <v/>
      </c>
      <c r="N297" s="616" t="s">
        <v>1079</v>
      </c>
      <c r="O297" s="617"/>
      <c r="P297" s="628">
        <v>0.3</v>
      </c>
      <c r="Q297" s="610"/>
      <c r="R297" s="615" t="str">
        <f>IMAGE("https://raw.githubusercontent.com/msikma/pokesprite/master/items-outline/evo-item/moon-stone.png",1)</f>
        <v/>
      </c>
      <c r="S297" s="616" t="s">
        <v>1079</v>
      </c>
      <c r="T297" s="617"/>
      <c r="U297" s="628">
        <v>0.3</v>
      </c>
      <c r="V297" s="610"/>
      <c r="W297" s="709"/>
      <c r="X297" s="710"/>
      <c r="Y297" s="705"/>
      <c r="Z297" s="712"/>
      <c r="AA297" s="572"/>
      <c r="AB297" s="560"/>
    </row>
    <row r="298" ht="24.0" customHeight="1">
      <c r="A298" s="556"/>
      <c r="B298" s="577"/>
      <c r="C298" s="709"/>
      <c r="D298" s="710"/>
      <c r="E298" s="705"/>
      <c r="F298" s="712"/>
      <c r="G298" s="609"/>
      <c r="H298" s="619" t="str">
        <f>IMAGE("https://raw.githubusercontent.com/msikma/pokesprite/master/items-outline/berry/leppa.png",1)</f>
        <v/>
      </c>
      <c r="I298" s="620" t="s">
        <v>1067</v>
      </c>
      <c r="J298" s="621"/>
      <c r="K298" s="629">
        <v>0.25</v>
      </c>
      <c r="L298" s="610"/>
      <c r="M298" s="619" t="str">
        <f>IMAGE("https://raw.githubusercontent.com/msikma/pokesprite/master/items-outline/berry/leppa.png",1)</f>
        <v/>
      </c>
      <c r="N298" s="620" t="s">
        <v>1067</v>
      </c>
      <c r="O298" s="621"/>
      <c r="P298" s="629">
        <v>0.25</v>
      </c>
      <c r="Q298" s="610"/>
      <c r="R298" s="619" t="str">
        <f>IMAGE("https://raw.githubusercontent.com/msikma/pokesprite/master/items-outline/berry/leppa.png",1)</f>
        <v/>
      </c>
      <c r="S298" s="620" t="s">
        <v>1067</v>
      </c>
      <c r="T298" s="621"/>
      <c r="U298" s="629">
        <v>0.25</v>
      </c>
      <c r="V298" s="610"/>
      <c r="W298" s="709"/>
      <c r="X298" s="710"/>
      <c r="Y298" s="705"/>
      <c r="Z298" s="712"/>
      <c r="AA298" s="572"/>
      <c r="AB298" s="560"/>
    </row>
    <row r="299" ht="24.0" customHeight="1">
      <c r="A299" s="556"/>
      <c r="B299" s="577"/>
      <c r="C299" s="709"/>
      <c r="D299" s="715"/>
      <c r="E299" s="705"/>
      <c r="F299" s="712"/>
      <c r="G299" s="609"/>
      <c r="H299" s="623" t="str">
        <f>IMAGE("https://raw.githubusercontent.com/msikma/pokesprite/master/items/other-item/wishing-piece.png",1)</f>
        <v/>
      </c>
      <c r="I299" s="630" t="s">
        <v>1068</v>
      </c>
      <c r="J299" s="625"/>
      <c r="K299" s="631">
        <v>0.25</v>
      </c>
      <c r="L299" s="610"/>
      <c r="M299" s="623" t="str">
        <f>IMAGE("https://raw.githubusercontent.com/msikma/pokesprite/master/items/other-item/wishing-piece.png",1)</f>
        <v/>
      </c>
      <c r="N299" s="630" t="s">
        <v>1068</v>
      </c>
      <c r="O299" s="625"/>
      <c r="P299" s="631">
        <v>0.25</v>
      </c>
      <c r="Q299" s="610"/>
      <c r="R299" s="623" t="str">
        <f>IMAGE("https://raw.githubusercontent.com/msikma/pokesprite/master/items/other-item/wishing-piece.png",1)</f>
        <v/>
      </c>
      <c r="S299" s="630" t="s">
        <v>1068</v>
      </c>
      <c r="T299" s="625"/>
      <c r="U299" s="631">
        <v>0.25</v>
      </c>
      <c r="V299" s="610"/>
      <c r="W299" s="709"/>
      <c r="X299" s="715"/>
      <c r="Y299" s="705"/>
      <c r="Z299" s="712"/>
      <c r="AA299" s="572"/>
      <c r="AB299" s="560"/>
    </row>
    <row r="300" ht="24.0" customHeight="1">
      <c r="A300" s="556"/>
      <c r="B300" s="577"/>
      <c r="C300" s="709"/>
      <c r="D300" s="715"/>
      <c r="E300" s="705"/>
      <c r="F300" s="711"/>
      <c r="G300" s="636"/>
      <c r="H300" s="632" t="str">
        <f>IMAGE("https://raw.githubusercontent.com/msikma/pokesprite/master/items-outline/medicine/carbos.png",1)</f>
        <v/>
      </c>
      <c r="I300" s="633" t="s">
        <v>1080</v>
      </c>
      <c r="J300" s="634"/>
      <c r="K300" s="635">
        <v>0.05</v>
      </c>
      <c r="L300" s="610"/>
      <c r="M300" s="632" t="str">
        <f>IMAGE("https://raw.githubusercontent.com/msikma/pokesprite/master/items-outline/medicine/carbos.png",1)</f>
        <v/>
      </c>
      <c r="N300" s="633" t="s">
        <v>1080</v>
      </c>
      <c r="O300" s="634"/>
      <c r="P300" s="635">
        <v>0.05</v>
      </c>
      <c r="Q300" s="610"/>
      <c r="R300" s="632" t="str">
        <f>IMAGE("https://raw.githubusercontent.com/msikma/pokesprite/master/items-outline/medicine/carbos.png",1)</f>
        <v/>
      </c>
      <c r="S300" s="633" t="s">
        <v>1080</v>
      </c>
      <c r="T300" s="634"/>
      <c r="U300" s="635">
        <v>0.05</v>
      </c>
      <c r="V300" s="610"/>
      <c r="W300" s="709"/>
      <c r="X300" s="715"/>
      <c r="Y300" s="705"/>
      <c r="Z300" s="711"/>
      <c r="AA300" s="572"/>
      <c r="AB300" s="560"/>
    </row>
    <row r="301" ht="24.0" customHeight="1">
      <c r="A301" s="556"/>
      <c r="B301" s="577"/>
      <c r="C301" s="709"/>
      <c r="D301" s="715"/>
      <c r="E301" s="705"/>
      <c r="F301" s="711"/>
      <c r="G301" s="636"/>
      <c r="H301" s="637" t="str">
        <f>IMAGE("https://raw.githubusercontent.com/msikma/pokesprite/master/items-outline/medicine/pp-up.png",1)</f>
        <v/>
      </c>
      <c r="I301" s="638" t="s">
        <v>1070</v>
      </c>
      <c r="J301" s="639"/>
      <c r="K301" s="640">
        <v>0.04</v>
      </c>
      <c r="L301" s="610"/>
      <c r="M301" s="637" t="str">
        <f>IMAGE("https://raw.githubusercontent.com/msikma/pokesprite/master/items-outline/medicine/pp-up.png",1)</f>
        <v/>
      </c>
      <c r="N301" s="638" t="s">
        <v>1070</v>
      </c>
      <c r="O301" s="639"/>
      <c r="P301" s="640">
        <v>0.04</v>
      </c>
      <c r="Q301" s="610"/>
      <c r="R301" s="637" t="str">
        <f>IMAGE("https://raw.githubusercontent.com/msikma/pokesprite/master/items-outline/medicine/pp-up.png",1)</f>
        <v/>
      </c>
      <c r="S301" s="638" t="s">
        <v>1070</v>
      </c>
      <c r="T301" s="639"/>
      <c r="U301" s="640">
        <v>0.04</v>
      </c>
      <c r="V301" s="610"/>
      <c r="W301" s="709"/>
      <c r="X301" s="715"/>
      <c r="Y301" s="705"/>
      <c r="Z301" s="711"/>
      <c r="AA301" s="572"/>
      <c r="AB301" s="560"/>
    </row>
    <row r="302" ht="24.75" customHeight="1">
      <c r="A302" s="556"/>
      <c r="B302" s="577"/>
      <c r="C302" s="709"/>
      <c r="D302" s="715"/>
      <c r="E302" s="705"/>
      <c r="F302" s="711"/>
      <c r="G302" s="645"/>
      <c r="H302" s="641" t="str">
        <f>IMAGE("https://raw.githubusercontent.com/msikma/pokesprite/master/items-outline/hold-item/lucky-egg.png",1)</f>
        <v/>
      </c>
      <c r="I302" s="642" t="s">
        <v>1071</v>
      </c>
      <c r="J302" s="643"/>
      <c r="K302" s="644">
        <v>0.01</v>
      </c>
      <c r="L302" s="646"/>
      <c r="M302" s="641" t="str">
        <f>IMAGE("https://raw.githubusercontent.com/msikma/pokesprite/master/items-outline/hold-item/lucky-egg.png",1)</f>
        <v/>
      </c>
      <c r="N302" s="642" t="s">
        <v>1071</v>
      </c>
      <c r="O302" s="643"/>
      <c r="P302" s="644">
        <v>0.01</v>
      </c>
      <c r="Q302" s="646"/>
      <c r="R302" s="641" t="str">
        <f>IMAGE("https://raw.githubusercontent.com/msikma/pokesprite/master/items-outline/hold-item/lucky-egg.png",1)</f>
        <v/>
      </c>
      <c r="S302" s="642" t="s">
        <v>1071</v>
      </c>
      <c r="T302" s="643"/>
      <c r="U302" s="644">
        <v>0.01</v>
      </c>
      <c r="V302" s="646"/>
      <c r="W302" s="709"/>
      <c r="X302" s="715"/>
      <c r="Y302" s="705"/>
      <c r="Z302" s="711"/>
      <c r="AA302" s="572"/>
      <c r="AB302" s="560"/>
    </row>
    <row r="303" ht="60.0" customHeight="1">
      <c r="A303" s="556"/>
      <c r="B303" s="577"/>
      <c r="C303" s="680" t="s">
        <v>1149</v>
      </c>
      <c r="Z303" s="588"/>
      <c r="AA303" s="648"/>
      <c r="AB303" s="560"/>
    </row>
    <row r="304" ht="37.5" customHeight="1">
      <c r="A304" s="556"/>
      <c r="B304" s="577"/>
      <c r="C304" s="590" t="s">
        <v>128</v>
      </c>
      <c r="D304" s="168"/>
      <c r="E304" s="591"/>
      <c r="F304" s="592" t="str">
        <f t="array" ref="F304">IFERROR(VLOOKUP(C304,Dex!$B$3:$N689,2,FALSE),"")</f>
        <v/>
      </c>
      <c r="G304" s="593"/>
      <c r="H304" s="590" t="s">
        <v>129</v>
      </c>
      <c r="I304" s="168"/>
      <c r="J304" s="591"/>
      <c r="K304" s="592" t="str">
        <f t="array" ref="K304">IFERROR(VLOOKUP(H304,Dex!$B$3:$N689,2,FALSE),"")</f>
        <v/>
      </c>
      <c r="L304" s="594"/>
      <c r="M304" s="590" t="s">
        <v>212</v>
      </c>
      <c r="N304" s="168"/>
      <c r="O304" s="591"/>
      <c r="P304" s="592" t="str">
        <f t="array" ref="P304">IFERROR(VLOOKUP(M304,Dex!$B$3:$N689,2,FALSE),"")</f>
        <v/>
      </c>
      <c r="Q304" s="594"/>
      <c r="R304" s="590" t="s">
        <v>363</v>
      </c>
      <c r="S304" s="168"/>
      <c r="T304" s="591"/>
      <c r="U304" s="592" t="str">
        <f t="array" ref="U304">IFERROR(VLOOKUP(R304,Dex!$B$3:$N689,2,FALSE),"")</f>
        <v/>
      </c>
      <c r="V304" s="594"/>
      <c r="W304" s="590" t="s">
        <v>544</v>
      </c>
      <c r="X304" s="168"/>
      <c r="Y304" s="591"/>
      <c r="Z304" s="592" t="str">
        <f t="array" ref="Z304">IFERROR(VLOOKUP(W304,Dex!$B$3:$N689,2,FALSE),"")</f>
        <v/>
      </c>
      <c r="AA304" s="572"/>
      <c r="AB304" s="560"/>
    </row>
    <row r="305">
      <c r="A305" s="595"/>
      <c r="B305" s="596"/>
      <c r="C305" s="597" t="s">
        <v>1056</v>
      </c>
      <c r="D305" s="598"/>
      <c r="E305" s="599"/>
      <c r="F305" s="600" t="s">
        <v>1057</v>
      </c>
      <c r="G305" s="601"/>
      <c r="H305" s="597" t="s">
        <v>1056</v>
      </c>
      <c r="I305" s="598"/>
      <c r="J305" s="599"/>
      <c r="K305" s="600" t="s">
        <v>1057</v>
      </c>
      <c r="L305" s="602"/>
      <c r="M305" s="597" t="s">
        <v>1056</v>
      </c>
      <c r="N305" s="598"/>
      <c r="O305" s="599"/>
      <c r="P305" s="600" t="s">
        <v>1057</v>
      </c>
      <c r="Q305" s="602"/>
      <c r="R305" s="597" t="s">
        <v>1056</v>
      </c>
      <c r="S305" s="598"/>
      <c r="T305" s="599"/>
      <c r="U305" s="600" t="s">
        <v>1057</v>
      </c>
      <c r="V305" s="602"/>
      <c r="W305" s="597" t="s">
        <v>1056</v>
      </c>
      <c r="X305" s="598"/>
      <c r="Y305" s="599"/>
      <c r="Z305" s="600" t="s">
        <v>1057</v>
      </c>
      <c r="AA305" s="603"/>
      <c r="AB305" s="604"/>
    </row>
    <row r="306" ht="24.0" customHeight="1">
      <c r="A306" s="556"/>
      <c r="B306" s="577"/>
      <c r="C306" s="605" t="str">
        <f>IMAGE("https://raw.githubusercontent.com/msikma/pokesprite/master/items-outline/valuable-item/star-piece.png",1)</f>
        <v/>
      </c>
      <c r="D306" s="606" t="s">
        <v>1108</v>
      </c>
      <c r="E306" s="607"/>
      <c r="F306" s="608">
        <v>1.0</v>
      </c>
      <c r="G306" s="609"/>
      <c r="H306" s="605" t="str">
        <f>IMAGE("https://raw.githubusercontent.com/msikma/pokesprite/master/items-outline/valuable-item/star-piece.png",1)</f>
        <v/>
      </c>
      <c r="I306" s="606" t="s">
        <v>1108</v>
      </c>
      <c r="J306" s="607"/>
      <c r="K306" s="608">
        <v>1.0</v>
      </c>
      <c r="L306" s="610"/>
      <c r="M306" s="605" t="str">
        <f>IMAGE("https://raw.githubusercontent.com/msikma/pokesprite/master/items-outline/valuable-item/star-piece.png",1)</f>
        <v/>
      </c>
      <c r="N306" s="606" t="s">
        <v>1108</v>
      </c>
      <c r="O306" s="607"/>
      <c r="P306" s="608">
        <v>1.0</v>
      </c>
      <c r="Q306" s="610"/>
      <c r="R306" s="605" t="str">
        <f>IMAGE("https://raw.githubusercontent.com/msikma/pokesprite/master/items-outline/valuable-item/star-piece.png",1)</f>
        <v/>
      </c>
      <c r="S306" s="606" t="s">
        <v>1108</v>
      </c>
      <c r="T306" s="607"/>
      <c r="U306" s="608">
        <v>1.0</v>
      </c>
      <c r="V306" s="610"/>
      <c r="W306" s="605" t="str">
        <f>IMAGE("https://raw.githubusercontent.com/msikma/pokesprite/master/items-outline/valuable-item/star-piece.png",1)</f>
        <v/>
      </c>
      <c r="X306" s="606" t="s">
        <v>1108</v>
      </c>
      <c r="Y306" s="607"/>
      <c r="Z306" s="608">
        <v>1.0</v>
      </c>
      <c r="AA306" s="572"/>
      <c r="AB306" s="560"/>
    </row>
    <row r="307" ht="24.0" customHeight="1">
      <c r="A307" s="556"/>
      <c r="B307" s="577"/>
      <c r="C307" s="611" t="str">
        <f>IMAGE("https://raw.githubusercontent.com/msikma/pokesprite/master/items-outline/ball/quick.png",1)</f>
        <v/>
      </c>
      <c r="D307" s="612" t="s">
        <v>1088</v>
      </c>
      <c r="E307" s="613"/>
      <c r="F307" s="614">
        <v>0.8</v>
      </c>
      <c r="G307" s="609"/>
      <c r="H307" s="611" t="str">
        <f>IMAGE("https://raw.githubusercontent.com/msikma/pokesprite/master/items-outline/ball/quick.png",1)</f>
        <v/>
      </c>
      <c r="I307" s="612" t="s">
        <v>1088</v>
      </c>
      <c r="J307" s="613"/>
      <c r="K307" s="614">
        <v>0.8</v>
      </c>
      <c r="L307" s="610"/>
      <c r="M307" s="611" t="str">
        <f>IMAGE("https://raw.githubusercontent.com/msikma/pokesprite/master/items-outline/ball/quick.png",1)</f>
        <v/>
      </c>
      <c r="N307" s="612" t="s">
        <v>1088</v>
      </c>
      <c r="O307" s="613"/>
      <c r="P307" s="614">
        <v>0.8</v>
      </c>
      <c r="Q307" s="610"/>
      <c r="R307" s="611" t="str">
        <f>IMAGE("https://raw.githubusercontent.com/msikma/pokesprite/master/items-outline/ball/quick.png",1)</f>
        <v/>
      </c>
      <c r="S307" s="612" t="s">
        <v>1088</v>
      </c>
      <c r="T307" s="613"/>
      <c r="U307" s="614">
        <v>0.8</v>
      </c>
      <c r="V307" s="610"/>
      <c r="W307" s="611" t="str">
        <f>IMAGE("https://raw.githubusercontent.com/msikma/pokesprite/master/items-outline/ball/quick.png",1)</f>
        <v/>
      </c>
      <c r="X307" s="612" t="s">
        <v>1088</v>
      </c>
      <c r="Y307" s="613"/>
      <c r="Z307" s="614">
        <v>0.8</v>
      </c>
      <c r="AA307" s="572"/>
      <c r="AB307" s="560"/>
    </row>
    <row r="308" ht="24.0" customHeight="1">
      <c r="A308" s="556"/>
      <c r="B308" s="577"/>
      <c r="C308" s="615" t="str">
        <f>IMAGE("https://raw.githubusercontent.com/msikma/pokesprite/master/items-outline/medicine/genius-wing.png",1)</f>
        <v/>
      </c>
      <c r="D308" s="616" t="s">
        <v>1073</v>
      </c>
      <c r="E308" s="617"/>
      <c r="F308" s="618">
        <v>0.8</v>
      </c>
      <c r="G308" s="609"/>
      <c r="H308" s="615" t="str">
        <f>IMAGE("https://raw.githubusercontent.com/msikma/pokesprite/master/items-outline/medicine/genius-wing.png",1)</f>
        <v/>
      </c>
      <c r="I308" s="616" t="s">
        <v>1073</v>
      </c>
      <c r="J308" s="617"/>
      <c r="K308" s="618">
        <v>0.8</v>
      </c>
      <c r="L308" s="610"/>
      <c r="M308" s="615" t="str">
        <f>IMAGE("https://raw.githubusercontent.com/msikma/pokesprite/master/items-outline/medicine/genius-wing.png",1)</f>
        <v/>
      </c>
      <c r="N308" s="616" t="s">
        <v>1073</v>
      </c>
      <c r="O308" s="617"/>
      <c r="P308" s="618">
        <v>0.8</v>
      </c>
      <c r="Q308" s="610"/>
      <c r="R308" s="615" t="str">
        <f>IMAGE("https://raw.githubusercontent.com/msikma/pokesprite/master/items-outline/medicine/genius-wing.png",1)</f>
        <v/>
      </c>
      <c r="S308" s="616" t="s">
        <v>1073</v>
      </c>
      <c r="T308" s="617"/>
      <c r="U308" s="618">
        <v>0.8</v>
      </c>
      <c r="V308" s="610"/>
      <c r="W308" s="615" t="str">
        <f>IMAGE("https://raw.githubusercontent.com/msikma/pokesprite/master/items-outline/medicine/genius-wing.png",1)</f>
        <v/>
      </c>
      <c r="X308" s="616" t="s">
        <v>1073</v>
      </c>
      <c r="Y308" s="617"/>
      <c r="Z308" s="618">
        <v>0.8</v>
      </c>
      <c r="AA308" s="572"/>
      <c r="AB308" s="560"/>
    </row>
    <row r="309" ht="24.0" customHeight="1">
      <c r="A309" s="556"/>
      <c r="B309" s="577"/>
      <c r="C309" s="700" t="str">
        <f>IMAGE("https://raw.githubusercontent.com/msikma/pokesprite/master/items-outline/medicine/calcium.png",1)</f>
        <v/>
      </c>
      <c r="D309" s="701" t="s">
        <v>1075</v>
      </c>
      <c r="E309" s="699"/>
      <c r="F309" s="683">
        <v>0.5</v>
      </c>
      <c r="G309" s="609"/>
      <c r="H309" s="700" t="str">
        <f>IMAGE("https://raw.githubusercontent.com/msikma/pokesprite/master/items-outline/medicine/calcium.png",1)</f>
        <v/>
      </c>
      <c r="I309" s="701" t="s">
        <v>1075</v>
      </c>
      <c r="J309" s="699"/>
      <c r="K309" s="683">
        <v>0.5</v>
      </c>
      <c r="L309" s="610"/>
      <c r="M309" s="700" t="str">
        <f>IMAGE("https://raw.githubusercontent.com/msikma/pokesprite/master/items-outline/medicine/calcium.png",1)</f>
        <v/>
      </c>
      <c r="N309" s="701" t="s">
        <v>1075</v>
      </c>
      <c r="O309" s="699"/>
      <c r="P309" s="683">
        <v>0.5</v>
      </c>
      <c r="Q309" s="610"/>
      <c r="R309" s="700" t="str">
        <f>IMAGE("https://raw.githubusercontent.com/msikma/pokesprite/master/items-outline/medicine/calcium.png",1)</f>
        <v/>
      </c>
      <c r="S309" s="701" t="s">
        <v>1075</v>
      </c>
      <c r="T309" s="699"/>
      <c r="U309" s="683">
        <v>0.5</v>
      </c>
      <c r="V309" s="610"/>
      <c r="W309" s="700" t="str">
        <f>IMAGE("https://raw.githubusercontent.com/msikma/pokesprite/master/items-outline/medicine/calcium.png",1)</f>
        <v/>
      </c>
      <c r="X309" s="701" t="s">
        <v>1075</v>
      </c>
      <c r="Y309" s="699"/>
      <c r="Z309" s="683">
        <v>0.5</v>
      </c>
      <c r="AA309" s="572"/>
      <c r="AB309" s="560"/>
    </row>
    <row r="310" ht="24.0" customHeight="1">
      <c r="A310" s="556"/>
      <c r="B310" s="577"/>
      <c r="C310" s="649" t="str">
        <f>IMAGE("https://raw.githubusercontent.com/msikma/pokesprite/master/items-outline/valuable-item/nugget.png",1)</f>
        <v/>
      </c>
      <c r="D310" s="650" t="s">
        <v>1084</v>
      </c>
      <c r="E310" s="613"/>
      <c r="F310" s="627">
        <v>0.3</v>
      </c>
      <c r="G310" s="609"/>
      <c r="H310" s="649" t="str">
        <f>IMAGE("https://raw.githubusercontent.com/msikma/pokesprite/master/items-outline/valuable-item/nugget.png",1)</f>
        <v/>
      </c>
      <c r="I310" s="650" t="s">
        <v>1084</v>
      </c>
      <c r="J310" s="613"/>
      <c r="K310" s="627">
        <v>0.3</v>
      </c>
      <c r="L310" s="610"/>
      <c r="M310" s="649" t="str">
        <f>IMAGE("https://raw.githubusercontent.com/msikma/pokesprite/master/items-outline/valuable-item/nugget.png",1)</f>
        <v/>
      </c>
      <c r="N310" s="650" t="s">
        <v>1084</v>
      </c>
      <c r="O310" s="613"/>
      <c r="P310" s="627">
        <v>0.3</v>
      </c>
      <c r="Q310" s="610"/>
      <c r="R310" s="649" t="str">
        <f>IMAGE("https://raw.githubusercontent.com/msikma/pokesprite/master/items-outline/valuable-item/nugget.png",1)</f>
        <v/>
      </c>
      <c r="S310" s="650" t="s">
        <v>1084</v>
      </c>
      <c r="T310" s="613"/>
      <c r="U310" s="627">
        <v>0.3</v>
      </c>
      <c r="V310" s="610"/>
      <c r="W310" s="649" t="str">
        <f>IMAGE("https://raw.githubusercontent.com/msikma/pokesprite/master/items-outline/valuable-item/nugget.png",1)</f>
        <v/>
      </c>
      <c r="X310" s="650" t="s">
        <v>1084</v>
      </c>
      <c r="Y310" s="613"/>
      <c r="Z310" s="627">
        <v>0.3</v>
      </c>
      <c r="AA310" s="572"/>
      <c r="AB310" s="560"/>
    </row>
    <row r="311" ht="24.0" customHeight="1">
      <c r="A311" s="556"/>
      <c r="B311" s="577"/>
      <c r="C311" s="651" t="str">
        <f>IMAGE("https://raw.githubusercontent.com/msikma/pokesprite/master/items-outline/berry/petaya.png",1)</f>
        <v/>
      </c>
      <c r="D311" s="652" t="s">
        <v>1150</v>
      </c>
      <c r="E311" s="617"/>
      <c r="F311" s="628">
        <v>0.3</v>
      </c>
      <c r="G311" s="609"/>
      <c r="H311" s="651" t="str">
        <f>IMAGE("https://raw.githubusercontent.com/msikma/pokesprite/master/items-outline/berry/petaya.png",1)</f>
        <v/>
      </c>
      <c r="I311" s="652" t="s">
        <v>1150</v>
      </c>
      <c r="J311" s="617"/>
      <c r="K311" s="628">
        <v>0.3</v>
      </c>
      <c r="L311" s="610"/>
      <c r="M311" s="651" t="str">
        <f>IMAGE("https://raw.githubusercontent.com/msikma/pokesprite/master/items-outline/berry/petaya.png",1)</f>
        <v/>
      </c>
      <c r="N311" s="652" t="s">
        <v>1150</v>
      </c>
      <c r="O311" s="617"/>
      <c r="P311" s="628">
        <v>0.3</v>
      </c>
      <c r="Q311" s="610"/>
      <c r="R311" s="651" t="str">
        <f>IMAGE("https://raw.githubusercontent.com/msikma/pokesprite/master/items-outline/berry/petaya.png",1)</f>
        <v/>
      </c>
      <c r="S311" s="652" t="s">
        <v>1150</v>
      </c>
      <c r="T311" s="617"/>
      <c r="U311" s="628">
        <v>0.3</v>
      </c>
      <c r="V311" s="610"/>
      <c r="W311" s="651" t="str">
        <f>IMAGE("https://raw.githubusercontent.com/msikma/pokesprite/master/items-outline/berry/petaya.png",1)</f>
        <v/>
      </c>
      <c r="X311" s="652" t="s">
        <v>1150</v>
      </c>
      <c r="Y311" s="617"/>
      <c r="Z311" s="628">
        <v>0.3</v>
      </c>
      <c r="AA311" s="572"/>
      <c r="AB311" s="560"/>
    </row>
    <row r="312" ht="24.0" customHeight="1">
      <c r="A312" s="556"/>
      <c r="B312" s="577"/>
      <c r="C312" s="653" t="str">
        <f>IMAGE("https://raw.githubusercontent.com/msikma/pokesprite/master/items-outline/medicine/pp-up.png",1)</f>
        <v/>
      </c>
      <c r="D312" s="654" t="s">
        <v>1070</v>
      </c>
      <c r="E312" s="621"/>
      <c r="F312" s="629">
        <v>0.25</v>
      </c>
      <c r="G312" s="609"/>
      <c r="H312" s="653" t="str">
        <f>IMAGE("https://raw.githubusercontent.com/msikma/pokesprite/master/items-outline/medicine/pp-up.png",1)</f>
        <v/>
      </c>
      <c r="I312" s="654" t="s">
        <v>1070</v>
      </c>
      <c r="J312" s="621"/>
      <c r="K312" s="629">
        <v>0.25</v>
      </c>
      <c r="L312" s="610"/>
      <c r="M312" s="653" t="str">
        <f>IMAGE("https://raw.githubusercontent.com/msikma/pokesprite/master/items-outline/medicine/pp-up.png",1)</f>
        <v/>
      </c>
      <c r="N312" s="654" t="s">
        <v>1070</v>
      </c>
      <c r="O312" s="621"/>
      <c r="P312" s="629">
        <v>0.25</v>
      </c>
      <c r="Q312" s="610"/>
      <c r="R312" s="653" t="str">
        <f>IMAGE("https://raw.githubusercontent.com/msikma/pokesprite/master/items-outline/medicine/pp-up.png",1)</f>
        <v/>
      </c>
      <c r="S312" s="654" t="s">
        <v>1070</v>
      </c>
      <c r="T312" s="621"/>
      <c r="U312" s="629">
        <v>0.25</v>
      </c>
      <c r="V312" s="610"/>
      <c r="W312" s="653" t="str">
        <f>IMAGE("https://raw.githubusercontent.com/msikma/pokesprite/master/items-outline/medicine/pp-up.png",1)</f>
        <v/>
      </c>
      <c r="X312" s="654" t="s">
        <v>1070</v>
      </c>
      <c r="Y312" s="621"/>
      <c r="Z312" s="629">
        <v>0.25</v>
      </c>
      <c r="AA312" s="572"/>
      <c r="AB312" s="560"/>
    </row>
    <row r="313" ht="24.0" customHeight="1">
      <c r="A313" s="556"/>
      <c r="B313" s="577"/>
      <c r="C313" s="655" t="str">
        <f>IMAGE("https://raw.githubusercontent.com/msikma/pokesprite/master/items-outline/ball/dream.png",1)</f>
        <v/>
      </c>
      <c r="D313" s="657" t="s">
        <v>1117</v>
      </c>
      <c r="E313" s="625"/>
      <c r="F313" s="631">
        <v>0.25</v>
      </c>
      <c r="G313" s="609"/>
      <c r="H313" s="655" t="str">
        <f>IMAGE("https://raw.githubusercontent.com/msikma/pokesprite/master/items-outline/ball/dream.png",1)</f>
        <v/>
      </c>
      <c r="I313" s="657" t="s">
        <v>1117</v>
      </c>
      <c r="J313" s="625"/>
      <c r="K313" s="631">
        <v>0.25</v>
      </c>
      <c r="L313" s="610"/>
      <c r="M313" s="655" t="str">
        <f>IMAGE("https://raw.githubusercontent.com/msikma/pokesprite/master/items-outline/ball/dream.png",1)</f>
        <v/>
      </c>
      <c r="N313" s="657" t="s">
        <v>1117</v>
      </c>
      <c r="O313" s="625"/>
      <c r="P313" s="631">
        <v>0.25</v>
      </c>
      <c r="Q313" s="610"/>
      <c r="R313" s="655" t="str">
        <f>IMAGE("https://raw.githubusercontent.com/msikma/pokesprite/master/items-outline/ball/dream.png",1)</f>
        <v/>
      </c>
      <c r="S313" s="657" t="s">
        <v>1117</v>
      </c>
      <c r="T313" s="625"/>
      <c r="U313" s="631">
        <v>0.25</v>
      </c>
      <c r="V313" s="610"/>
      <c r="W313" s="655" t="str">
        <f>IMAGE("https://raw.githubusercontent.com/msikma/pokesprite/master/items-outline/ball/dream.png",1)</f>
        <v/>
      </c>
      <c r="X313" s="657" t="s">
        <v>1117</v>
      </c>
      <c r="Y313" s="625"/>
      <c r="Z313" s="631">
        <v>0.25</v>
      </c>
      <c r="AA313" s="572"/>
      <c r="AB313" s="560"/>
    </row>
    <row r="314" ht="24.0" customHeight="1">
      <c r="A314" s="556"/>
      <c r="B314" s="577"/>
      <c r="C314" s="658" t="str">
        <f>IMAGE("https://raw.githubusercontent.com/msikma/pokesprite/master/items-outline/valuable-item/big-nugget.png",1)</f>
        <v/>
      </c>
      <c r="D314" s="659" t="s">
        <v>1131</v>
      </c>
      <c r="E314" s="634"/>
      <c r="F314" s="635">
        <v>0.05</v>
      </c>
      <c r="G314" s="636"/>
      <c r="H314" s="658" t="str">
        <f>IMAGE("https://raw.githubusercontent.com/msikma/pokesprite/master/items-outline/valuable-item/big-nugget.png",1)</f>
        <v/>
      </c>
      <c r="I314" s="659" t="s">
        <v>1131</v>
      </c>
      <c r="J314" s="634"/>
      <c r="K314" s="635">
        <v>0.05</v>
      </c>
      <c r="L314" s="610"/>
      <c r="M314" s="658" t="str">
        <f>IMAGE("https://raw.githubusercontent.com/msikma/pokesprite/master/items-outline/valuable-item/big-nugget.png",1)</f>
        <v/>
      </c>
      <c r="N314" s="659" t="s">
        <v>1131</v>
      </c>
      <c r="O314" s="634"/>
      <c r="P314" s="635">
        <v>0.05</v>
      </c>
      <c r="Q314" s="610"/>
      <c r="R314" s="658" t="str">
        <f>IMAGE("https://raw.githubusercontent.com/msikma/pokesprite/master/items-outline/valuable-item/big-nugget.png",1)</f>
        <v/>
      </c>
      <c r="S314" s="659" t="s">
        <v>1131</v>
      </c>
      <c r="T314" s="634"/>
      <c r="U314" s="635">
        <v>0.05</v>
      </c>
      <c r="V314" s="610"/>
      <c r="W314" s="658" t="str">
        <f>IMAGE("https://raw.githubusercontent.com/msikma/pokesprite/master/items-outline/valuable-item/big-nugget.png",1)</f>
        <v/>
      </c>
      <c r="X314" s="659" t="s">
        <v>1131</v>
      </c>
      <c r="Y314" s="634"/>
      <c r="Z314" s="635">
        <v>0.05</v>
      </c>
      <c r="AA314" s="572"/>
      <c r="AB314" s="560"/>
    </row>
    <row r="315" ht="24.0" customHeight="1">
      <c r="A315" s="556"/>
      <c r="B315" s="577"/>
      <c r="C315" s="660"/>
      <c r="D315" s="661" t="s">
        <v>1071</v>
      </c>
      <c r="E315" s="639"/>
      <c r="F315" s="640">
        <v>0.04</v>
      </c>
      <c r="G315" s="636"/>
      <c r="H315" s="660"/>
      <c r="I315" s="661" t="s">
        <v>1071</v>
      </c>
      <c r="J315" s="639"/>
      <c r="K315" s="640">
        <v>0.04</v>
      </c>
      <c r="L315" s="610"/>
      <c r="M315" s="660"/>
      <c r="N315" s="661" t="s">
        <v>1071</v>
      </c>
      <c r="O315" s="639"/>
      <c r="P315" s="640">
        <v>0.04</v>
      </c>
      <c r="Q315" s="610"/>
      <c r="R315" s="660"/>
      <c r="S315" s="661" t="s">
        <v>1071</v>
      </c>
      <c r="T315" s="639"/>
      <c r="U315" s="640">
        <v>0.04</v>
      </c>
      <c r="V315" s="610"/>
      <c r="W315" s="660"/>
      <c r="X315" s="661" t="s">
        <v>1071</v>
      </c>
      <c r="Y315" s="639"/>
      <c r="Z315" s="640">
        <v>0.04</v>
      </c>
      <c r="AA315" s="572"/>
      <c r="AB315" s="560"/>
    </row>
    <row r="316" ht="24.75" customHeight="1">
      <c r="A316" s="556"/>
      <c r="B316" s="577"/>
      <c r="C316" s="662"/>
      <c r="D316" s="663" t="s">
        <v>1071</v>
      </c>
      <c r="E316" s="643"/>
      <c r="F316" s="644">
        <v>0.01</v>
      </c>
      <c r="G316" s="645"/>
      <c r="H316" s="662"/>
      <c r="I316" s="663" t="s">
        <v>1071</v>
      </c>
      <c r="J316" s="643"/>
      <c r="K316" s="644">
        <v>0.01</v>
      </c>
      <c r="L316" s="646"/>
      <c r="M316" s="662"/>
      <c r="N316" s="663" t="s">
        <v>1071</v>
      </c>
      <c r="O316" s="643"/>
      <c r="P316" s="644">
        <v>0.01</v>
      </c>
      <c r="Q316" s="646"/>
      <c r="R316" s="662"/>
      <c r="S316" s="663" t="s">
        <v>1071</v>
      </c>
      <c r="T316" s="643"/>
      <c r="U316" s="644">
        <v>0.01</v>
      </c>
      <c r="V316" s="646"/>
      <c r="W316" s="662"/>
      <c r="X316" s="663" t="s">
        <v>1071</v>
      </c>
      <c r="Y316" s="643"/>
      <c r="Z316" s="644">
        <v>0.01</v>
      </c>
      <c r="AA316" s="572"/>
      <c r="AB316" s="560"/>
    </row>
    <row r="317" ht="60.0" customHeight="1">
      <c r="A317" s="556"/>
      <c r="B317" s="577"/>
      <c r="C317" s="680" t="s">
        <v>1151</v>
      </c>
      <c r="Z317" s="588"/>
      <c r="AA317" s="648"/>
      <c r="AB317" s="560"/>
    </row>
    <row r="318" ht="37.5" customHeight="1">
      <c r="A318" s="556"/>
      <c r="B318" s="577"/>
      <c r="C318" s="590" t="s">
        <v>413</v>
      </c>
      <c r="D318" s="168"/>
      <c r="E318" s="591"/>
      <c r="F318" s="592" t="str">
        <f t="array" ref="F318">IFERROR(VLOOKUP(C318,Dex!$B$3:$N689,2,FALSE),"")</f>
        <v/>
      </c>
      <c r="G318" s="593"/>
      <c r="H318" s="590" t="s">
        <v>1152</v>
      </c>
      <c r="I318" s="168"/>
      <c r="J318" s="591"/>
      <c r="K318" s="592" t="str">
        <f t="array" ref="K318">IFERROR(VLOOKUP(H318,Dex!$B$3:$N689,2,FALSE),"")</f>
        <v/>
      </c>
      <c r="L318" s="594"/>
      <c r="M318" s="590" t="s">
        <v>241</v>
      </c>
      <c r="N318" s="168"/>
      <c r="O318" s="591"/>
      <c r="P318" s="592" t="str">
        <f t="array" ref="P318">IFERROR(VLOOKUP(M318,Dex!$B$3:$N689,2,FALSE),"")</f>
        <v/>
      </c>
      <c r="Q318" s="594"/>
      <c r="R318" s="590" t="s">
        <v>1153</v>
      </c>
      <c r="S318" s="168"/>
      <c r="T318" s="591"/>
      <c r="U318" s="592" t="str">
        <f t="array" ref="U318">IFERROR(VLOOKUP(R318,Dex!$B$3:$N689,2,FALSE),"")</f>
        <v/>
      </c>
      <c r="V318" s="594"/>
      <c r="W318" s="590" t="s">
        <v>289</v>
      </c>
      <c r="X318" s="168"/>
      <c r="Y318" s="591"/>
      <c r="Z318" s="592" t="str">
        <f t="array" ref="Z318">IFERROR(VLOOKUP(W318,Dex!$B$3:$N689,2,FALSE),"")</f>
        <v/>
      </c>
      <c r="AA318" s="572"/>
      <c r="AB318" s="560"/>
    </row>
    <row r="319">
      <c r="A319" s="595"/>
      <c r="B319" s="596"/>
      <c r="C319" s="597" t="s">
        <v>1056</v>
      </c>
      <c r="D319" s="598"/>
      <c r="E319" s="599"/>
      <c r="F319" s="600" t="s">
        <v>1057</v>
      </c>
      <c r="G319" s="601"/>
      <c r="H319" s="597" t="s">
        <v>1056</v>
      </c>
      <c r="I319" s="598"/>
      <c r="J319" s="599"/>
      <c r="K319" s="600" t="s">
        <v>1057</v>
      </c>
      <c r="L319" s="602"/>
      <c r="M319" s="597" t="s">
        <v>1056</v>
      </c>
      <c r="N319" s="598"/>
      <c r="O319" s="599"/>
      <c r="P319" s="600" t="s">
        <v>1057</v>
      </c>
      <c r="Q319" s="602"/>
      <c r="R319" s="597" t="s">
        <v>1056</v>
      </c>
      <c r="S319" s="598"/>
      <c r="T319" s="599"/>
      <c r="U319" s="600" t="s">
        <v>1057</v>
      </c>
      <c r="V319" s="602"/>
      <c r="W319" s="597" t="s">
        <v>1056</v>
      </c>
      <c r="X319" s="598"/>
      <c r="Y319" s="599"/>
      <c r="Z319" s="600" t="s">
        <v>1057</v>
      </c>
      <c r="AA319" s="603"/>
      <c r="AB319" s="604"/>
    </row>
    <row r="320" ht="24.0" customHeight="1">
      <c r="A320" s="556"/>
      <c r="B320" s="577"/>
      <c r="C320" s="605" t="str">
        <f>IMAGE("https://raw.githubusercontent.com/msikma/pokesprite/master/items-outline/valuable-item/star-piece.png",1)</f>
        <v/>
      </c>
      <c r="D320" s="606" t="s">
        <v>1108</v>
      </c>
      <c r="E320" s="607"/>
      <c r="F320" s="608">
        <v>1.0</v>
      </c>
      <c r="G320" s="609"/>
      <c r="H320" s="605" t="str">
        <f>IMAGE("https://raw.githubusercontent.com/msikma/pokesprite/master/items-outline/valuable-item/star-piece.png",1)</f>
        <v/>
      </c>
      <c r="I320" s="606" t="s">
        <v>1108</v>
      </c>
      <c r="J320" s="607"/>
      <c r="K320" s="608">
        <v>1.0</v>
      </c>
      <c r="L320" s="610"/>
      <c r="M320" s="605" t="str">
        <f>IMAGE("https://raw.githubusercontent.com/msikma/pokesprite/master/items-outline/valuable-item/star-piece.png",1)</f>
        <v/>
      </c>
      <c r="N320" s="606" t="s">
        <v>1108</v>
      </c>
      <c r="O320" s="607"/>
      <c r="P320" s="608">
        <v>1.0</v>
      </c>
      <c r="Q320" s="610"/>
      <c r="R320" s="605" t="str">
        <f>IMAGE("https://raw.githubusercontent.com/msikma/pokesprite/master/items-outline/valuable-item/star-piece.png",1)</f>
        <v/>
      </c>
      <c r="S320" s="606" t="s">
        <v>1108</v>
      </c>
      <c r="T320" s="607"/>
      <c r="U320" s="608">
        <v>1.0</v>
      </c>
      <c r="V320" s="610"/>
      <c r="W320" s="605" t="str">
        <f>IMAGE("https://raw.githubusercontent.com/msikma/pokesprite/master/items-outline/valuable-item/star-piece.png",1)</f>
        <v/>
      </c>
      <c r="X320" s="606" t="s">
        <v>1108</v>
      </c>
      <c r="Y320" s="607"/>
      <c r="Z320" s="608">
        <v>1.0</v>
      </c>
      <c r="AA320" s="572"/>
      <c r="AB320" s="560"/>
    </row>
    <row r="321" ht="24.0" customHeight="1">
      <c r="A321" s="556"/>
      <c r="B321" s="577"/>
      <c r="C321" s="611" t="str">
        <f>IMAGE("https://raw.githubusercontent.com/msikma/pokesprite/master/items-outline/ball/quick.png",1)</f>
        <v/>
      </c>
      <c r="D321" s="612" t="s">
        <v>1088</v>
      </c>
      <c r="E321" s="613"/>
      <c r="F321" s="614">
        <v>0.8</v>
      </c>
      <c r="G321" s="609"/>
      <c r="H321" s="611" t="str">
        <f>IMAGE("https://raw.githubusercontent.com/msikma/pokesprite/master/items-outline/ball/quick.png",1)</f>
        <v/>
      </c>
      <c r="I321" s="612" t="s">
        <v>1088</v>
      </c>
      <c r="J321" s="613"/>
      <c r="K321" s="614">
        <v>0.8</v>
      </c>
      <c r="L321" s="610"/>
      <c r="M321" s="611" t="str">
        <f>IMAGE("https://raw.githubusercontent.com/msikma/pokesprite/master/items-outline/ball/quick.png",1)</f>
        <v/>
      </c>
      <c r="N321" s="612" t="s">
        <v>1088</v>
      </c>
      <c r="O321" s="613"/>
      <c r="P321" s="614">
        <v>0.8</v>
      </c>
      <c r="Q321" s="610"/>
      <c r="R321" s="611" t="str">
        <f>IMAGE("https://raw.githubusercontent.com/msikma/pokesprite/master/items-outline/ball/quick.png",1)</f>
        <v/>
      </c>
      <c r="S321" s="612" t="s">
        <v>1088</v>
      </c>
      <c r="T321" s="613"/>
      <c r="U321" s="614">
        <v>0.8</v>
      </c>
      <c r="V321" s="610"/>
      <c r="W321" s="611" t="str">
        <f>IMAGE("https://raw.githubusercontent.com/msikma/pokesprite/master/items-outline/ball/quick.png",1)</f>
        <v/>
      </c>
      <c r="X321" s="612" t="s">
        <v>1088</v>
      </c>
      <c r="Y321" s="613"/>
      <c r="Z321" s="614">
        <v>0.8</v>
      </c>
      <c r="AA321" s="572"/>
      <c r="AB321" s="560"/>
    </row>
    <row r="322" ht="24.0" customHeight="1">
      <c r="A322" s="556"/>
      <c r="B322" s="577"/>
      <c r="C322" s="615" t="str">
        <f>IMAGE("https://raw.githubusercontent.com/msikma/pokesprite/master/items-outline/medicine/health-wing.png",1)</f>
        <v/>
      </c>
      <c r="D322" s="616" t="s">
        <v>1082</v>
      </c>
      <c r="E322" s="617"/>
      <c r="F322" s="618">
        <v>0.8</v>
      </c>
      <c r="G322" s="609"/>
      <c r="H322" s="615" t="str">
        <f>IMAGE("https://raw.githubusercontent.com/msikma/pokesprite/master/items-outline/medicine/health-wing.png",1)</f>
        <v/>
      </c>
      <c r="I322" s="616" t="s">
        <v>1082</v>
      </c>
      <c r="J322" s="617"/>
      <c r="K322" s="618">
        <v>0.8</v>
      </c>
      <c r="L322" s="610"/>
      <c r="M322" s="615" t="str">
        <f>IMAGE("https://raw.githubusercontent.com/msikma/pokesprite/master/items-outline/medicine/health-wing.png",1)</f>
        <v/>
      </c>
      <c r="N322" s="616" t="s">
        <v>1082</v>
      </c>
      <c r="O322" s="617"/>
      <c r="P322" s="618">
        <v>0.8</v>
      </c>
      <c r="Q322" s="610"/>
      <c r="R322" s="615" t="str">
        <f>IMAGE("https://raw.githubusercontent.com/msikma/pokesprite/master/items-outline/medicine/health-wing.png",1)</f>
        <v/>
      </c>
      <c r="S322" s="616" t="s">
        <v>1082</v>
      </c>
      <c r="T322" s="617"/>
      <c r="U322" s="618">
        <v>0.8</v>
      </c>
      <c r="V322" s="610"/>
      <c r="W322" s="615" t="str">
        <f>IMAGE("https://raw.githubusercontent.com/msikma/pokesprite/master/items-outline/medicine/health-wing.png",1)</f>
        <v/>
      </c>
      <c r="X322" s="616" t="s">
        <v>1082</v>
      </c>
      <c r="Y322" s="617"/>
      <c r="Z322" s="618">
        <v>0.8</v>
      </c>
      <c r="AA322" s="572"/>
      <c r="AB322" s="560"/>
    </row>
    <row r="323" ht="24.0" customHeight="1">
      <c r="A323" s="556"/>
      <c r="B323" s="577"/>
      <c r="C323" s="619" t="str">
        <f>IMAGE("https://raw.githubusercontent.com/msikma/pokesprite/master/items-outline/medicine/hp-up.png",1)</f>
        <v/>
      </c>
      <c r="D323" s="620" t="s">
        <v>1085</v>
      </c>
      <c r="E323" s="621"/>
      <c r="F323" s="622">
        <v>0.5</v>
      </c>
      <c r="G323" s="609"/>
      <c r="H323" s="619" t="str">
        <f>IMAGE("https://raw.githubusercontent.com/msikma/pokesprite/master/items-outline/medicine/hp-up.png",1)</f>
        <v/>
      </c>
      <c r="I323" s="620" t="s">
        <v>1085</v>
      </c>
      <c r="J323" s="621"/>
      <c r="K323" s="622">
        <v>0.5</v>
      </c>
      <c r="L323" s="610"/>
      <c r="M323" s="619" t="str">
        <f>IMAGE("https://raw.githubusercontent.com/msikma/pokesprite/master/items-outline/medicine/hp-up.png",1)</f>
        <v/>
      </c>
      <c r="N323" s="620" t="s">
        <v>1085</v>
      </c>
      <c r="O323" s="621"/>
      <c r="P323" s="622">
        <v>0.5</v>
      </c>
      <c r="Q323" s="610"/>
      <c r="R323" s="619" t="str">
        <f>IMAGE("https://raw.githubusercontent.com/msikma/pokesprite/master/items-outline/medicine/hp-up.png",1)</f>
        <v/>
      </c>
      <c r="S323" s="620" t="s">
        <v>1085</v>
      </c>
      <c r="T323" s="621"/>
      <c r="U323" s="622">
        <v>0.5</v>
      </c>
      <c r="V323" s="610"/>
      <c r="W323" s="619" t="str">
        <f>IMAGE("https://raw.githubusercontent.com/msikma/pokesprite/master/items-outline/medicine/hp-up.png",1)</f>
        <v/>
      </c>
      <c r="X323" s="620" t="s">
        <v>1085</v>
      </c>
      <c r="Y323" s="621"/>
      <c r="Z323" s="622">
        <v>0.5</v>
      </c>
      <c r="AA323" s="572"/>
      <c r="AB323" s="560"/>
    </row>
    <row r="324" ht="24.0" customHeight="1">
      <c r="A324" s="556"/>
      <c r="B324" s="577"/>
      <c r="C324" s="623" t="str">
        <f t="shared" ref="C324:C325" si="44">IMAGE("https://raw.githubusercontent.com/msikma/pokesprite/master/items-outline/valuable-item/nugget.png",1)</f>
        <v/>
      </c>
      <c r="D324" s="624" t="s">
        <v>1084</v>
      </c>
      <c r="E324" s="625"/>
      <c r="F324" s="626">
        <v>0.5</v>
      </c>
      <c r="G324" s="609"/>
      <c r="H324" s="623" t="str">
        <f t="shared" ref="H324:H325" si="45">IMAGE("https://raw.githubusercontent.com/msikma/pokesprite/master/items-outline/valuable-item/nugget.png",1)</f>
        <v/>
      </c>
      <c r="I324" s="624" t="s">
        <v>1084</v>
      </c>
      <c r="J324" s="625"/>
      <c r="K324" s="626">
        <v>0.5</v>
      </c>
      <c r="L324" s="610"/>
      <c r="M324" s="623" t="str">
        <f t="shared" ref="M324:M325" si="46">IMAGE("https://raw.githubusercontent.com/msikma/pokesprite/master/items-outline/valuable-item/nugget.png",1)</f>
        <v/>
      </c>
      <c r="N324" s="624" t="s">
        <v>1084</v>
      </c>
      <c r="O324" s="625"/>
      <c r="P324" s="626">
        <v>0.5</v>
      </c>
      <c r="Q324" s="610"/>
      <c r="R324" s="623" t="str">
        <f t="shared" ref="R324:R325" si="47">IMAGE("https://raw.githubusercontent.com/msikma/pokesprite/master/items-outline/valuable-item/nugget.png",1)</f>
        <v/>
      </c>
      <c r="S324" s="624" t="s">
        <v>1084</v>
      </c>
      <c r="T324" s="625"/>
      <c r="U324" s="626">
        <v>0.5</v>
      </c>
      <c r="V324" s="610"/>
      <c r="W324" s="623" t="str">
        <f t="shared" ref="W324:W325" si="48">IMAGE("https://raw.githubusercontent.com/msikma/pokesprite/master/items-outline/valuable-item/nugget.png",1)</f>
        <v/>
      </c>
      <c r="X324" s="624" t="s">
        <v>1084</v>
      </c>
      <c r="Y324" s="625"/>
      <c r="Z324" s="626">
        <v>0.5</v>
      </c>
      <c r="AA324" s="572"/>
      <c r="AB324" s="560"/>
    </row>
    <row r="325" ht="24.0" customHeight="1">
      <c r="A325" s="556"/>
      <c r="B325" s="577"/>
      <c r="C325" s="611" t="str">
        <f t="shared" si="44"/>
        <v/>
      </c>
      <c r="D325" s="612" t="s">
        <v>1084</v>
      </c>
      <c r="E325" s="613"/>
      <c r="F325" s="627">
        <v>0.3</v>
      </c>
      <c r="G325" s="609"/>
      <c r="H325" s="611" t="str">
        <f t="shared" si="45"/>
        <v/>
      </c>
      <c r="I325" s="612" t="s">
        <v>1084</v>
      </c>
      <c r="J325" s="613"/>
      <c r="K325" s="627">
        <v>0.3</v>
      </c>
      <c r="L325" s="610"/>
      <c r="M325" s="611" t="str">
        <f t="shared" si="46"/>
        <v/>
      </c>
      <c r="N325" s="612" t="s">
        <v>1084</v>
      </c>
      <c r="O325" s="613"/>
      <c r="P325" s="627">
        <v>0.3</v>
      </c>
      <c r="Q325" s="610"/>
      <c r="R325" s="611" t="str">
        <f t="shared" si="47"/>
        <v/>
      </c>
      <c r="S325" s="612" t="s">
        <v>1084</v>
      </c>
      <c r="T325" s="613"/>
      <c r="U325" s="627">
        <v>0.3</v>
      </c>
      <c r="V325" s="610"/>
      <c r="W325" s="611" t="str">
        <f t="shared" si="48"/>
        <v/>
      </c>
      <c r="X325" s="612" t="s">
        <v>1084</v>
      </c>
      <c r="Y325" s="613"/>
      <c r="Z325" s="627">
        <v>0.3</v>
      </c>
      <c r="AA325" s="572"/>
      <c r="AB325" s="560"/>
    </row>
    <row r="326" ht="24.0" customHeight="1">
      <c r="A326" s="556"/>
      <c r="B326" s="577"/>
      <c r="C326" s="615" t="str">
        <f>IMAGE("https://raw.githubusercontent.com/msikma/pokesprite/master/items-outline/berry/salac.png",1)</f>
        <v/>
      </c>
      <c r="D326" s="616" t="s">
        <v>1142</v>
      </c>
      <c r="E326" s="617"/>
      <c r="F326" s="628">
        <v>0.3</v>
      </c>
      <c r="G326" s="609"/>
      <c r="H326" s="615" t="str">
        <f>IMAGE("https://raw.githubusercontent.com/msikma/pokesprite/master/items-outline/berry/salac.png",1)</f>
        <v/>
      </c>
      <c r="I326" s="616" t="s">
        <v>1142</v>
      </c>
      <c r="J326" s="617"/>
      <c r="K326" s="628">
        <v>0.3</v>
      </c>
      <c r="L326" s="610"/>
      <c r="M326" s="615" t="str">
        <f>IMAGE("https://raw.githubusercontent.com/msikma/pokesprite/master/items-outline/berry/salac.png",1)</f>
        <v/>
      </c>
      <c r="N326" s="616" t="s">
        <v>1142</v>
      </c>
      <c r="O326" s="617"/>
      <c r="P326" s="628">
        <v>0.3</v>
      </c>
      <c r="Q326" s="610"/>
      <c r="R326" s="615" t="str">
        <f>IMAGE("https://raw.githubusercontent.com/msikma/pokesprite/master/items-outline/berry/salac.png",1)</f>
        <v/>
      </c>
      <c r="S326" s="616" t="s">
        <v>1142</v>
      </c>
      <c r="T326" s="617"/>
      <c r="U326" s="628">
        <v>0.3</v>
      </c>
      <c r="V326" s="610"/>
      <c r="W326" s="615" t="str">
        <f>IMAGE("https://raw.githubusercontent.com/msikma/pokesprite/master/items-outline/berry/salac.png",1)</f>
        <v/>
      </c>
      <c r="X326" s="616" t="s">
        <v>1142</v>
      </c>
      <c r="Y326" s="617"/>
      <c r="Z326" s="628">
        <v>0.3</v>
      </c>
      <c r="AA326" s="572"/>
      <c r="AB326" s="560"/>
    </row>
    <row r="327" ht="24.0" customHeight="1">
      <c r="A327" s="556"/>
      <c r="B327" s="577"/>
      <c r="C327" s="619" t="str">
        <f>IMAGE("https://raw.githubusercontent.com/msikma/pokesprite/master/items-outline/medicine/pp-up.png",1)</f>
        <v/>
      </c>
      <c r="D327" s="620" t="s">
        <v>1070</v>
      </c>
      <c r="E327" s="621"/>
      <c r="F327" s="629">
        <v>0.25</v>
      </c>
      <c r="G327" s="609"/>
      <c r="H327" s="619" t="str">
        <f>IMAGE("https://raw.githubusercontent.com/msikma/pokesprite/master/items-outline/medicine/pp-up.png",1)</f>
        <v/>
      </c>
      <c r="I327" s="620" t="s">
        <v>1070</v>
      </c>
      <c r="J327" s="621"/>
      <c r="K327" s="629">
        <v>0.25</v>
      </c>
      <c r="L327" s="610"/>
      <c r="M327" s="619" t="str">
        <f>IMAGE("https://raw.githubusercontent.com/msikma/pokesprite/master/items-outline/medicine/pp-up.png",1)</f>
        <v/>
      </c>
      <c r="N327" s="620" t="s">
        <v>1070</v>
      </c>
      <c r="O327" s="621"/>
      <c r="P327" s="629">
        <v>0.25</v>
      </c>
      <c r="Q327" s="610"/>
      <c r="R327" s="619" t="str">
        <f>IMAGE("https://raw.githubusercontent.com/msikma/pokesprite/master/items-outline/medicine/pp-up.png",1)</f>
        <v/>
      </c>
      <c r="S327" s="620" t="s">
        <v>1070</v>
      </c>
      <c r="T327" s="621"/>
      <c r="U327" s="629">
        <v>0.25</v>
      </c>
      <c r="V327" s="610"/>
      <c r="W327" s="619" t="str">
        <f>IMAGE("https://raw.githubusercontent.com/msikma/pokesprite/master/items-outline/medicine/pp-up.png",1)</f>
        <v/>
      </c>
      <c r="X327" s="620" t="s">
        <v>1070</v>
      </c>
      <c r="Y327" s="621"/>
      <c r="Z327" s="629">
        <v>0.25</v>
      </c>
      <c r="AA327" s="572"/>
      <c r="AB327" s="560"/>
    </row>
    <row r="328" ht="24.0" customHeight="1">
      <c r="A328" s="556"/>
      <c r="B328" s="577"/>
      <c r="C328" s="623" t="str">
        <f>IMAGE("https://raw.githubusercontent.com/msikma/pokesprite/master/items-outline/ball/dream.png",1)</f>
        <v/>
      </c>
      <c r="D328" s="630" t="s">
        <v>1117</v>
      </c>
      <c r="E328" s="625"/>
      <c r="F328" s="631">
        <v>0.25</v>
      </c>
      <c r="G328" s="609"/>
      <c r="H328" s="623" t="str">
        <f>IMAGE("https://raw.githubusercontent.com/msikma/pokesprite/master/items-outline/ball/dream.png",1)</f>
        <v/>
      </c>
      <c r="I328" s="630" t="s">
        <v>1117</v>
      </c>
      <c r="J328" s="625"/>
      <c r="K328" s="631">
        <v>0.25</v>
      </c>
      <c r="L328" s="610"/>
      <c r="M328" s="623" t="str">
        <f>IMAGE("https://raw.githubusercontent.com/msikma/pokesprite/master/items-outline/ball/dream.png",1)</f>
        <v/>
      </c>
      <c r="N328" s="630" t="s">
        <v>1117</v>
      </c>
      <c r="O328" s="625"/>
      <c r="P328" s="631">
        <v>0.25</v>
      </c>
      <c r="Q328" s="610"/>
      <c r="R328" s="623" t="str">
        <f>IMAGE("https://raw.githubusercontent.com/msikma/pokesprite/master/items-outline/ball/dream.png",1)</f>
        <v/>
      </c>
      <c r="S328" s="630" t="s">
        <v>1117</v>
      </c>
      <c r="T328" s="625"/>
      <c r="U328" s="631">
        <v>0.25</v>
      </c>
      <c r="V328" s="610"/>
      <c r="W328" s="623" t="str">
        <f>IMAGE("https://raw.githubusercontent.com/msikma/pokesprite/master/items-outline/ball/dream.png",1)</f>
        <v/>
      </c>
      <c r="X328" s="630" t="s">
        <v>1117</v>
      </c>
      <c r="Y328" s="625"/>
      <c r="Z328" s="631">
        <v>0.25</v>
      </c>
      <c r="AA328" s="572"/>
      <c r="AB328" s="560"/>
    </row>
    <row r="329" ht="24.0" customHeight="1">
      <c r="A329" s="556"/>
      <c r="B329" s="577"/>
      <c r="C329" s="632" t="str">
        <f>IMAGE("https://raw.githubusercontent.com/msikma/pokesprite/master/items-outline/valuable-item/big-nugget.png",1)</f>
        <v/>
      </c>
      <c r="D329" s="633" t="s">
        <v>1131</v>
      </c>
      <c r="E329" s="634"/>
      <c r="F329" s="635">
        <v>0.05</v>
      </c>
      <c r="G329" s="636"/>
      <c r="H329" s="632" t="str">
        <f>IMAGE("https://raw.githubusercontent.com/msikma/pokesprite/master/items-outline/valuable-item/big-nugget.png",1)</f>
        <v/>
      </c>
      <c r="I329" s="633" t="s">
        <v>1131</v>
      </c>
      <c r="J329" s="634"/>
      <c r="K329" s="635">
        <v>0.05</v>
      </c>
      <c r="L329" s="610"/>
      <c r="M329" s="632" t="str">
        <f>IMAGE("https://raw.githubusercontent.com/msikma/pokesprite/master/items-outline/valuable-item/big-nugget.png",1)</f>
        <v/>
      </c>
      <c r="N329" s="633" t="s">
        <v>1131</v>
      </c>
      <c r="O329" s="634"/>
      <c r="P329" s="635">
        <v>0.05</v>
      </c>
      <c r="Q329" s="610"/>
      <c r="R329" s="632" t="str">
        <f>IMAGE("https://raw.githubusercontent.com/msikma/pokesprite/master/items-outline/valuable-item/big-nugget.png",1)</f>
        <v/>
      </c>
      <c r="S329" s="633" t="s">
        <v>1131</v>
      </c>
      <c r="T329" s="634"/>
      <c r="U329" s="635">
        <v>0.05</v>
      </c>
      <c r="V329" s="610"/>
      <c r="W329" s="632" t="str">
        <f>IMAGE("https://raw.githubusercontent.com/msikma/pokesprite/master/items-outline/valuable-item/big-nugget.png",1)</f>
        <v/>
      </c>
      <c r="X329" s="633" t="s">
        <v>1131</v>
      </c>
      <c r="Y329" s="634"/>
      <c r="Z329" s="635">
        <v>0.05</v>
      </c>
      <c r="AA329" s="572"/>
      <c r="AB329" s="560"/>
    </row>
    <row r="330" ht="24.0" customHeight="1">
      <c r="A330" s="556"/>
      <c r="B330" s="577"/>
      <c r="C330" s="637"/>
      <c r="D330" s="638" t="s">
        <v>1071</v>
      </c>
      <c r="E330" s="639"/>
      <c r="F330" s="640">
        <v>0.04</v>
      </c>
      <c r="G330" s="636"/>
      <c r="H330" s="637"/>
      <c r="I330" s="638" t="s">
        <v>1071</v>
      </c>
      <c r="J330" s="639"/>
      <c r="K330" s="640">
        <v>0.04</v>
      </c>
      <c r="L330" s="610"/>
      <c r="M330" s="637"/>
      <c r="N330" s="638" t="s">
        <v>1071</v>
      </c>
      <c r="O330" s="639"/>
      <c r="P330" s="640">
        <v>0.04</v>
      </c>
      <c r="Q330" s="610"/>
      <c r="R330" s="637"/>
      <c r="S330" s="638" t="s">
        <v>1071</v>
      </c>
      <c r="T330" s="639"/>
      <c r="U330" s="640">
        <v>0.04</v>
      </c>
      <c r="V330" s="610"/>
      <c r="W330" s="637"/>
      <c r="X330" s="638" t="s">
        <v>1071</v>
      </c>
      <c r="Y330" s="639"/>
      <c r="Z330" s="640">
        <v>0.04</v>
      </c>
      <c r="AA330" s="572"/>
      <c r="AB330" s="560"/>
    </row>
    <row r="331" ht="24.75" customHeight="1">
      <c r="A331" s="556"/>
      <c r="B331" s="577"/>
      <c r="C331" s="641"/>
      <c r="D331" s="642" t="s">
        <v>1071</v>
      </c>
      <c r="E331" s="643"/>
      <c r="F331" s="644">
        <v>0.01</v>
      </c>
      <c r="G331" s="645"/>
      <c r="H331" s="641"/>
      <c r="I331" s="642" t="s">
        <v>1071</v>
      </c>
      <c r="J331" s="643"/>
      <c r="K331" s="644">
        <v>0.01</v>
      </c>
      <c r="L331" s="646"/>
      <c r="M331" s="641"/>
      <c r="N331" s="642" t="s">
        <v>1071</v>
      </c>
      <c r="O331" s="643"/>
      <c r="P331" s="644">
        <v>0.01</v>
      </c>
      <c r="Q331" s="646"/>
      <c r="R331" s="641"/>
      <c r="S331" s="642" t="s">
        <v>1071</v>
      </c>
      <c r="T331" s="643"/>
      <c r="U331" s="644">
        <v>0.01</v>
      </c>
      <c r="V331" s="646"/>
      <c r="W331" s="641"/>
      <c r="X331" s="642" t="s">
        <v>1071</v>
      </c>
      <c r="Y331" s="643"/>
      <c r="Z331" s="644">
        <v>0.01</v>
      </c>
      <c r="AA331" s="572"/>
      <c r="AB331" s="560"/>
    </row>
    <row r="332" ht="60.0" customHeight="1">
      <c r="A332" s="556"/>
      <c r="B332" s="577"/>
      <c r="C332" s="680" t="s">
        <v>1154</v>
      </c>
      <c r="Z332" s="588"/>
      <c r="AA332" s="648"/>
      <c r="AB332" s="560"/>
    </row>
    <row r="333" ht="37.5" customHeight="1">
      <c r="A333" s="556"/>
      <c r="B333" s="577"/>
      <c r="C333" s="703"/>
      <c r="D333" s="704"/>
      <c r="E333" s="705"/>
      <c r="F333" s="706"/>
      <c r="G333" s="593"/>
      <c r="H333" s="590" t="s">
        <v>776</v>
      </c>
      <c r="I333" s="168"/>
      <c r="J333" s="591"/>
      <c r="K333" s="592" t="str">
        <f t="array" ref="K333">IFERROR(VLOOKUP(H333,Dex!$B$3:$N689,2,FALSE),"")</f>
        <v/>
      </c>
      <c r="L333" s="594"/>
      <c r="M333" s="590" t="s">
        <v>208</v>
      </c>
      <c r="N333" s="168"/>
      <c r="O333" s="591"/>
      <c r="P333" s="592" t="str">
        <f t="array" ref="P333">IFERROR(VLOOKUP(M333,Dex!$B$3:$N689,2,FALSE),"")</f>
        <v/>
      </c>
      <c r="Q333" s="594"/>
      <c r="R333" s="590" t="s">
        <v>1155</v>
      </c>
      <c r="S333" s="168"/>
      <c r="T333" s="591"/>
      <c r="U333" s="592" t="str">
        <f t="array" ref="U333">IFERROR(VLOOKUP(R333,Dex!$B$3:$N689,2,FALSE),"")</f>
        <v/>
      </c>
      <c r="V333" s="594"/>
      <c r="W333" s="703"/>
      <c r="X333" s="704"/>
      <c r="Y333" s="705"/>
      <c r="Z333" s="706"/>
      <c r="AA333" s="572"/>
      <c r="AB333" s="560"/>
    </row>
    <row r="334">
      <c r="A334" s="595"/>
      <c r="B334" s="596"/>
      <c r="C334" s="703"/>
      <c r="D334" s="704"/>
      <c r="E334" s="705"/>
      <c r="F334" s="706"/>
      <c r="G334" s="601"/>
      <c r="H334" s="597" t="s">
        <v>1056</v>
      </c>
      <c r="I334" s="598"/>
      <c r="J334" s="599"/>
      <c r="K334" s="600" t="s">
        <v>1057</v>
      </c>
      <c r="L334" s="602"/>
      <c r="M334" s="597" t="s">
        <v>1056</v>
      </c>
      <c r="N334" s="598"/>
      <c r="O334" s="599"/>
      <c r="P334" s="600" t="s">
        <v>1057</v>
      </c>
      <c r="Q334" s="602"/>
      <c r="R334" s="597" t="s">
        <v>1056</v>
      </c>
      <c r="S334" s="598"/>
      <c r="T334" s="599"/>
      <c r="U334" s="600" t="s">
        <v>1057</v>
      </c>
      <c r="V334" s="602"/>
      <c r="W334" s="703"/>
      <c r="X334" s="704"/>
      <c r="Y334" s="705"/>
      <c r="Z334" s="706"/>
      <c r="AA334" s="603"/>
      <c r="AB334" s="604"/>
    </row>
    <row r="335" ht="24.0" customHeight="1">
      <c r="A335" s="556"/>
      <c r="B335" s="577"/>
      <c r="C335" s="703"/>
      <c r="D335" s="704"/>
      <c r="E335" s="705"/>
      <c r="F335" s="706"/>
      <c r="G335" s="609"/>
      <c r="H335" s="605" t="str">
        <f>IMAGE("https://raw.githubusercontent.com/msikma/pokesprite/master/items-outline/valuable-item/star-piece.png",1)</f>
        <v/>
      </c>
      <c r="I335" s="606" t="s">
        <v>1108</v>
      </c>
      <c r="J335" s="607"/>
      <c r="K335" s="608">
        <v>1.0</v>
      </c>
      <c r="L335" s="610"/>
      <c r="M335" s="605" t="str">
        <f>IMAGE("https://raw.githubusercontent.com/msikma/pokesprite/master/items-outline/valuable-item/star-piece.png",1)</f>
        <v/>
      </c>
      <c r="N335" s="606" t="s">
        <v>1108</v>
      </c>
      <c r="O335" s="607"/>
      <c r="P335" s="608">
        <v>1.0</v>
      </c>
      <c r="Q335" s="610"/>
      <c r="R335" s="605" t="str">
        <f>IMAGE("https://raw.githubusercontent.com/msikma/pokesprite/master/items-outline/valuable-item/star-piece.png",1)</f>
        <v/>
      </c>
      <c r="S335" s="606" t="s">
        <v>1108</v>
      </c>
      <c r="T335" s="607"/>
      <c r="U335" s="608">
        <v>1.0</v>
      </c>
      <c r="V335" s="716"/>
      <c r="W335" s="703"/>
      <c r="X335" s="704"/>
      <c r="Y335" s="705"/>
      <c r="Z335" s="706"/>
      <c r="AA335" s="572"/>
      <c r="AB335" s="560"/>
    </row>
    <row r="336" ht="24.0" customHeight="1">
      <c r="A336" s="556"/>
      <c r="B336" s="577"/>
      <c r="C336" s="707"/>
      <c r="D336" s="704"/>
      <c r="E336" s="705"/>
      <c r="F336" s="708"/>
      <c r="G336" s="609"/>
      <c r="H336" s="611" t="str">
        <f>IMAGE("https://raw.githubusercontent.com/msikma/pokesprite/master/items-outline/valuable-item/nugget.png",1)</f>
        <v/>
      </c>
      <c r="I336" s="612" t="s">
        <v>1084</v>
      </c>
      <c r="J336" s="613"/>
      <c r="K336" s="614">
        <v>0.8</v>
      </c>
      <c r="L336" s="610"/>
      <c r="M336" s="611" t="str">
        <f>IMAGE("https://raw.githubusercontent.com/msikma/pokesprite/master/items-outline/valuable-item/nugget.png",1)</f>
        <v/>
      </c>
      <c r="N336" s="612" t="s">
        <v>1084</v>
      </c>
      <c r="O336" s="613"/>
      <c r="P336" s="614">
        <v>0.8</v>
      </c>
      <c r="Q336" s="610"/>
      <c r="R336" s="611" t="str">
        <f>IMAGE("https://raw.githubusercontent.com/msikma/pokesprite/master/items-outline/valuable-item/nugget.png",1)</f>
        <v/>
      </c>
      <c r="S336" s="612" t="s">
        <v>1084</v>
      </c>
      <c r="T336" s="613"/>
      <c r="U336" s="614">
        <v>0.8</v>
      </c>
      <c r="V336" s="610"/>
      <c r="W336" s="707"/>
      <c r="X336" s="704"/>
      <c r="Y336" s="705"/>
      <c r="Z336" s="708"/>
      <c r="AA336" s="572"/>
      <c r="AB336" s="560"/>
    </row>
    <row r="337" ht="24.0" customHeight="1">
      <c r="A337" s="556"/>
      <c r="B337" s="577"/>
      <c r="C337" s="709"/>
      <c r="D337" s="710"/>
      <c r="E337" s="705"/>
      <c r="F337" s="711"/>
      <c r="G337" s="609"/>
      <c r="H337" s="615" t="str">
        <f>IMAGE("https://raw.githubusercontent.com/msikma/pokesprite/master/items-outline/valuable-item/big-nugget.png",1)</f>
        <v/>
      </c>
      <c r="I337" s="616" t="s">
        <v>1131</v>
      </c>
      <c r="J337" s="617"/>
      <c r="K337" s="618">
        <v>0.8</v>
      </c>
      <c r="L337" s="610"/>
      <c r="M337" s="615" t="str">
        <f>IMAGE("https://raw.githubusercontent.com/msikma/pokesprite/master/items-outline/valuable-item/big-nugget.png",1)</f>
        <v/>
      </c>
      <c r="N337" s="616" t="s">
        <v>1131</v>
      </c>
      <c r="O337" s="617"/>
      <c r="P337" s="618">
        <v>0.8</v>
      </c>
      <c r="Q337" s="610"/>
      <c r="R337" s="615" t="str">
        <f>IMAGE("https://raw.githubusercontent.com/msikma/pokesprite/master/items-outline/valuable-item/big-nugget.png",1)</f>
        <v/>
      </c>
      <c r="S337" s="616" t="s">
        <v>1131</v>
      </c>
      <c r="T337" s="617"/>
      <c r="U337" s="618">
        <v>0.8</v>
      </c>
      <c r="V337" s="610"/>
      <c r="W337" s="709"/>
      <c r="X337" s="710"/>
      <c r="Y337" s="705"/>
      <c r="Z337" s="711"/>
      <c r="AA337" s="572"/>
      <c r="AB337" s="560"/>
    </row>
    <row r="338" ht="24.0" customHeight="1">
      <c r="A338" s="556"/>
      <c r="B338" s="577"/>
      <c r="C338" s="709"/>
      <c r="D338" s="710"/>
      <c r="E338" s="705"/>
      <c r="F338" s="712"/>
      <c r="G338" s="609"/>
      <c r="H338" s="619" t="str">
        <f>IMAGE("https://raw.githubusercontent.com/msikma/pokesprite/master/items-outline/berry/occa.png",1)</f>
        <v/>
      </c>
      <c r="I338" s="620" t="s">
        <v>1156</v>
      </c>
      <c r="J338" s="621"/>
      <c r="K338" s="622">
        <v>0.5</v>
      </c>
      <c r="L338" s="610"/>
      <c r="M338" s="619" t="str">
        <f>IMAGE("https://raw.githubusercontent.com/msikma/pokesprite/master/items-outline/berry/occa.png",1)</f>
        <v/>
      </c>
      <c r="N338" s="620" t="s">
        <v>1156</v>
      </c>
      <c r="O338" s="621"/>
      <c r="P338" s="622">
        <v>0.5</v>
      </c>
      <c r="Q338" s="610"/>
      <c r="R338" s="619" t="str">
        <f>IMAGE("https://raw.githubusercontent.com/msikma/pokesprite/master/items-outline/berry/occa.png",1)</f>
        <v/>
      </c>
      <c r="S338" s="620" t="s">
        <v>1156</v>
      </c>
      <c r="T338" s="621"/>
      <c r="U338" s="622">
        <v>0.5</v>
      </c>
      <c r="V338" s="610"/>
      <c r="W338" s="709"/>
      <c r="X338" s="710"/>
      <c r="Y338" s="705"/>
      <c r="Z338" s="712"/>
      <c r="AA338" s="572"/>
      <c r="AB338" s="560"/>
    </row>
    <row r="339" ht="24.0" customHeight="1">
      <c r="A339" s="556"/>
      <c r="B339" s="577"/>
      <c r="C339" s="709"/>
      <c r="D339" s="710"/>
      <c r="E339" s="705"/>
      <c r="F339" s="712"/>
      <c r="G339" s="609"/>
      <c r="H339" s="623" t="str">
        <f>IMAGE("https://raw.githubusercontent.com/msikma/pokesprite/master/items-outline/other-item/ability-patch.png",1)</f>
        <v/>
      </c>
      <c r="I339" s="630" t="s">
        <v>1101</v>
      </c>
      <c r="J339" s="625"/>
      <c r="K339" s="626">
        <v>0.5</v>
      </c>
      <c r="L339" s="610"/>
      <c r="M339" s="623" t="str">
        <f>IMAGE("https://raw.githubusercontent.com/msikma/pokesprite/master/items-outline/other-item/ability-patch.png",1)</f>
        <v/>
      </c>
      <c r="N339" s="630" t="s">
        <v>1101</v>
      </c>
      <c r="O339" s="625"/>
      <c r="P339" s="626">
        <v>0.5</v>
      </c>
      <c r="Q339" s="610"/>
      <c r="R339" s="623" t="str">
        <f>IMAGE("https://raw.githubusercontent.com/msikma/pokesprite/master/items-outline/other-item/ability-patch.png",1)</f>
        <v/>
      </c>
      <c r="S339" s="630" t="s">
        <v>1101</v>
      </c>
      <c r="T339" s="625"/>
      <c r="U339" s="626">
        <v>0.5</v>
      </c>
      <c r="V339" s="610"/>
      <c r="W339" s="709"/>
      <c r="X339" s="710"/>
      <c r="Y339" s="705"/>
      <c r="Z339" s="712"/>
      <c r="AA339" s="572"/>
      <c r="AB339" s="560"/>
    </row>
    <row r="340" ht="24.0" customHeight="1">
      <c r="A340" s="556"/>
      <c r="B340" s="577"/>
      <c r="C340" s="709"/>
      <c r="D340" s="710"/>
      <c r="E340" s="705"/>
      <c r="F340" s="712"/>
      <c r="G340" s="609"/>
      <c r="H340" s="611" t="str">
        <f>IMAGE("https://raw.githubusercontent.com/msikma/pokesprite/master/items-outline/medicine/pp-up.png",1)</f>
        <v/>
      </c>
      <c r="I340" s="612" t="s">
        <v>1070</v>
      </c>
      <c r="J340" s="613"/>
      <c r="K340" s="627">
        <v>0.3</v>
      </c>
      <c r="L340" s="610"/>
      <c r="M340" s="611" t="str">
        <f>IMAGE("https://raw.githubusercontent.com/msikma/pokesprite/master/items-outline/medicine/pp-up.png",1)</f>
        <v/>
      </c>
      <c r="N340" s="612" t="s">
        <v>1070</v>
      </c>
      <c r="O340" s="613"/>
      <c r="P340" s="627">
        <v>0.3</v>
      </c>
      <c r="Q340" s="610"/>
      <c r="R340" s="611" t="str">
        <f>IMAGE("https://raw.githubusercontent.com/msikma/pokesprite/master/items-outline/medicine/pp-up.png",1)</f>
        <v/>
      </c>
      <c r="S340" s="612" t="s">
        <v>1070</v>
      </c>
      <c r="T340" s="613"/>
      <c r="U340" s="627">
        <v>0.3</v>
      </c>
      <c r="V340" s="610"/>
      <c r="W340" s="709"/>
      <c r="X340" s="710"/>
      <c r="Y340" s="705"/>
      <c r="Z340" s="712"/>
      <c r="AA340" s="572"/>
      <c r="AB340" s="560"/>
    </row>
    <row r="341" ht="24.0" customHeight="1">
      <c r="A341" s="556"/>
      <c r="B341" s="577"/>
      <c r="C341" s="709"/>
      <c r="D341" s="710"/>
      <c r="E341" s="705"/>
      <c r="F341" s="712"/>
      <c r="G341" s="609"/>
      <c r="H341" s="615" t="str">
        <f>IMAGE("https://raw.githubusercontent.com/msikma/pokesprite/master/items-outline/medicine/pp-max.png",1)</f>
        <v/>
      </c>
      <c r="I341" s="616" t="s">
        <v>1143</v>
      </c>
      <c r="J341" s="617"/>
      <c r="K341" s="628">
        <v>0.3</v>
      </c>
      <c r="L341" s="610"/>
      <c r="M341" s="615" t="str">
        <f>IMAGE("https://raw.githubusercontent.com/msikma/pokesprite/master/items-outline/medicine/pp-max.png",1)</f>
        <v/>
      </c>
      <c r="N341" s="616" t="s">
        <v>1143</v>
      </c>
      <c r="O341" s="617"/>
      <c r="P341" s="628">
        <v>0.3</v>
      </c>
      <c r="Q341" s="610"/>
      <c r="R341" s="615" t="str">
        <f>IMAGE("https://raw.githubusercontent.com/msikma/pokesprite/master/items-outline/medicine/pp-max.png",1)</f>
        <v/>
      </c>
      <c r="S341" s="616" t="s">
        <v>1143</v>
      </c>
      <c r="T341" s="617"/>
      <c r="U341" s="628">
        <v>0.3</v>
      </c>
      <c r="V341" s="610"/>
      <c r="W341" s="709"/>
      <c r="X341" s="710"/>
      <c r="Y341" s="705"/>
      <c r="Z341" s="712"/>
      <c r="AA341" s="572"/>
      <c r="AB341" s="560"/>
    </row>
    <row r="342" ht="24.0" customHeight="1">
      <c r="A342" s="556"/>
      <c r="B342" s="577"/>
      <c r="C342" s="709"/>
      <c r="D342" s="710"/>
      <c r="E342" s="705"/>
      <c r="F342" s="712"/>
      <c r="G342" s="609"/>
      <c r="H342" s="619" t="str">
        <f>IMAGE("https://raw.githubusercontent.com/msikma/pokesprite/master/items-outline/berry/salac.png",1)</f>
        <v/>
      </c>
      <c r="I342" s="620" t="s">
        <v>1142</v>
      </c>
      <c r="J342" s="621"/>
      <c r="K342" s="629">
        <v>0.25</v>
      </c>
      <c r="L342" s="610"/>
      <c r="M342" s="619" t="str">
        <f>IMAGE("https://raw.githubusercontent.com/msikma/pokesprite/master/items-outline/berry/liechi.png",1)</f>
        <v/>
      </c>
      <c r="N342" s="620" t="s">
        <v>1147</v>
      </c>
      <c r="O342" s="621"/>
      <c r="P342" s="629">
        <v>0.25</v>
      </c>
      <c r="Q342" s="610"/>
      <c r="R342" s="619" t="str">
        <f>IMAGE("https://raw.githubusercontent.com/msikma/pokesprite/master/items-outline/berry/liechi.png",1)</f>
        <v/>
      </c>
      <c r="S342" s="620" t="s">
        <v>1147</v>
      </c>
      <c r="T342" s="621"/>
      <c r="U342" s="629">
        <v>0.25</v>
      </c>
      <c r="V342" s="610"/>
      <c r="W342" s="709"/>
      <c r="X342" s="710"/>
      <c r="Y342" s="705"/>
      <c r="Z342" s="712"/>
      <c r="AA342" s="572"/>
      <c r="AB342" s="560"/>
    </row>
    <row r="343" ht="24.0" customHeight="1">
      <c r="A343" s="556"/>
      <c r="B343" s="577"/>
      <c r="C343" s="709"/>
      <c r="D343" s="715"/>
      <c r="E343" s="705"/>
      <c r="F343" s="712"/>
      <c r="G343" s="609"/>
      <c r="H343" s="623"/>
      <c r="I343" s="630" t="s">
        <v>1068</v>
      </c>
      <c r="J343" s="625"/>
      <c r="K343" s="631">
        <v>0.25</v>
      </c>
      <c r="L343" s="610"/>
      <c r="M343" s="623"/>
      <c r="N343" s="630" t="s">
        <v>1068</v>
      </c>
      <c r="O343" s="625"/>
      <c r="P343" s="631">
        <v>0.25</v>
      </c>
      <c r="Q343" s="610"/>
      <c r="R343" s="623"/>
      <c r="S343" s="630" t="s">
        <v>1068</v>
      </c>
      <c r="T343" s="625"/>
      <c r="U343" s="631">
        <v>0.25</v>
      </c>
      <c r="V343" s="610"/>
      <c r="W343" s="709"/>
      <c r="X343" s="715"/>
      <c r="Y343" s="705"/>
      <c r="Z343" s="712"/>
      <c r="AA343" s="572"/>
      <c r="AB343" s="560"/>
    </row>
    <row r="344" ht="24.0" customHeight="1">
      <c r="A344" s="556"/>
      <c r="B344" s="577"/>
      <c r="C344" s="709"/>
      <c r="D344" s="715"/>
      <c r="E344" s="705"/>
      <c r="F344" s="711"/>
      <c r="G344" s="636"/>
      <c r="H344" s="632" t="str">
        <f>IMAGE("https://raw.githubusercontent.com/msikma/pokesprite/master/items-outline/hold-item/lucky-egg.png",1)</f>
        <v/>
      </c>
      <c r="I344" s="633" t="s">
        <v>1071</v>
      </c>
      <c r="J344" s="634"/>
      <c r="K344" s="635">
        <v>0.05</v>
      </c>
      <c r="L344" s="610"/>
      <c r="M344" s="632" t="str">
        <f>IMAGE("https://raw.githubusercontent.com/msikma/pokesprite/master/items-outline/hold-item/lucky-egg.png",1)</f>
        <v/>
      </c>
      <c r="N344" s="633" t="s">
        <v>1071</v>
      </c>
      <c r="O344" s="634"/>
      <c r="P344" s="635">
        <v>0.05</v>
      </c>
      <c r="Q344" s="610"/>
      <c r="R344" s="632" t="str">
        <f>IMAGE("https://raw.githubusercontent.com/msikma/pokesprite/master/items-outline/hold-item/lucky-egg.png",1)</f>
        <v/>
      </c>
      <c r="S344" s="633" t="s">
        <v>1071</v>
      </c>
      <c r="T344" s="634"/>
      <c r="U344" s="635">
        <v>0.05</v>
      </c>
      <c r="V344" s="610"/>
      <c r="W344" s="709"/>
      <c r="X344" s="715"/>
      <c r="Y344" s="705"/>
      <c r="Z344" s="711"/>
      <c r="AA344" s="572"/>
      <c r="AB344" s="560"/>
    </row>
    <row r="345" ht="24.0" customHeight="1">
      <c r="A345" s="556"/>
      <c r="B345" s="577"/>
      <c r="C345" s="709"/>
      <c r="D345" s="715"/>
      <c r="E345" s="705"/>
      <c r="F345" s="711"/>
      <c r="G345" s="636"/>
      <c r="H345" s="637"/>
      <c r="I345" s="638" t="s">
        <v>1071</v>
      </c>
      <c r="J345" s="639"/>
      <c r="K345" s="640">
        <v>0.04</v>
      </c>
      <c r="L345" s="610"/>
      <c r="M345" s="637"/>
      <c r="N345" s="638" t="s">
        <v>1071</v>
      </c>
      <c r="O345" s="639"/>
      <c r="P345" s="640">
        <v>0.04</v>
      </c>
      <c r="Q345" s="610"/>
      <c r="R345" s="637"/>
      <c r="S345" s="638" t="s">
        <v>1071</v>
      </c>
      <c r="T345" s="639"/>
      <c r="U345" s="640">
        <v>0.04</v>
      </c>
      <c r="V345" s="610"/>
      <c r="W345" s="709"/>
      <c r="X345" s="715"/>
      <c r="Y345" s="705"/>
      <c r="Z345" s="711"/>
      <c r="AA345" s="572"/>
      <c r="AB345" s="560"/>
    </row>
    <row r="346" ht="24.75" customHeight="1">
      <c r="A346" s="556"/>
      <c r="B346" s="577"/>
      <c r="C346" s="709"/>
      <c r="D346" s="715"/>
      <c r="E346" s="705"/>
      <c r="F346" s="711"/>
      <c r="G346" s="645"/>
      <c r="H346" s="641" t="str">
        <f>IMAGE("https://raw.githubusercontent.com/msikma/pokesprite/master/items-outline/hold-item/lucky-egg.png",1)</f>
        <v/>
      </c>
      <c r="I346" s="642" t="s">
        <v>1071</v>
      </c>
      <c r="J346" s="643"/>
      <c r="K346" s="644">
        <v>0.01</v>
      </c>
      <c r="L346" s="646"/>
      <c r="M346" s="641" t="str">
        <f>IMAGE("https://raw.githubusercontent.com/msikma/pokesprite/master/items-outline/hold-item/lucky-egg.png",1)</f>
        <v/>
      </c>
      <c r="N346" s="642" t="s">
        <v>1071</v>
      </c>
      <c r="O346" s="643"/>
      <c r="P346" s="644">
        <v>0.01</v>
      </c>
      <c r="Q346" s="646"/>
      <c r="R346" s="641" t="str">
        <f>IMAGE("https://raw.githubusercontent.com/msikma/pokesprite/master/items-outline/hold-item/lucky-egg.png",1)</f>
        <v/>
      </c>
      <c r="S346" s="642" t="s">
        <v>1071</v>
      </c>
      <c r="T346" s="643"/>
      <c r="U346" s="644">
        <v>0.01</v>
      </c>
      <c r="V346" s="646"/>
      <c r="W346" s="709"/>
      <c r="X346" s="715"/>
      <c r="Y346" s="705"/>
      <c r="Z346" s="711"/>
      <c r="AA346" s="572"/>
      <c r="AB346" s="560"/>
    </row>
    <row r="347" ht="60.0" customHeight="1">
      <c r="A347" s="556"/>
      <c r="B347" s="577"/>
      <c r="C347" s="680" t="s">
        <v>1157</v>
      </c>
      <c r="Z347" s="588"/>
      <c r="AA347" s="648"/>
      <c r="AB347" s="560"/>
    </row>
    <row r="348" ht="37.5" customHeight="1">
      <c r="A348" s="556"/>
      <c r="B348" s="577"/>
      <c r="C348" s="703"/>
      <c r="D348" s="704"/>
      <c r="E348" s="705"/>
      <c r="F348" s="706"/>
      <c r="G348" s="593"/>
      <c r="H348" s="590" t="s">
        <v>832</v>
      </c>
      <c r="I348" s="168"/>
      <c r="J348" s="591"/>
      <c r="K348" s="592" t="str">
        <f t="array" ref="K348">IFERROR(VLOOKUP(H348,Dex!$B$3:$N689,2,FALSE),"")</f>
        <v/>
      </c>
      <c r="L348" s="594"/>
      <c r="M348" s="590" t="s">
        <v>833</v>
      </c>
      <c r="N348" s="168"/>
      <c r="O348" s="591"/>
      <c r="P348" s="592" t="str">
        <f t="array" ref="P348">IFERROR(VLOOKUP(M348,Dex!$B$3:$N689,2,FALSE),"")</f>
        <v/>
      </c>
      <c r="Q348" s="594"/>
      <c r="R348" s="590" t="s">
        <v>830</v>
      </c>
      <c r="S348" s="168"/>
      <c r="T348" s="591"/>
      <c r="U348" s="592" t="str">
        <f t="array" ref="U348">IFERROR(VLOOKUP(R348,Dex!$B$3:$N689,2,FALSE),"")</f>
        <v/>
      </c>
      <c r="V348" s="594"/>
      <c r="W348" s="703"/>
      <c r="X348" s="704"/>
      <c r="Y348" s="705"/>
      <c r="Z348" s="706"/>
      <c r="AA348" s="572"/>
      <c r="AB348" s="560"/>
    </row>
    <row r="349">
      <c r="A349" s="595"/>
      <c r="B349" s="596"/>
      <c r="C349" s="703"/>
      <c r="D349" s="704"/>
      <c r="E349" s="705"/>
      <c r="F349" s="706"/>
      <c r="G349" s="601"/>
      <c r="H349" s="597" t="s">
        <v>1056</v>
      </c>
      <c r="I349" s="598"/>
      <c r="J349" s="599"/>
      <c r="K349" s="600" t="s">
        <v>1057</v>
      </c>
      <c r="L349" s="602"/>
      <c r="M349" s="597" t="s">
        <v>1056</v>
      </c>
      <c r="N349" s="598"/>
      <c r="O349" s="599"/>
      <c r="P349" s="600" t="s">
        <v>1057</v>
      </c>
      <c r="Q349" s="602"/>
      <c r="R349" s="597" t="s">
        <v>1056</v>
      </c>
      <c r="S349" s="598"/>
      <c r="T349" s="599"/>
      <c r="U349" s="600" t="s">
        <v>1057</v>
      </c>
      <c r="V349" s="602"/>
      <c r="W349" s="703"/>
      <c r="X349" s="704"/>
      <c r="Y349" s="705"/>
      <c r="Z349" s="706"/>
      <c r="AA349" s="603"/>
      <c r="AB349" s="604"/>
    </row>
    <row r="350" ht="24.0" customHeight="1">
      <c r="A350" s="556"/>
      <c r="B350" s="577"/>
      <c r="C350" s="703"/>
      <c r="D350" s="704"/>
      <c r="E350" s="705"/>
      <c r="F350" s="706"/>
      <c r="G350" s="609"/>
      <c r="H350" s="605" t="str">
        <f>IMAGE("https://raw.githubusercontent.com/msikma/pokesprite/master/items-outline/valuable-item/star-piece.png",1)</f>
        <v/>
      </c>
      <c r="I350" s="606" t="s">
        <v>1108</v>
      </c>
      <c r="J350" s="607"/>
      <c r="K350" s="608">
        <v>1.0</v>
      </c>
      <c r="L350" s="610"/>
      <c r="M350" s="605" t="str">
        <f>IMAGE("https://raw.githubusercontent.com/msikma/pokesprite/master/items-outline/valuable-item/star-piece.png",1)</f>
        <v/>
      </c>
      <c r="N350" s="606" t="s">
        <v>1108</v>
      </c>
      <c r="O350" s="607"/>
      <c r="P350" s="608">
        <v>1.0</v>
      </c>
      <c r="Q350" s="610"/>
      <c r="R350" s="605" t="str">
        <f>IMAGE("https://raw.githubusercontent.com/msikma/pokesprite/master/items-outline/valuable-item/star-piece.png",1)</f>
        <v/>
      </c>
      <c r="S350" s="606" t="s">
        <v>1108</v>
      </c>
      <c r="T350" s="607"/>
      <c r="U350" s="608">
        <v>1.0</v>
      </c>
      <c r="V350" s="716"/>
      <c r="W350" s="703"/>
      <c r="X350" s="704"/>
      <c r="Y350" s="705"/>
      <c r="Z350" s="706"/>
      <c r="AA350" s="572"/>
      <c r="AB350" s="560"/>
    </row>
    <row r="351" ht="24.0" customHeight="1">
      <c r="A351" s="556"/>
      <c r="B351" s="577"/>
      <c r="C351" s="707"/>
      <c r="D351" s="704"/>
      <c r="E351" s="705"/>
      <c r="F351" s="708"/>
      <c r="G351" s="609"/>
      <c r="H351" s="611" t="str">
        <f>IMAGE("https://raw.githubusercontent.com/msikma/pokesprite/master/items-outline/valuable-item/nugget.png",1)</f>
        <v/>
      </c>
      <c r="I351" s="612" t="s">
        <v>1084</v>
      </c>
      <c r="J351" s="613"/>
      <c r="K351" s="614">
        <v>0.8</v>
      </c>
      <c r="L351" s="610"/>
      <c r="M351" s="611" t="str">
        <f>IMAGE("https://raw.githubusercontent.com/msikma/pokesprite/master/items-outline/valuable-item/nugget.png",1)</f>
        <v/>
      </c>
      <c r="N351" s="612" t="s">
        <v>1084</v>
      </c>
      <c r="O351" s="613"/>
      <c r="P351" s="614">
        <v>0.8</v>
      </c>
      <c r="Q351" s="610"/>
      <c r="R351" s="611" t="str">
        <f>IMAGE("https://raw.githubusercontent.com/msikma/pokesprite/master/items-outline/valuable-item/nugget.png",1)</f>
        <v/>
      </c>
      <c r="S351" s="612" t="s">
        <v>1084</v>
      </c>
      <c r="T351" s="613"/>
      <c r="U351" s="614">
        <v>0.8</v>
      </c>
      <c r="V351" s="610"/>
      <c r="W351" s="707"/>
      <c r="X351" s="704"/>
      <c r="Y351" s="705"/>
      <c r="Z351" s="708"/>
      <c r="AA351" s="572"/>
      <c r="AB351" s="560"/>
    </row>
    <row r="352" ht="24.0" customHeight="1">
      <c r="A352" s="556"/>
      <c r="B352" s="577"/>
      <c r="C352" s="709"/>
      <c r="D352" s="710"/>
      <c r="E352" s="705"/>
      <c r="F352" s="711"/>
      <c r="G352" s="609"/>
      <c r="H352" s="615" t="str">
        <f>IMAGE("https://raw.githubusercontent.com/msikma/pokesprite/master/items-outline/valuable-item/big-nugget.png",1)</f>
        <v/>
      </c>
      <c r="I352" s="616" t="s">
        <v>1131</v>
      </c>
      <c r="J352" s="617"/>
      <c r="K352" s="618">
        <v>0.8</v>
      </c>
      <c r="L352" s="610"/>
      <c r="M352" s="615" t="str">
        <f>IMAGE("https://raw.githubusercontent.com/msikma/pokesprite/master/items-outline/valuable-item/big-nugget.png",1)</f>
        <v/>
      </c>
      <c r="N352" s="616" t="s">
        <v>1131</v>
      </c>
      <c r="O352" s="617"/>
      <c r="P352" s="618">
        <v>0.8</v>
      </c>
      <c r="Q352" s="610"/>
      <c r="R352" s="615" t="str">
        <f>IMAGE("https://raw.githubusercontent.com/msikma/pokesprite/master/items-outline/valuable-item/big-nugget.png",1)</f>
        <v/>
      </c>
      <c r="S352" s="616" t="s">
        <v>1131</v>
      </c>
      <c r="T352" s="617"/>
      <c r="U352" s="618">
        <v>0.8</v>
      </c>
      <c r="V352" s="610"/>
      <c r="W352" s="709"/>
      <c r="X352" s="710"/>
      <c r="Y352" s="705"/>
      <c r="Z352" s="711"/>
      <c r="AA352" s="572"/>
      <c r="AB352" s="560"/>
    </row>
    <row r="353" ht="24.0" customHeight="1">
      <c r="A353" s="556"/>
      <c r="B353" s="577"/>
      <c r="C353" s="709"/>
      <c r="D353" s="710"/>
      <c r="E353" s="705"/>
      <c r="F353" s="712"/>
      <c r="G353" s="609"/>
      <c r="H353" s="619" t="str">
        <f>IMAGE("https://raw.githubusercontent.com/msikma/pokesprite/master/items-outline/berry/occa.png",1)</f>
        <v/>
      </c>
      <c r="I353" s="620" t="s">
        <v>1156</v>
      </c>
      <c r="J353" s="621"/>
      <c r="K353" s="622">
        <v>0.5</v>
      </c>
      <c r="L353" s="610"/>
      <c r="M353" s="619" t="str">
        <f>IMAGE("https://raw.githubusercontent.com/msikma/pokesprite/master/items-outline/berry/occa.png",1)</f>
        <v/>
      </c>
      <c r="N353" s="620" t="s">
        <v>1156</v>
      </c>
      <c r="O353" s="621"/>
      <c r="P353" s="622">
        <v>0.5</v>
      </c>
      <c r="Q353" s="610"/>
      <c r="R353" s="619" t="str">
        <f>IMAGE("https://raw.githubusercontent.com/msikma/pokesprite/master/items-outline/berry/occa.png",1)</f>
        <v/>
      </c>
      <c r="S353" s="620" t="s">
        <v>1156</v>
      </c>
      <c r="T353" s="621"/>
      <c r="U353" s="622">
        <v>0.5</v>
      </c>
      <c r="V353" s="610"/>
      <c r="W353" s="709"/>
      <c r="X353" s="710"/>
      <c r="Y353" s="705"/>
      <c r="Z353" s="712"/>
      <c r="AA353" s="572"/>
      <c r="AB353" s="560"/>
    </row>
    <row r="354" ht="24.0" customHeight="1">
      <c r="A354" s="556"/>
      <c r="B354" s="577"/>
      <c r="C354" s="709"/>
      <c r="D354" s="710"/>
      <c r="E354" s="705"/>
      <c r="F354" s="712"/>
      <c r="G354" s="609"/>
      <c r="H354" s="623" t="str">
        <f>IMAGE("https://raw.githubusercontent.com/msikma/pokesprite/master/items-outline/other-item/ability-patch.png",1)</f>
        <v/>
      </c>
      <c r="I354" s="630" t="s">
        <v>1101</v>
      </c>
      <c r="J354" s="625"/>
      <c r="K354" s="626">
        <v>0.5</v>
      </c>
      <c r="L354" s="610"/>
      <c r="M354" s="623" t="str">
        <f>IMAGE("https://raw.githubusercontent.com/msikma/pokesprite/master/items-outline/other-item/ability-patch.png",1)</f>
        <v/>
      </c>
      <c r="N354" s="630" t="s">
        <v>1101</v>
      </c>
      <c r="O354" s="625"/>
      <c r="P354" s="626">
        <v>0.5</v>
      </c>
      <c r="Q354" s="610"/>
      <c r="R354" s="623" t="str">
        <f>IMAGE("https://raw.githubusercontent.com/msikma/pokesprite/master/items-outline/other-item/ability-patch.png",1)</f>
        <v/>
      </c>
      <c r="S354" s="630" t="s">
        <v>1101</v>
      </c>
      <c r="T354" s="625"/>
      <c r="U354" s="626">
        <v>0.5</v>
      </c>
      <c r="V354" s="610"/>
      <c r="W354" s="709"/>
      <c r="X354" s="710"/>
      <c r="Y354" s="705"/>
      <c r="Z354" s="712"/>
      <c r="AA354" s="572"/>
      <c r="AB354" s="560"/>
    </row>
    <row r="355" ht="24.0" customHeight="1">
      <c r="A355" s="556"/>
      <c r="B355" s="577"/>
      <c r="C355" s="709"/>
      <c r="D355" s="710"/>
      <c r="E355" s="705"/>
      <c r="F355" s="712"/>
      <c r="G355" s="609"/>
      <c r="H355" s="611" t="str">
        <f>IMAGE("https://raw.githubusercontent.com/msikma/pokesprite/master/items-outline/medicine/pp-up.png",1)</f>
        <v/>
      </c>
      <c r="I355" s="612" t="s">
        <v>1070</v>
      </c>
      <c r="J355" s="613"/>
      <c r="K355" s="627">
        <v>0.3</v>
      </c>
      <c r="L355" s="610"/>
      <c r="M355" s="611" t="str">
        <f>IMAGE("https://raw.githubusercontent.com/msikma/pokesprite/master/items-outline/medicine/pp-up.png",1)</f>
        <v/>
      </c>
      <c r="N355" s="612" t="s">
        <v>1070</v>
      </c>
      <c r="O355" s="613"/>
      <c r="P355" s="627">
        <v>0.3</v>
      </c>
      <c r="Q355" s="610"/>
      <c r="R355" s="611" t="str">
        <f>IMAGE("https://raw.githubusercontent.com/msikma/pokesprite/master/items-outline/medicine/pp-up.png",1)</f>
        <v/>
      </c>
      <c r="S355" s="612" t="s">
        <v>1070</v>
      </c>
      <c r="T355" s="613"/>
      <c r="U355" s="627">
        <v>0.3</v>
      </c>
      <c r="V355" s="610"/>
      <c r="W355" s="709"/>
      <c r="X355" s="710"/>
      <c r="Y355" s="705"/>
      <c r="Z355" s="712"/>
      <c r="AA355" s="572"/>
      <c r="AB355" s="560"/>
    </row>
    <row r="356" ht="24.0" customHeight="1">
      <c r="A356" s="556"/>
      <c r="B356" s="577"/>
      <c r="C356" s="709"/>
      <c r="D356" s="710"/>
      <c r="E356" s="705"/>
      <c r="F356" s="712"/>
      <c r="G356" s="609"/>
      <c r="H356" s="615" t="str">
        <f>IMAGE("https://raw.githubusercontent.com/msikma/pokesprite/master/items-outline/medicine/pp-max.png",1)</f>
        <v/>
      </c>
      <c r="I356" s="616" t="s">
        <v>1143</v>
      </c>
      <c r="J356" s="617"/>
      <c r="K356" s="628">
        <v>0.3</v>
      </c>
      <c r="L356" s="610"/>
      <c r="M356" s="615" t="str">
        <f>IMAGE("https://raw.githubusercontent.com/msikma/pokesprite/master/items-outline/medicine/pp-max.png",1)</f>
        <v/>
      </c>
      <c r="N356" s="616" t="s">
        <v>1143</v>
      </c>
      <c r="O356" s="617"/>
      <c r="P356" s="628">
        <v>0.3</v>
      </c>
      <c r="Q356" s="610"/>
      <c r="R356" s="615" t="str">
        <f>IMAGE("https://raw.githubusercontent.com/msikma/pokesprite/master/items-outline/medicine/pp-max.png",1)</f>
        <v/>
      </c>
      <c r="S356" s="616" t="s">
        <v>1143</v>
      </c>
      <c r="T356" s="617"/>
      <c r="U356" s="628">
        <v>0.3</v>
      </c>
      <c r="V356" s="610"/>
      <c r="W356" s="709"/>
      <c r="X356" s="710"/>
      <c r="Y356" s="705"/>
      <c r="Z356" s="712"/>
      <c r="AA356" s="572"/>
      <c r="AB356" s="560"/>
    </row>
    <row r="357" ht="24.0" customHeight="1">
      <c r="A357" s="556"/>
      <c r="B357" s="577"/>
      <c r="C357" s="709"/>
      <c r="D357" s="710"/>
      <c r="E357" s="705"/>
      <c r="F357" s="712"/>
      <c r="G357" s="609"/>
      <c r="H357" s="619" t="str">
        <f>IMAGE("https://raw.githubusercontent.com/msikma/pokesprite/master/items-outline/berry/salac.png",1)</f>
        <v/>
      </c>
      <c r="I357" s="620" t="s">
        <v>1142</v>
      </c>
      <c r="J357" s="621"/>
      <c r="K357" s="629">
        <v>0.25</v>
      </c>
      <c r="L357" s="610"/>
      <c r="M357" s="619" t="str">
        <f>IMAGE("https://raw.githubusercontent.com/msikma/pokesprite/master/items-outline/berry/salac.png",1)</f>
        <v/>
      </c>
      <c r="N357" s="620" t="s">
        <v>1142</v>
      </c>
      <c r="O357" s="621"/>
      <c r="P357" s="629">
        <v>0.25</v>
      </c>
      <c r="Q357" s="610"/>
      <c r="R357" s="619" t="str">
        <f>IMAGE("https://raw.githubusercontent.com/msikma/pokesprite/master/items-outline/berry/salac.png",1)</f>
        <v/>
      </c>
      <c r="S357" s="620" t="s">
        <v>1142</v>
      </c>
      <c r="T357" s="621"/>
      <c r="U357" s="629">
        <v>0.25</v>
      </c>
      <c r="V357" s="610"/>
      <c r="W357" s="709"/>
      <c r="X357" s="710"/>
      <c r="Y357" s="705"/>
      <c r="Z357" s="712"/>
      <c r="AA357" s="572"/>
      <c r="AB357" s="560"/>
    </row>
    <row r="358" ht="24.0" customHeight="1">
      <c r="A358" s="556"/>
      <c r="B358" s="577"/>
      <c r="C358" s="709"/>
      <c r="D358" s="715"/>
      <c r="E358" s="705"/>
      <c r="F358" s="712"/>
      <c r="G358" s="609"/>
      <c r="H358" s="623"/>
      <c r="I358" s="630" t="s">
        <v>1068</v>
      </c>
      <c r="J358" s="625"/>
      <c r="K358" s="631">
        <v>0.25</v>
      </c>
      <c r="L358" s="610"/>
      <c r="M358" s="623"/>
      <c r="N358" s="630" t="s">
        <v>1068</v>
      </c>
      <c r="O358" s="625"/>
      <c r="P358" s="631">
        <v>0.25</v>
      </c>
      <c r="Q358" s="610"/>
      <c r="R358" s="623"/>
      <c r="S358" s="630" t="s">
        <v>1068</v>
      </c>
      <c r="T358" s="625"/>
      <c r="U358" s="631">
        <v>0.25</v>
      </c>
      <c r="V358" s="610"/>
      <c r="W358" s="709"/>
      <c r="X358" s="715"/>
      <c r="Y358" s="705"/>
      <c r="Z358" s="712"/>
      <c r="AA358" s="572"/>
      <c r="AB358" s="560"/>
    </row>
    <row r="359" ht="24.0" customHeight="1">
      <c r="A359" s="556"/>
      <c r="B359" s="577"/>
      <c r="C359" s="709"/>
      <c r="D359" s="715"/>
      <c r="E359" s="705"/>
      <c r="F359" s="711"/>
      <c r="G359" s="636"/>
      <c r="H359" s="632" t="str">
        <f>IMAGE("https://raw.githubusercontent.com/msikma/pokesprite/master/items-outline/hold-item/lucky-egg.png",1)</f>
        <v/>
      </c>
      <c r="I359" s="633" t="s">
        <v>1071</v>
      </c>
      <c r="J359" s="634"/>
      <c r="K359" s="635">
        <v>0.05</v>
      </c>
      <c r="L359" s="610"/>
      <c r="M359" s="632" t="str">
        <f>IMAGE("https://raw.githubusercontent.com/msikma/pokesprite/master/items-outline/hold-item/lucky-egg.png",1)</f>
        <v/>
      </c>
      <c r="N359" s="633" t="s">
        <v>1071</v>
      </c>
      <c r="O359" s="634"/>
      <c r="P359" s="635">
        <v>0.05</v>
      </c>
      <c r="Q359" s="610"/>
      <c r="R359" s="632" t="str">
        <f>IMAGE("https://raw.githubusercontent.com/msikma/pokesprite/master/items-outline/hold-item/lucky-egg.png",1)</f>
        <v/>
      </c>
      <c r="S359" s="633" t="s">
        <v>1071</v>
      </c>
      <c r="T359" s="634"/>
      <c r="U359" s="635">
        <v>0.05</v>
      </c>
      <c r="V359" s="610"/>
      <c r="W359" s="709"/>
      <c r="X359" s="715"/>
      <c r="Y359" s="705"/>
      <c r="Z359" s="711"/>
      <c r="AA359" s="572"/>
      <c r="AB359" s="560"/>
    </row>
    <row r="360" ht="24.0" customHeight="1">
      <c r="A360" s="556"/>
      <c r="B360" s="577"/>
      <c r="C360" s="709"/>
      <c r="D360" s="715"/>
      <c r="E360" s="705"/>
      <c r="F360" s="711"/>
      <c r="G360" s="636"/>
      <c r="H360" s="637" t="str">
        <f>IMAGE("https://raw.githubusercontent.com/msikma/pokesprite/master/items-outline/hold-item/life-orb.png",1)</f>
        <v/>
      </c>
      <c r="I360" s="638" t="s">
        <v>1158</v>
      </c>
      <c r="J360" s="639"/>
      <c r="K360" s="640">
        <v>0.04</v>
      </c>
      <c r="L360" s="610"/>
      <c r="M360" s="637" t="str">
        <f>IMAGE("https://raw.githubusercontent.com/msikma/pokesprite/master/items-outline/hold-item/life-orb.png",1)</f>
        <v/>
      </c>
      <c r="N360" s="638" t="s">
        <v>1158</v>
      </c>
      <c r="O360" s="639"/>
      <c r="P360" s="640">
        <v>0.04</v>
      </c>
      <c r="Q360" s="610"/>
      <c r="R360" s="637" t="str">
        <f>IMAGE("https://raw.githubusercontent.com/msikma/pokesprite/master/items-outline/hold-item/life-orb.png",1)</f>
        <v/>
      </c>
      <c r="S360" s="638" t="s">
        <v>1158</v>
      </c>
      <c r="T360" s="639"/>
      <c r="U360" s="640">
        <v>0.04</v>
      </c>
      <c r="V360" s="610"/>
      <c r="W360" s="709"/>
      <c r="X360" s="715"/>
      <c r="Y360" s="705"/>
      <c r="Z360" s="711"/>
      <c r="AA360" s="572"/>
      <c r="AB360" s="560"/>
    </row>
    <row r="361" ht="24.75" customHeight="1">
      <c r="A361" s="556"/>
      <c r="B361" s="577"/>
      <c r="C361" s="709"/>
      <c r="D361" s="715"/>
      <c r="E361" s="705"/>
      <c r="F361" s="711"/>
      <c r="G361" s="645"/>
      <c r="H361" s="641"/>
      <c r="I361" s="642" t="s">
        <v>1158</v>
      </c>
      <c r="J361" s="643"/>
      <c r="K361" s="644">
        <v>0.01</v>
      </c>
      <c r="L361" s="646"/>
      <c r="M361" s="641"/>
      <c r="N361" s="642" t="s">
        <v>1158</v>
      </c>
      <c r="O361" s="643"/>
      <c r="P361" s="644">
        <v>0.01</v>
      </c>
      <c r="Q361" s="646"/>
      <c r="R361" s="641"/>
      <c r="S361" s="642" t="s">
        <v>1158</v>
      </c>
      <c r="T361" s="643"/>
      <c r="U361" s="644">
        <v>0.01</v>
      </c>
      <c r="V361" s="646"/>
      <c r="W361" s="709"/>
      <c r="X361" s="715"/>
      <c r="Y361" s="705"/>
      <c r="Z361" s="711"/>
      <c r="AA361" s="572"/>
      <c r="AB361" s="560"/>
    </row>
    <row r="362" ht="60.0" customHeight="1">
      <c r="A362" s="556"/>
      <c r="B362" s="577"/>
      <c r="C362" s="680" t="s">
        <v>1159</v>
      </c>
      <c r="Z362" s="588"/>
      <c r="AA362" s="648"/>
      <c r="AB362" s="560"/>
    </row>
    <row r="363" ht="37.5" customHeight="1">
      <c r="A363" s="556"/>
      <c r="B363" s="577"/>
      <c r="C363" s="703"/>
      <c r="D363" s="704"/>
      <c r="E363" s="705"/>
      <c r="F363" s="706"/>
      <c r="G363" s="593"/>
      <c r="H363" s="590" t="s">
        <v>920</v>
      </c>
      <c r="I363" s="168"/>
      <c r="J363" s="591"/>
      <c r="K363" s="592" t="str">
        <f t="array" ref="K363">IFERROR(VLOOKUP(H363,Dex!$B$3:$N689,2,FALSE),"")</f>
        <v/>
      </c>
      <c r="L363" s="594"/>
      <c r="M363" s="590" t="s">
        <v>924</v>
      </c>
      <c r="N363" s="168"/>
      <c r="O363" s="591"/>
      <c r="P363" s="592" t="str">
        <f t="array" ref="P363">IFERROR(VLOOKUP(M363,Dex!$B$3:$N689,2,FALSE),"")</f>
        <v/>
      </c>
      <c r="Q363" s="594"/>
      <c r="R363" s="590" t="s">
        <v>1039</v>
      </c>
      <c r="S363" s="168"/>
      <c r="T363" s="591"/>
      <c r="U363" s="592" t="str">
        <f t="array" ref="U363">IFERROR(VLOOKUP(R363,Dex!$B$3:$N689,2,FALSE),"")</f>
        <v/>
      </c>
      <c r="V363" s="594"/>
      <c r="W363" s="703"/>
      <c r="X363" s="704"/>
      <c r="Y363" s="705"/>
      <c r="Z363" s="706"/>
      <c r="AA363" s="572"/>
      <c r="AB363" s="560"/>
    </row>
    <row r="364">
      <c r="A364" s="595"/>
      <c r="B364" s="596"/>
      <c r="C364" s="703"/>
      <c r="D364" s="704"/>
      <c r="E364" s="705"/>
      <c r="F364" s="706"/>
      <c r="G364" s="601"/>
      <c r="H364" s="597" t="s">
        <v>1056</v>
      </c>
      <c r="I364" s="598"/>
      <c r="J364" s="599"/>
      <c r="K364" s="600" t="s">
        <v>1057</v>
      </c>
      <c r="L364" s="602"/>
      <c r="M364" s="597" t="s">
        <v>1056</v>
      </c>
      <c r="N364" s="598"/>
      <c r="O364" s="599"/>
      <c r="P364" s="600" t="s">
        <v>1057</v>
      </c>
      <c r="Q364" s="602"/>
      <c r="R364" s="597" t="s">
        <v>1056</v>
      </c>
      <c r="S364" s="598"/>
      <c r="T364" s="599"/>
      <c r="U364" s="600" t="s">
        <v>1057</v>
      </c>
      <c r="V364" s="602"/>
      <c r="W364" s="703"/>
      <c r="X364" s="704"/>
      <c r="Y364" s="705"/>
      <c r="Z364" s="706"/>
      <c r="AA364" s="603"/>
      <c r="AB364" s="604"/>
    </row>
    <row r="365" ht="24.0" customHeight="1">
      <c r="A365" s="556"/>
      <c r="B365" s="577"/>
      <c r="C365" s="703"/>
      <c r="D365" s="704"/>
      <c r="E365" s="705"/>
      <c r="F365" s="706"/>
      <c r="G365" s="609"/>
      <c r="H365" s="605" t="str">
        <f>IMAGE("https://raw.githubusercontent.com/msikma/pokesprite/master/items-outline/valuable-item/star-piece.png",1)</f>
        <v/>
      </c>
      <c r="I365" s="606" t="s">
        <v>1108</v>
      </c>
      <c r="J365" s="607"/>
      <c r="K365" s="608">
        <v>1.0</v>
      </c>
      <c r="L365" s="610"/>
      <c r="M365" s="605" t="str">
        <f>IMAGE("https://raw.githubusercontent.com/msikma/pokesprite/master/items-outline/valuable-item/star-piece.png",1)</f>
        <v/>
      </c>
      <c r="N365" s="606" t="s">
        <v>1108</v>
      </c>
      <c r="O365" s="607"/>
      <c r="P365" s="608">
        <v>1.0</v>
      </c>
      <c r="Q365" s="610"/>
      <c r="R365" s="605" t="str">
        <f>IMAGE("https://raw.githubusercontent.com/msikma/pokesprite/master/items-outline/valuable-item/star-piece.png",1)</f>
        <v/>
      </c>
      <c r="S365" s="606" t="s">
        <v>1108</v>
      </c>
      <c r="T365" s="607"/>
      <c r="U365" s="608">
        <v>1.0</v>
      </c>
      <c r="V365" s="716"/>
      <c r="W365" s="703"/>
      <c r="X365" s="704"/>
      <c r="Y365" s="705"/>
      <c r="Z365" s="706"/>
      <c r="AA365" s="572"/>
      <c r="AB365" s="560"/>
    </row>
    <row r="366" ht="24.0" customHeight="1">
      <c r="A366" s="556"/>
      <c r="B366" s="577"/>
      <c r="C366" s="707"/>
      <c r="D366" s="704"/>
      <c r="E366" s="705"/>
      <c r="F366" s="708"/>
      <c r="G366" s="609"/>
      <c r="H366" s="611" t="str">
        <f>IMAGE("https://raw.githubusercontent.com/msikma/pokesprite/master/items-outline/valuable-item/nugget.png",1)</f>
        <v/>
      </c>
      <c r="I366" s="612" t="s">
        <v>1084</v>
      </c>
      <c r="J366" s="613"/>
      <c r="K366" s="614">
        <v>0.8</v>
      </c>
      <c r="L366" s="610"/>
      <c r="M366" s="611" t="str">
        <f>IMAGE("https://raw.githubusercontent.com/msikma/pokesprite/master/items-outline/valuable-item/nugget.png",1)</f>
        <v/>
      </c>
      <c r="N366" s="612" t="s">
        <v>1084</v>
      </c>
      <c r="O366" s="613"/>
      <c r="P366" s="614">
        <v>0.8</v>
      </c>
      <c r="Q366" s="610"/>
      <c r="R366" s="611" t="str">
        <f>IMAGE("https://raw.githubusercontent.com/msikma/pokesprite/master/items-outline/valuable-item/nugget.png",1)</f>
        <v/>
      </c>
      <c r="S366" s="612" t="s">
        <v>1084</v>
      </c>
      <c r="T366" s="613"/>
      <c r="U366" s="614">
        <v>0.8</v>
      </c>
      <c r="V366" s="610"/>
      <c r="W366" s="707"/>
      <c r="X366" s="704"/>
      <c r="Y366" s="705"/>
      <c r="Z366" s="708"/>
      <c r="AA366" s="572"/>
      <c r="AB366" s="560"/>
    </row>
    <row r="367" ht="24.0" customHeight="1">
      <c r="A367" s="556"/>
      <c r="B367" s="577"/>
      <c r="C367" s="709"/>
      <c r="D367" s="710"/>
      <c r="E367" s="705"/>
      <c r="F367" s="711"/>
      <c r="G367" s="609"/>
      <c r="H367" s="615" t="str">
        <f>IMAGE("https://raw.githubusercontent.com/msikma/pokesprite/master/items-outline/valuable-item/big-nugget.png",1)</f>
        <v/>
      </c>
      <c r="I367" s="616" t="s">
        <v>1131</v>
      </c>
      <c r="J367" s="617"/>
      <c r="K367" s="618">
        <v>0.8</v>
      </c>
      <c r="L367" s="610"/>
      <c r="M367" s="615" t="str">
        <f>IMAGE("https://raw.githubusercontent.com/msikma/pokesprite/master/items-outline/valuable-item/big-nugget.png",1)</f>
        <v/>
      </c>
      <c r="N367" s="616" t="s">
        <v>1131</v>
      </c>
      <c r="O367" s="617"/>
      <c r="P367" s="618">
        <v>0.8</v>
      </c>
      <c r="Q367" s="610"/>
      <c r="R367" s="615" t="str">
        <f>IMAGE("https://raw.githubusercontent.com/msikma/pokesprite/master/items-outline/valuable-item/big-nugget.png",1)</f>
        <v/>
      </c>
      <c r="S367" s="616" t="s">
        <v>1131</v>
      </c>
      <c r="T367" s="617"/>
      <c r="U367" s="618">
        <v>0.8</v>
      </c>
      <c r="V367" s="610"/>
      <c r="W367" s="709"/>
      <c r="X367" s="710"/>
      <c r="Y367" s="705"/>
      <c r="Z367" s="711"/>
      <c r="AA367" s="572"/>
      <c r="AB367" s="560"/>
    </row>
    <row r="368" ht="24.0" customHeight="1">
      <c r="A368" s="556"/>
      <c r="B368" s="577"/>
      <c r="C368" s="709"/>
      <c r="D368" s="710"/>
      <c r="E368" s="705"/>
      <c r="F368" s="712"/>
      <c r="G368" s="609"/>
      <c r="H368" s="619" t="str">
        <f>IMAGE("https://raw.githubusercontent.com/msikma/pokesprite/master/items-outline/medicine/protein.png",1)</f>
        <v/>
      </c>
      <c r="I368" s="620" t="s">
        <v>1069</v>
      </c>
      <c r="J368" s="621"/>
      <c r="K368" s="622">
        <v>0.5</v>
      </c>
      <c r="L368" s="610"/>
      <c r="M368" s="619" t="str">
        <f>IMAGE("https://raw.githubusercontent.com/msikma/pokesprite/master/items-outline/medicine/protein.png",1)</f>
        <v/>
      </c>
      <c r="N368" s="620" t="s">
        <v>1069</v>
      </c>
      <c r="O368" s="621"/>
      <c r="P368" s="622">
        <v>0.5</v>
      </c>
      <c r="Q368" s="610"/>
      <c r="R368" s="619" t="str">
        <f>IMAGE("https://raw.githubusercontent.com/msikma/pokesprite/master/items-outline/medicine/protein.png",1)</f>
        <v/>
      </c>
      <c r="S368" s="620" t="s">
        <v>1069</v>
      </c>
      <c r="T368" s="621"/>
      <c r="U368" s="622">
        <v>0.5</v>
      </c>
      <c r="V368" s="610"/>
      <c r="W368" s="709"/>
      <c r="X368" s="710"/>
      <c r="Y368" s="705"/>
      <c r="Z368" s="712"/>
      <c r="AA368" s="572"/>
      <c r="AB368" s="560"/>
    </row>
    <row r="369" ht="24.0" customHeight="1">
      <c r="A369" s="556"/>
      <c r="B369" s="577"/>
      <c r="C369" s="709"/>
      <c r="D369" s="710"/>
      <c r="E369" s="705"/>
      <c r="F369" s="712"/>
      <c r="G369" s="609"/>
      <c r="H369" s="623" t="str">
        <f>IMAGE("https://raw.githubusercontent.com/msikma/pokesprite/master/items-outline/medicine/calcium.png",1)</f>
        <v/>
      </c>
      <c r="I369" s="624" t="s">
        <v>1075</v>
      </c>
      <c r="J369" s="625"/>
      <c r="K369" s="626">
        <v>0.5</v>
      </c>
      <c r="L369" s="610"/>
      <c r="M369" s="623" t="str">
        <f>IMAGE("https://raw.githubusercontent.com/msikma/pokesprite/master/items-outline/medicine/calcium.png",1)</f>
        <v/>
      </c>
      <c r="N369" s="624" t="s">
        <v>1075</v>
      </c>
      <c r="O369" s="625"/>
      <c r="P369" s="626">
        <v>0.5</v>
      </c>
      <c r="Q369" s="610"/>
      <c r="R369" s="623" t="str">
        <f>IMAGE("https://raw.githubusercontent.com/msikma/pokesprite/master/items-outline/medicine/calcium.png",1)</f>
        <v/>
      </c>
      <c r="S369" s="624" t="s">
        <v>1075</v>
      </c>
      <c r="T369" s="625"/>
      <c r="U369" s="626">
        <v>0.5</v>
      </c>
      <c r="V369" s="610"/>
      <c r="W369" s="709"/>
      <c r="X369" s="710"/>
      <c r="Y369" s="705"/>
      <c r="Z369" s="712"/>
      <c r="AA369" s="572"/>
      <c r="AB369" s="560"/>
    </row>
    <row r="370" ht="24.0" customHeight="1">
      <c r="A370" s="556"/>
      <c r="B370" s="577"/>
      <c r="C370" s="709"/>
      <c r="D370" s="710"/>
      <c r="E370" s="705"/>
      <c r="F370" s="712"/>
      <c r="G370" s="609"/>
      <c r="H370" s="611" t="str">
        <f>IMAGE("https://raw.githubusercontent.com/msikma/pokesprite/master/items-outline/medicine/pp-up.png",1)</f>
        <v/>
      </c>
      <c r="I370" s="612" t="s">
        <v>1070</v>
      </c>
      <c r="J370" s="613"/>
      <c r="K370" s="627">
        <v>0.3</v>
      </c>
      <c r="L370" s="610"/>
      <c r="M370" s="611" t="str">
        <f>IMAGE("https://raw.githubusercontent.com/msikma/pokesprite/master/items-outline/medicine/pp-up.png",1)</f>
        <v/>
      </c>
      <c r="N370" s="612" t="s">
        <v>1070</v>
      </c>
      <c r="O370" s="613"/>
      <c r="P370" s="627">
        <v>0.3</v>
      </c>
      <c r="Q370" s="610"/>
      <c r="R370" s="611" t="str">
        <f>IMAGE("https://raw.githubusercontent.com/msikma/pokesprite/master/items-outline/medicine/pp-up.png",1)</f>
        <v/>
      </c>
      <c r="S370" s="612" t="s">
        <v>1070</v>
      </c>
      <c r="T370" s="613"/>
      <c r="U370" s="627">
        <v>0.3</v>
      </c>
      <c r="V370" s="610"/>
      <c r="W370" s="709"/>
      <c r="X370" s="710"/>
      <c r="Y370" s="705"/>
      <c r="Z370" s="712"/>
      <c r="AA370" s="572"/>
      <c r="AB370" s="560"/>
    </row>
    <row r="371" ht="24.0" customHeight="1">
      <c r="A371" s="556"/>
      <c r="B371" s="577"/>
      <c r="C371" s="709"/>
      <c r="D371" s="710"/>
      <c r="E371" s="705"/>
      <c r="F371" s="712"/>
      <c r="G371" s="609"/>
      <c r="H371" s="615" t="str">
        <f>IMAGE("https://raw.githubusercontent.com/msikma/pokesprite/master/items-outline/medicine/pp-max.png",1)</f>
        <v/>
      </c>
      <c r="I371" s="616" t="s">
        <v>1143</v>
      </c>
      <c r="J371" s="617"/>
      <c r="K371" s="628">
        <v>0.3</v>
      </c>
      <c r="L371" s="610"/>
      <c r="M371" s="615" t="str">
        <f>IMAGE("https://raw.githubusercontent.com/msikma/pokesprite/master/items-outline/medicine/pp-max.png",1)</f>
        <v/>
      </c>
      <c r="N371" s="616" t="s">
        <v>1143</v>
      </c>
      <c r="O371" s="617"/>
      <c r="P371" s="628">
        <v>0.3</v>
      </c>
      <c r="Q371" s="610"/>
      <c r="R371" s="615" t="str">
        <f>IMAGE("https://raw.githubusercontent.com/msikma/pokesprite/master/items-outline/medicine/pp-max.png",1)</f>
        <v/>
      </c>
      <c r="S371" s="616" t="s">
        <v>1143</v>
      </c>
      <c r="T371" s="617"/>
      <c r="U371" s="628">
        <v>0.3</v>
      </c>
      <c r="V371" s="610"/>
      <c r="W371" s="709"/>
      <c r="X371" s="710"/>
      <c r="Y371" s="705"/>
      <c r="Z371" s="712"/>
      <c r="AA371" s="572"/>
      <c r="AB371" s="560"/>
    </row>
    <row r="372" ht="24.0" customHeight="1">
      <c r="A372" s="556"/>
      <c r="B372" s="577"/>
      <c r="C372" s="709"/>
      <c r="D372" s="710"/>
      <c r="E372" s="705"/>
      <c r="F372" s="712"/>
      <c r="G372" s="609"/>
      <c r="H372" s="619"/>
      <c r="I372" s="620" t="s">
        <v>1068</v>
      </c>
      <c r="J372" s="621"/>
      <c r="K372" s="629">
        <v>0.25</v>
      </c>
      <c r="L372" s="610"/>
      <c r="M372" s="619"/>
      <c r="N372" s="620" t="s">
        <v>1108</v>
      </c>
      <c r="O372" s="621"/>
      <c r="P372" s="629">
        <v>0.25</v>
      </c>
      <c r="Q372" s="610"/>
      <c r="R372" s="619"/>
      <c r="S372" s="620" t="s">
        <v>1108</v>
      </c>
      <c r="T372" s="621"/>
      <c r="U372" s="629">
        <v>0.25</v>
      </c>
      <c r="V372" s="610"/>
      <c r="W372" s="709"/>
      <c r="X372" s="710"/>
      <c r="Y372" s="705"/>
      <c r="Z372" s="712"/>
      <c r="AA372" s="572"/>
      <c r="AB372" s="560"/>
    </row>
    <row r="373" ht="24.0" customHeight="1">
      <c r="A373" s="556"/>
      <c r="B373" s="577"/>
      <c r="C373" s="709"/>
      <c r="D373" s="715"/>
      <c r="E373" s="705"/>
      <c r="F373" s="712"/>
      <c r="G373" s="609"/>
      <c r="H373" s="623" t="str">
        <f>IMAGE("https://raw.githubusercontent.com/msikma/pokesprite/master/items-outline/other-item/ability-patch.png",1)</f>
        <v/>
      </c>
      <c r="I373" s="630" t="s">
        <v>1101</v>
      </c>
      <c r="J373" s="625"/>
      <c r="K373" s="631">
        <v>0.25</v>
      </c>
      <c r="L373" s="610"/>
      <c r="M373" s="623"/>
      <c r="N373" s="630" t="s">
        <v>1068</v>
      </c>
      <c r="O373" s="625"/>
      <c r="P373" s="631">
        <v>0.25</v>
      </c>
      <c r="Q373" s="610"/>
      <c r="R373" s="623"/>
      <c r="S373" s="630" t="s">
        <v>1068</v>
      </c>
      <c r="T373" s="625"/>
      <c r="U373" s="631">
        <v>0.25</v>
      </c>
      <c r="V373" s="610"/>
      <c r="W373" s="709"/>
      <c r="X373" s="715"/>
      <c r="Y373" s="705"/>
      <c r="Z373" s="712"/>
      <c r="AA373" s="572"/>
      <c r="AB373" s="560"/>
    </row>
    <row r="374" ht="24.0" customHeight="1">
      <c r="A374" s="556"/>
      <c r="B374" s="577"/>
      <c r="C374" s="709"/>
      <c r="D374" s="715"/>
      <c r="E374" s="705"/>
      <c r="F374" s="711"/>
      <c r="G374" s="636"/>
      <c r="H374" s="632" t="str">
        <f>IMAGE("https://raw.githubusercontent.com/msikma/pokesprite/master/items-outline/hold-item/lucky-egg.png",1)</f>
        <v/>
      </c>
      <c r="I374" s="633" t="s">
        <v>1071</v>
      </c>
      <c r="J374" s="634"/>
      <c r="K374" s="635">
        <v>0.05</v>
      </c>
      <c r="L374" s="610"/>
      <c r="M374" s="632" t="str">
        <f>IMAGE("https://raw.githubusercontent.com/msikma/pokesprite/master/items-outline/hold-item/lucky-egg.png",1)</f>
        <v/>
      </c>
      <c r="N374" s="633" t="s">
        <v>1071</v>
      </c>
      <c r="O374" s="634"/>
      <c r="P374" s="635">
        <v>0.05</v>
      </c>
      <c r="Q374" s="610"/>
      <c r="R374" s="632" t="str">
        <f>IMAGE("https://raw.githubusercontent.com/msikma/pokesprite/master/items-outline/hold-item/lucky-egg.png",1)</f>
        <v/>
      </c>
      <c r="S374" s="633" t="s">
        <v>1071</v>
      </c>
      <c r="T374" s="634"/>
      <c r="U374" s="635">
        <v>0.05</v>
      </c>
      <c r="V374" s="610"/>
      <c r="W374" s="709"/>
      <c r="X374" s="715"/>
      <c r="Y374" s="705"/>
      <c r="Z374" s="711"/>
      <c r="AA374" s="572"/>
      <c r="AB374" s="560"/>
    </row>
    <row r="375" ht="24.0" customHeight="1">
      <c r="A375" s="556"/>
      <c r="B375" s="577"/>
      <c r="C375" s="709"/>
      <c r="D375" s="715"/>
      <c r="E375" s="705"/>
      <c r="F375" s="711"/>
      <c r="G375" s="636"/>
      <c r="H375" s="637"/>
      <c r="I375" s="638" t="s">
        <v>1071</v>
      </c>
      <c r="J375" s="639"/>
      <c r="K375" s="640">
        <v>0.04</v>
      </c>
      <c r="L375" s="610"/>
      <c r="M375" s="637"/>
      <c r="N375" s="638" t="s">
        <v>1071</v>
      </c>
      <c r="O375" s="639"/>
      <c r="P375" s="640">
        <v>0.04</v>
      </c>
      <c r="Q375" s="610"/>
      <c r="R375" s="637"/>
      <c r="S375" s="638" t="s">
        <v>1071</v>
      </c>
      <c r="T375" s="639"/>
      <c r="U375" s="640">
        <v>0.04</v>
      </c>
      <c r="V375" s="610"/>
      <c r="W375" s="709"/>
      <c r="X375" s="715"/>
      <c r="Y375" s="705"/>
      <c r="Z375" s="711"/>
      <c r="AA375" s="572"/>
      <c r="AB375" s="560"/>
    </row>
    <row r="376" ht="24.75" customHeight="1">
      <c r="A376" s="556"/>
      <c r="B376" s="577"/>
      <c r="C376" s="709"/>
      <c r="D376" s="715"/>
      <c r="E376" s="705"/>
      <c r="F376" s="711"/>
      <c r="G376" s="645"/>
      <c r="H376" s="641"/>
      <c r="I376" s="642" t="s">
        <v>1071</v>
      </c>
      <c r="J376" s="643"/>
      <c r="K376" s="644">
        <v>0.01</v>
      </c>
      <c r="L376" s="646"/>
      <c r="M376" s="641"/>
      <c r="N376" s="642" t="s">
        <v>1071</v>
      </c>
      <c r="O376" s="643"/>
      <c r="P376" s="644">
        <v>0.01</v>
      </c>
      <c r="Q376" s="646"/>
      <c r="R376" s="641"/>
      <c r="S376" s="642" t="s">
        <v>1071</v>
      </c>
      <c r="T376" s="643"/>
      <c r="U376" s="644">
        <v>0.01</v>
      </c>
      <c r="V376" s="646"/>
      <c r="W376" s="709"/>
      <c r="X376" s="715"/>
      <c r="Y376" s="705"/>
      <c r="Z376" s="711"/>
      <c r="AA376" s="572"/>
      <c r="AB376" s="560"/>
    </row>
    <row r="377" ht="60.0" customHeight="1">
      <c r="A377" s="556"/>
      <c r="B377" s="577"/>
      <c r="C377" s="680" t="s">
        <v>1160</v>
      </c>
      <c r="Z377" s="588"/>
      <c r="AA377" s="648"/>
      <c r="AB377" s="560"/>
    </row>
    <row r="378" ht="37.5" customHeight="1">
      <c r="A378" s="556"/>
      <c r="B378" s="577"/>
      <c r="C378" s="703"/>
      <c r="D378" s="704"/>
      <c r="E378" s="705"/>
      <c r="F378" s="706"/>
      <c r="G378" s="593"/>
      <c r="H378" s="590" t="s">
        <v>865</v>
      </c>
      <c r="I378" s="168"/>
      <c r="J378" s="591"/>
      <c r="K378" s="592" t="str">
        <f t="array" ref="K378">IFERROR(VLOOKUP(H378,Dex!$B$3:$N689,2,FALSE),"")</f>
        <v/>
      </c>
      <c r="L378" s="594"/>
      <c r="M378" s="590" t="s">
        <v>864</v>
      </c>
      <c r="N378" s="168"/>
      <c r="O378" s="591"/>
      <c r="P378" s="592" t="str">
        <f t="array" ref="P378">IFERROR(VLOOKUP(M378,Dex!$B$3:$N689,2,FALSE),"")</f>
        <v/>
      </c>
      <c r="Q378" s="594"/>
      <c r="R378" s="590" t="s">
        <v>862</v>
      </c>
      <c r="S378" s="168"/>
      <c r="T378" s="591"/>
      <c r="U378" s="592" t="str">
        <f t="array" ref="U378">IFERROR(VLOOKUP(R378,Dex!$B$3:$N689,2,FALSE),"")</f>
        <v/>
      </c>
      <c r="V378" s="594"/>
      <c r="W378" s="703"/>
      <c r="X378" s="704"/>
      <c r="Y378" s="705"/>
      <c r="Z378" s="706"/>
      <c r="AA378" s="572"/>
      <c r="AB378" s="560"/>
    </row>
    <row r="379">
      <c r="A379" s="595"/>
      <c r="B379" s="596"/>
      <c r="C379" s="703"/>
      <c r="D379" s="704"/>
      <c r="E379" s="705"/>
      <c r="F379" s="706"/>
      <c r="G379" s="601"/>
      <c r="H379" s="597" t="s">
        <v>1056</v>
      </c>
      <c r="I379" s="598"/>
      <c r="J379" s="599"/>
      <c r="K379" s="600" t="s">
        <v>1057</v>
      </c>
      <c r="L379" s="602"/>
      <c r="M379" s="597" t="s">
        <v>1056</v>
      </c>
      <c r="N379" s="598"/>
      <c r="O379" s="599"/>
      <c r="P379" s="600" t="s">
        <v>1057</v>
      </c>
      <c r="Q379" s="602"/>
      <c r="R379" s="597" t="s">
        <v>1056</v>
      </c>
      <c r="S379" s="598"/>
      <c r="T379" s="599"/>
      <c r="U379" s="600" t="s">
        <v>1057</v>
      </c>
      <c r="V379" s="602"/>
      <c r="W379" s="703"/>
      <c r="X379" s="704"/>
      <c r="Y379" s="705"/>
      <c r="Z379" s="706"/>
      <c r="AA379" s="603"/>
      <c r="AB379" s="604"/>
    </row>
    <row r="380" ht="24.0" customHeight="1">
      <c r="A380" s="556"/>
      <c r="B380" s="577"/>
      <c r="C380" s="703"/>
      <c r="D380" s="704"/>
      <c r="E380" s="705"/>
      <c r="F380" s="706"/>
      <c r="G380" s="609"/>
      <c r="H380" s="605" t="str">
        <f>IMAGE("https://raw.githubusercontent.com/msikma/pokesprite/master/items-outline/valuable-item/star-piece.png",1)</f>
        <v/>
      </c>
      <c r="I380" s="606" t="s">
        <v>1108</v>
      </c>
      <c r="J380" s="607"/>
      <c r="K380" s="608">
        <v>1.0</v>
      </c>
      <c r="L380" s="610"/>
      <c r="M380" s="605" t="str">
        <f>IMAGE("https://raw.githubusercontent.com/msikma/pokesprite/master/items-outline/valuable-item/star-piece.png",1)</f>
        <v/>
      </c>
      <c r="N380" s="606" t="s">
        <v>1108</v>
      </c>
      <c r="O380" s="607"/>
      <c r="P380" s="608">
        <v>1.0</v>
      </c>
      <c r="Q380" s="610"/>
      <c r="R380" s="605" t="str">
        <f>IMAGE("https://raw.githubusercontent.com/msikma/pokesprite/master/items-outline/valuable-item/star-piece.png",1)</f>
        <v/>
      </c>
      <c r="S380" s="606" t="s">
        <v>1108</v>
      </c>
      <c r="T380" s="607"/>
      <c r="U380" s="608">
        <v>1.0</v>
      </c>
      <c r="V380" s="716"/>
      <c r="W380" s="703"/>
      <c r="X380" s="704"/>
      <c r="Y380" s="705"/>
      <c r="Z380" s="706"/>
      <c r="AA380" s="572"/>
      <c r="AB380" s="560"/>
    </row>
    <row r="381" ht="24.0" customHeight="1">
      <c r="A381" s="556"/>
      <c r="B381" s="577"/>
      <c r="C381" s="707"/>
      <c r="D381" s="704"/>
      <c r="E381" s="705"/>
      <c r="F381" s="708"/>
      <c r="G381" s="609"/>
      <c r="H381" s="611" t="str">
        <f>IMAGE("https://raw.githubusercontent.com/msikma/pokesprite/master/items-outline/valuable-item/nugget.png",1)</f>
        <v/>
      </c>
      <c r="I381" s="612" t="s">
        <v>1084</v>
      </c>
      <c r="J381" s="613"/>
      <c r="K381" s="614">
        <v>0.8</v>
      </c>
      <c r="L381" s="610"/>
      <c r="M381" s="611" t="str">
        <f>IMAGE("https://raw.githubusercontent.com/msikma/pokesprite/master/items-outline/valuable-item/nugget.png",1)</f>
        <v/>
      </c>
      <c r="N381" s="612" t="s">
        <v>1084</v>
      </c>
      <c r="O381" s="613"/>
      <c r="P381" s="614">
        <v>0.8</v>
      </c>
      <c r="Q381" s="610"/>
      <c r="R381" s="611" t="str">
        <f>IMAGE("https://raw.githubusercontent.com/msikma/pokesprite/master/items-outline/valuable-item/nugget.png",1)</f>
        <v/>
      </c>
      <c r="S381" s="612" t="s">
        <v>1084</v>
      </c>
      <c r="T381" s="613"/>
      <c r="U381" s="614">
        <v>0.8</v>
      </c>
      <c r="V381" s="610"/>
      <c r="W381" s="707"/>
      <c r="X381" s="704"/>
      <c r="Y381" s="705"/>
      <c r="Z381" s="708"/>
      <c r="AA381" s="572"/>
      <c r="AB381" s="560"/>
    </row>
    <row r="382" ht="24.0" customHeight="1">
      <c r="A382" s="556"/>
      <c r="B382" s="577"/>
      <c r="C382" s="709"/>
      <c r="D382" s="710"/>
      <c r="E382" s="705"/>
      <c r="F382" s="711"/>
      <c r="G382" s="609"/>
      <c r="H382" s="615" t="str">
        <f>IMAGE("https://raw.githubusercontent.com/msikma/pokesprite/master/items-outline/valuable-item/big-nugget.png",1)</f>
        <v/>
      </c>
      <c r="I382" s="616" t="s">
        <v>1131</v>
      </c>
      <c r="J382" s="617"/>
      <c r="K382" s="618">
        <v>0.8</v>
      </c>
      <c r="L382" s="610"/>
      <c r="M382" s="615" t="str">
        <f>IMAGE("https://raw.githubusercontent.com/msikma/pokesprite/master/items-outline/valuable-item/big-nugget.png",1)</f>
        <v/>
      </c>
      <c r="N382" s="616" t="s">
        <v>1131</v>
      </c>
      <c r="O382" s="617"/>
      <c r="P382" s="618">
        <v>0.8</v>
      </c>
      <c r="Q382" s="610"/>
      <c r="R382" s="615" t="str">
        <f>IMAGE("https://raw.githubusercontent.com/msikma/pokesprite/master/items-outline/valuable-item/big-nugget.png",1)</f>
        <v/>
      </c>
      <c r="S382" s="616" t="s">
        <v>1131</v>
      </c>
      <c r="T382" s="617"/>
      <c r="U382" s="618">
        <v>0.8</v>
      </c>
      <c r="V382" s="610"/>
      <c r="W382" s="709"/>
      <c r="X382" s="710"/>
      <c r="Y382" s="705"/>
      <c r="Z382" s="711"/>
      <c r="AA382" s="572"/>
      <c r="AB382" s="560"/>
    </row>
    <row r="383" ht="24.0" customHeight="1">
      <c r="A383" s="556"/>
      <c r="B383" s="577"/>
      <c r="C383" s="709"/>
      <c r="D383" s="710"/>
      <c r="E383" s="705"/>
      <c r="F383" s="712"/>
      <c r="G383" s="609"/>
      <c r="H383" s="619" t="str">
        <f>IMAGE("https://raw.githubusercontent.com/msikma/pokesprite/master/items-outline/berry/occa.png",1)</f>
        <v/>
      </c>
      <c r="I383" s="620" t="s">
        <v>1156</v>
      </c>
      <c r="J383" s="621"/>
      <c r="K383" s="622">
        <v>0.5</v>
      </c>
      <c r="L383" s="610"/>
      <c r="M383" s="619" t="str">
        <f>IMAGE("https://raw.githubusercontent.com/msikma/pokesprite/master/items-outline/berry/occa.png",1)</f>
        <v/>
      </c>
      <c r="N383" s="620" t="s">
        <v>1156</v>
      </c>
      <c r="O383" s="621"/>
      <c r="P383" s="622">
        <v>0.5</v>
      </c>
      <c r="Q383" s="610"/>
      <c r="R383" s="619" t="str">
        <f>IMAGE("https://raw.githubusercontent.com/msikma/pokesprite/master/items-outline/berry/occa.png",1)</f>
        <v/>
      </c>
      <c r="S383" s="620" t="s">
        <v>1156</v>
      </c>
      <c r="T383" s="621"/>
      <c r="U383" s="622">
        <v>0.5</v>
      </c>
      <c r="V383" s="610"/>
      <c r="W383" s="709"/>
      <c r="X383" s="710"/>
      <c r="Y383" s="705"/>
      <c r="Z383" s="712"/>
      <c r="AA383" s="572"/>
      <c r="AB383" s="560"/>
    </row>
    <row r="384" ht="24.0" customHeight="1">
      <c r="A384" s="556"/>
      <c r="B384" s="577"/>
      <c r="C384" s="709"/>
      <c r="D384" s="710"/>
      <c r="E384" s="705"/>
      <c r="F384" s="712"/>
      <c r="G384" s="609"/>
      <c r="H384" s="623" t="str">
        <f>IMAGE("https://raw.githubusercontent.com/msikma/pokesprite/master/items-outline/other-item/ability-patch.png",1)</f>
        <v/>
      </c>
      <c r="I384" s="630" t="s">
        <v>1101</v>
      </c>
      <c r="J384" s="625"/>
      <c r="K384" s="626">
        <v>0.5</v>
      </c>
      <c r="L384" s="610"/>
      <c r="M384" s="623" t="str">
        <f>IMAGE("https://raw.githubusercontent.com/msikma/pokesprite/master/items-outline/other-item/ability-patch.png",1)</f>
        <v/>
      </c>
      <c r="N384" s="630" t="s">
        <v>1101</v>
      </c>
      <c r="O384" s="625"/>
      <c r="P384" s="626">
        <v>0.5</v>
      </c>
      <c r="Q384" s="610"/>
      <c r="R384" s="623" t="str">
        <f>IMAGE("https://raw.githubusercontent.com/msikma/pokesprite/master/items-outline/other-item/ability-patch.png",1)</f>
        <v/>
      </c>
      <c r="S384" s="630" t="s">
        <v>1101</v>
      </c>
      <c r="T384" s="625"/>
      <c r="U384" s="626">
        <v>0.5</v>
      </c>
      <c r="V384" s="610"/>
      <c r="W384" s="709"/>
      <c r="X384" s="710"/>
      <c r="Y384" s="705"/>
      <c r="Z384" s="712"/>
      <c r="AA384" s="572"/>
      <c r="AB384" s="560"/>
    </row>
    <row r="385" ht="24.0" customHeight="1">
      <c r="A385" s="556"/>
      <c r="B385" s="577"/>
      <c r="C385" s="709"/>
      <c r="D385" s="710"/>
      <c r="E385" s="705"/>
      <c r="F385" s="712"/>
      <c r="G385" s="609"/>
      <c r="H385" s="611" t="str">
        <f>IMAGE("https://raw.githubusercontent.com/msikma/pokesprite/master/items-outline/medicine/pp-up.png",1)</f>
        <v/>
      </c>
      <c r="I385" s="612" t="s">
        <v>1070</v>
      </c>
      <c r="J385" s="613"/>
      <c r="K385" s="627">
        <v>0.3</v>
      </c>
      <c r="L385" s="610"/>
      <c r="M385" s="611" t="str">
        <f>IMAGE("https://raw.githubusercontent.com/msikma/pokesprite/master/items-outline/medicine/pp-up.png",1)</f>
        <v/>
      </c>
      <c r="N385" s="612" t="s">
        <v>1070</v>
      </c>
      <c r="O385" s="613"/>
      <c r="P385" s="627">
        <v>0.3</v>
      </c>
      <c r="Q385" s="610"/>
      <c r="R385" s="611" t="str">
        <f>IMAGE("https://raw.githubusercontent.com/msikma/pokesprite/master/items-outline/medicine/pp-up.png",1)</f>
        <v/>
      </c>
      <c r="S385" s="612" t="s">
        <v>1070</v>
      </c>
      <c r="T385" s="613"/>
      <c r="U385" s="627">
        <v>0.3</v>
      </c>
      <c r="V385" s="610"/>
      <c r="W385" s="709"/>
      <c r="X385" s="710"/>
      <c r="Y385" s="705"/>
      <c r="Z385" s="712"/>
      <c r="AA385" s="572"/>
      <c r="AB385" s="560"/>
    </row>
    <row r="386" ht="24.0" customHeight="1">
      <c r="A386" s="556"/>
      <c r="B386" s="577"/>
      <c r="C386" s="709"/>
      <c r="D386" s="710"/>
      <c r="E386" s="705"/>
      <c r="F386" s="712"/>
      <c r="G386" s="609"/>
      <c r="H386" s="615" t="str">
        <f>IMAGE("https://raw.githubusercontent.com/msikma/pokesprite/master/items-outline/medicine/pp-max.png",1)</f>
        <v/>
      </c>
      <c r="I386" s="616" t="s">
        <v>1143</v>
      </c>
      <c r="J386" s="617"/>
      <c r="K386" s="628">
        <v>0.3</v>
      </c>
      <c r="L386" s="610"/>
      <c r="M386" s="615" t="str">
        <f>IMAGE("https://raw.githubusercontent.com/msikma/pokesprite/master/items-outline/medicine/pp-max.png",1)</f>
        <v/>
      </c>
      <c r="N386" s="616" t="s">
        <v>1143</v>
      </c>
      <c r="O386" s="617"/>
      <c r="P386" s="628">
        <v>0.3</v>
      </c>
      <c r="Q386" s="610"/>
      <c r="R386" s="615" t="str">
        <f>IMAGE("https://raw.githubusercontent.com/msikma/pokesprite/master/items-outline/medicine/pp-max.png",1)</f>
        <v/>
      </c>
      <c r="S386" s="616" t="s">
        <v>1143</v>
      </c>
      <c r="T386" s="617"/>
      <c r="U386" s="628">
        <v>0.3</v>
      </c>
      <c r="V386" s="610"/>
      <c r="W386" s="709"/>
      <c r="X386" s="710"/>
      <c r="Y386" s="705"/>
      <c r="Z386" s="712"/>
      <c r="AA386" s="572"/>
      <c r="AB386" s="560"/>
    </row>
    <row r="387" ht="24.0" customHeight="1">
      <c r="A387" s="556"/>
      <c r="B387" s="577"/>
      <c r="C387" s="709"/>
      <c r="D387" s="710"/>
      <c r="E387" s="705"/>
      <c r="F387" s="712"/>
      <c r="G387" s="609"/>
      <c r="H387" s="619" t="str">
        <f>IMAGE("https://raw.githubusercontent.com/msikma/pokesprite/master/items-outline/berry/salac.png",1)</f>
        <v/>
      </c>
      <c r="I387" s="620" t="s">
        <v>1142</v>
      </c>
      <c r="J387" s="621"/>
      <c r="K387" s="629">
        <v>0.25</v>
      </c>
      <c r="L387" s="610"/>
      <c r="M387" s="619" t="str">
        <f>IMAGE("https://raw.githubusercontent.com/msikma/pokesprite/master/items-outline/berry/salac.png",1)</f>
        <v/>
      </c>
      <c r="N387" s="620" t="s">
        <v>1142</v>
      </c>
      <c r="O387" s="621"/>
      <c r="P387" s="629">
        <v>0.25</v>
      </c>
      <c r="Q387" s="610"/>
      <c r="R387" s="619" t="str">
        <f>IMAGE("https://raw.githubusercontent.com/msikma/pokesprite/master/items-outline/berry/salac.png",1)</f>
        <v/>
      </c>
      <c r="S387" s="620" t="s">
        <v>1142</v>
      </c>
      <c r="T387" s="621"/>
      <c r="U387" s="629">
        <v>0.25</v>
      </c>
      <c r="V387" s="610"/>
      <c r="W387" s="709"/>
      <c r="X387" s="710"/>
      <c r="Y387" s="705"/>
      <c r="Z387" s="712"/>
      <c r="AA387" s="572"/>
      <c r="AB387" s="560"/>
    </row>
    <row r="388" ht="24.0" customHeight="1">
      <c r="A388" s="556"/>
      <c r="B388" s="577"/>
      <c r="C388" s="709"/>
      <c r="D388" s="715"/>
      <c r="E388" s="705"/>
      <c r="F388" s="712"/>
      <c r="G388" s="609"/>
      <c r="H388" s="623"/>
      <c r="I388" s="630" t="s">
        <v>1068</v>
      </c>
      <c r="J388" s="625"/>
      <c r="K388" s="631">
        <v>0.25</v>
      </c>
      <c r="L388" s="610"/>
      <c r="M388" s="623"/>
      <c r="N388" s="630" t="s">
        <v>1068</v>
      </c>
      <c r="O388" s="625"/>
      <c r="P388" s="631">
        <v>0.25</v>
      </c>
      <c r="Q388" s="610"/>
      <c r="R388" s="623"/>
      <c r="S388" s="630" t="s">
        <v>1068</v>
      </c>
      <c r="T388" s="625"/>
      <c r="U388" s="631">
        <v>0.25</v>
      </c>
      <c r="V388" s="610"/>
      <c r="W388" s="709"/>
      <c r="X388" s="715"/>
      <c r="Y388" s="705"/>
      <c r="Z388" s="712"/>
      <c r="AA388" s="572"/>
      <c r="AB388" s="560"/>
    </row>
    <row r="389" ht="24.0" customHeight="1">
      <c r="A389" s="556"/>
      <c r="B389" s="577"/>
      <c r="C389" s="709"/>
      <c r="D389" s="715"/>
      <c r="E389" s="705"/>
      <c r="F389" s="711"/>
      <c r="G389" s="636"/>
      <c r="H389" s="632" t="str">
        <f>IMAGE("https://raw.githubusercontent.com/msikma/pokesprite/master/items-outline/hold-item/lucky-egg.png",1)</f>
        <v/>
      </c>
      <c r="I389" s="633" t="s">
        <v>1071</v>
      </c>
      <c r="J389" s="634"/>
      <c r="K389" s="635">
        <v>0.05</v>
      </c>
      <c r="L389" s="610"/>
      <c r="M389" s="632" t="str">
        <f>IMAGE("https://raw.githubusercontent.com/msikma/pokesprite/master/items-outline/hold-item/lucky-egg.png",1)</f>
        <v/>
      </c>
      <c r="N389" s="633" t="s">
        <v>1071</v>
      </c>
      <c r="O389" s="634"/>
      <c r="P389" s="635">
        <v>0.05</v>
      </c>
      <c r="Q389" s="610"/>
      <c r="R389" s="632" t="str">
        <f>IMAGE("https://raw.githubusercontent.com/msikma/pokesprite/master/items-outline/hold-item/lucky-egg.png",1)</f>
        <v/>
      </c>
      <c r="S389" s="633" t="s">
        <v>1071</v>
      </c>
      <c r="T389" s="634"/>
      <c r="U389" s="635">
        <v>0.05</v>
      </c>
      <c r="V389" s="610"/>
      <c r="W389" s="709"/>
      <c r="X389" s="715"/>
      <c r="Y389" s="705"/>
      <c r="Z389" s="711"/>
      <c r="AA389" s="572"/>
      <c r="AB389" s="560"/>
    </row>
    <row r="390" ht="24.0" customHeight="1">
      <c r="A390" s="556"/>
      <c r="B390" s="577"/>
      <c r="C390" s="709"/>
      <c r="D390" s="715"/>
      <c r="E390" s="705"/>
      <c r="F390" s="711"/>
      <c r="G390" s="636"/>
      <c r="H390" s="637" t="str">
        <f>IMAGE("https://raw.githubusercontent.com/msikma/pokesprite/master/items-outline/hold-item/life-orb.png",1)</f>
        <v/>
      </c>
      <c r="I390" s="638" t="s">
        <v>1158</v>
      </c>
      <c r="J390" s="639"/>
      <c r="K390" s="640">
        <v>0.04</v>
      </c>
      <c r="L390" s="610"/>
      <c r="M390" s="637" t="str">
        <f>IMAGE("https://raw.githubusercontent.com/msikma/pokesprite/master/items-outline/hold-item/life-orb.png",1)</f>
        <v/>
      </c>
      <c r="N390" s="638" t="s">
        <v>1158</v>
      </c>
      <c r="O390" s="639"/>
      <c r="P390" s="640">
        <v>0.04</v>
      </c>
      <c r="Q390" s="610"/>
      <c r="R390" s="637" t="str">
        <f>IMAGE("https://raw.githubusercontent.com/msikma/pokesprite/master/items-outline/hold-item/life-orb.png",1)</f>
        <v/>
      </c>
      <c r="S390" s="638" t="s">
        <v>1158</v>
      </c>
      <c r="T390" s="639"/>
      <c r="U390" s="640">
        <v>0.04</v>
      </c>
      <c r="V390" s="610"/>
      <c r="W390" s="709"/>
      <c r="X390" s="715"/>
      <c r="Y390" s="705"/>
      <c r="Z390" s="711"/>
      <c r="AA390" s="572"/>
      <c r="AB390" s="560"/>
    </row>
    <row r="391" ht="24.75" customHeight="1">
      <c r="A391" s="556"/>
      <c r="B391" s="577"/>
      <c r="C391" s="709"/>
      <c r="D391" s="715"/>
      <c r="E391" s="705"/>
      <c r="F391" s="711"/>
      <c r="G391" s="645"/>
      <c r="H391" s="641"/>
      <c r="I391" s="642" t="s">
        <v>1158</v>
      </c>
      <c r="J391" s="643"/>
      <c r="K391" s="644">
        <v>0.01</v>
      </c>
      <c r="L391" s="646"/>
      <c r="M391" s="641"/>
      <c r="N391" s="642" t="s">
        <v>1158</v>
      </c>
      <c r="O391" s="643"/>
      <c r="P391" s="644">
        <v>0.01</v>
      </c>
      <c r="Q391" s="646"/>
      <c r="R391" s="641"/>
      <c r="S391" s="642" t="s">
        <v>1158</v>
      </c>
      <c r="T391" s="643"/>
      <c r="U391" s="644">
        <v>0.01</v>
      </c>
      <c r="V391" s="646"/>
      <c r="W391" s="709"/>
      <c r="X391" s="715"/>
      <c r="Y391" s="705"/>
      <c r="Z391" s="711"/>
      <c r="AA391" s="572"/>
      <c r="AB391" s="560"/>
    </row>
    <row r="392" ht="60.0" customHeight="1">
      <c r="A392" s="556"/>
      <c r="B392" s="577"/>
      <c r="C392" s="680" t="s">
        <v>1161</v>
      </c>
      <c r="Z392" s="588"/>
      <c r="AA392" s="648"/>
      <c r="AB392" s="560"/>
    </row>
    <row r="393" ht="37.5" customHeight="1">
      <c r="A393" s="556"/>
      <c r="B393" s="577"/>
      <c r="C393" s="703"/>
      <c r="D393" s="704"/>
      <c r="E393" s="705"/>
      <c r="F393" s="706"/>
      <c r="G393" s="593"/>
      <c r="H393" s="590" t="s">
        <v>957</v>
      </c>
      <c r="I393" s="168"/>
      <c r="J393" s="591"/>
      <c r="K393" s="592" t="str">
        <f t="array" ref="K393">IFERROR(VLOOKUP(H393,Dex!$B$3:$N689,2,FALSE),"")</f>
        <v/>
      </c>
      <c r="L393" s="594"/>
      <c r="M393" s="590" t="s">
        <v>991</v>
      </c>
      <c r="N393" s="168"/>
      <c r="O393" s="591"/>
      <c r="P393" s="592" t="str">
        <f t="array" ref="P393">IFERROR(VLOOKUP(M393,Dex!$B$3:$N689,2,FALSE),"")</f>
        <v/>
      </c>
      <c r="Q393" s="594"/>
      <c r="R393" s="590" t="s">
        <v>836</v>
      </c>
      <c r="S393" s="168"/>
      <c r="T393" s="591"/>
      <c r="U393" s="592" t="str">
        <f t="array" ref="U393">IFERROR(VLOOKUP(R393,Dex!$B$3:$N689,2,FALSE),"")</f>
        <v/>
      </c>
      <c r="V393" s="594"/>
      <c r="W393" s="703"/>
      <c r="X393" s="704"/>
      <c r="Y393" s="705"/>
      <c r="Z393" s="706"/>
      <c r="AA393" s="572"/>
      <c r="AB393" s="560"/>
    </row>
    <row r="394">
      <c r="A394" s="595"/>
      <c r="B394" s="596"/>
      <c r="C394" s="703"/>
      <c r="D394" s="704"/>
      <c r="E394" s="705"/>
      <c r="F394" s="706"/>
      <c r="G394" s="601"/>
      <c r="H394" s="597" t="s">
        <v>1056</v>
      </c>
      <c r="I394" s="598"/>
      <c r="J394" s="599"/>
      <c r="K394" s="600" t="s">
        <v>1057</v>
      </c>
      <c r="L394" s="602"/>
      <c r="M394" s="597" t="s">
        <v>1056</v>
      </c>
      <c r="N394" s="598"/>
      <c r="O394" s="599"/>
      <c r="P394" s="600" t="s">
        <v>1057</v>
      </c>
      <c r="Q394" s="602"/>
      <c r="R394" s="597" t="s">
        <v>1056</v>
      </c>
      <c r="S394" s="598"/>
      <c r="T394" s="599"/>
      <c r="U394" s="600" t="s">
        <v>1057</v>
      </c>
      <c r="V394" s="602"/>
      <c r="W394" s="703"/>
      <c r="X394" s="704"/>
      <c r="Y394" s="705"/>
      <c r="Z394" s="706"/>
      <c r="AA394" s="603"/>
      <c r="AB394" s="604"/>
    </row>
    <row r="395" ht="24.0" customHeight="1">
      <c r="A395" s="556"/>
      <c r="B395" s="577"/>
      <c r="C395" s="703"/>
      <c r="D395" s="704"/>
      <c r="E395" s="705"/>
      <c r="F395" s="706"/>
      <c r="G395" s="609"/>
      <c r="H395" s="605" t="str">
        <f>IMAGE("https://raw.githubusercontent.com/msikma/pokesprite/master/items-outline/valuable-item/star-piece.png",1)</f>
        <v/>
      </c>
      <c r="I395" s="606" t="s">
        <v>1108</v>
      </c>
      <c r="J395" s="607"/>
      <c r="K395" s="608">
        <v>1.0</v>
      </c>
      <c r="L395" s="610"/>
      <c r="M395" s="605" t="str">
        <f>IMAGE("https://raw.githubusercontent.com/msikma/pokesprite/master/items-outline/valuable-item/star-piece.png",1)</f>
        <v/>
      </c>
      <c r="N395" s="606" t="s">
        <v>1108</v>
      </c>
      <c r="O395" s="607"/>
      <c r="P395" s="608">
        <v>1.0</v>
      </c>
      <c r="Q395" s="610"/>
      <c r="R395" s="605" t="str">
        <f>IMAGE("https://raw.githubusercontent.com/msikma/pokesprite/master/items-outline/valuable-item/star-piece.png",1)</f>
        <v/>
      </c>
      <c r="S395" s="606" t="s">
        <v>1108</v>
      </c>
      <c r="T395" s="607"/>
      <c r="U395" s="608">
        <v>1.0</v>
      </c>
      <c r="V395" s="716"/>
      <c r="W395" s="703"/>
      <c r="X395" s="704"/>
      <c r="Y395" s="705"/>
      <c r="Z395" s="706"/>
      <c r="AA395" s="572"/>
      <c r="AB395" s="560"/>
    </row>
    <row r="396" ht="24.0" customHeight="1">
      <c r="A396" s="556"/>
      <c r="B396" s="577"/>
      <c r="C396" s="707"/>
      <c r="D396" s="704"/>
      <c r="E396" s="705"/>
      <c r="F396" s="708"/>
      <c r="G396" s="609"/>
      <c r="H396" s="611" t="str">
        <f>IMAGE("https://raw.githubusercontent.com/msikma/pokesprite/master/items-outline/valuable-item/nugget.png",1)</f>
        <v/>
      </c>
      <c r="I396" s="612" t="s">
        <v>1084</v>
      </c>
      <c r="J396" s="613"/>
      <c r="K396" s="614">
        <v>0.8</v>
      </c>
      <c r="L396" s="610"/>
      <c r="M396" s="611" t="str">
        <f>IMAGE("https://raw.githubusercontent.com/msikma/pokesprite/master/items-outline/valuable-item/nugget.png",1)</f>
        <v/>
      </c>
      <c r="N396" s="612" t="s">
        <v>1084</v>
      </c>
      <c r="O396" s="613"/>
      <c r="P396" s="614">
        <v>0.8</v>
      </c>
      <c r="Q396" s="610"/>
      <c r="R396" s="611" t="str">
        <f>IMAGE("https://raw.githubusercontent.com/msikma/pokesprite/master/items-outline/valuable-item/nugget.png",1)</f>
        <v/>
      </c>
      <c r="S396" s="612" t="s">
        <v>1084</v>
      </c>
      <c r="T396" s="613"/>
      <c r="U396" s="614">
        <v>0.8</v>
      </c>
      <c r="V396" s="610"/>
      <c r="W396" s="707"/>
      <c r="X396" s="704"/>
      <c r="Y396" s="705"/>
      <c r="Z396" s="708"/>
      <c r="AA396" s="572"/>
      <c r="AB396" s="560"/>
    </row>
    <row r="397" ht="24.0" customHeight="1">
      <c r="A397" s="556"/>
      <c r="B397" s="577"/>
      <c r="C397" s="709"/>
      <c r="D397" s="710"/>
      <c r="E397" s="705"/>
      <c r="F397" s="711"/>
      <c r="G397" s="609"/>
      <c r="H397" s="615" t="str">
        <f>IMAGE("https://raw.githubusercontent.com/msikma/pokesprite/master/items-outline/valuable-item/big-nugget.png",1)</f>
        <v/>
      </c>
      <c r="I397" s="616" t="s">
        <v>1131</v>
      </c>
      <c r="J397" s="617"/>
      <c r="K397" s="618">
        <v>0.8</v>
      </c>
      <c r="L397" s="610"/>
      <c r="M397" s="615" t="str">
        <f>IMAGE("https://raw.githubusercontent.com/msikma/pokesprite/master/items-outline/valuable-item/big-nugget.png",1)</f>
        <v/>
      </c>
      <c r="N397" s="616" t="s">
        <v>1131</v>
      </c>
      <c r="O397" s="617"/>
      <c r="P397" s="618">
        <v>0.8</v>
      </c>
      <c r="Q397" s="610"/>
      <c r="R397" s="615" t="str">
        <f>IMAGE("https://raw.githubusercontent.com/msikma/pokesprite/master/items-outline/valuable-item/big-nugget.png",1)</f>
        <v/>
      </c>
      <c r="S397" s="616" t="s">
        <v>1131</v>
      </c>
      <c r="T397" s="617"/>
      <c r="U397" s="618">
        <v>0.8</v>
      </c>
      <c r="V397" s="610"/>
      <c r="W397" s="709"/>
      <c r="X397" s="710"/>
      <c r="Y397" s="705"/>
      <c r="Z397" s="711"/>
      <c r="AA397" s="572"/>
      <c r="AB397" s="560"/>
    </row>
    <row r="398" ht="24.0" customHeight="1">
      <c r="A398" s="556"/>
      <c r="B398" s="577"/>
      <c r="C398" s="709"/>
      <c r="D398" s="710"/>
      <c r="E398" s="705"/>
      <c r="F398" s="712"/>
      <c r="G398" s="609"/>
      <c r="H398" s="619" t="str">
        <f>IMAGE("https://raw.githubusercontent.com/msikma/pokesprite/master/items-outline/berry/occa.png",1)</f>
        <v/>
      </c>
      <c r="I398" s="620" t="s">
        <v>1156</v>
      </c>
      <c r="J398" s="621"/>
      <c r="K398" s="622">
        <v>0.5</v>
      </c>
      <c r="L398" s="610"/>
      <c r="M398" s="619" t="str">
        <f>IMAGE("https://raw.githubusercontent.com/msikma/pokesprite/master/items-outline/berry/occa.png",1)</f>
        <v/>
      </c>
      <c r="N398" s="620" t="s">
        <v>1156</v>
      </c>
      <c r="O398" s="621"/>
      <c r="P398" s="622">
        <v>0.5</v>
      </c>
      <c r="Q398" s="610"/>
      <c r="R398" s="619" t="str">
        <f>IMAGE("https://raw.githubusercontent.com/msikma/pokesprite/master/items-outline/berry/occa.png",1)</f>
        <v/>
      </c>
      <c r="S398" s="620" t="s">
        <v>1156</v>
      </c>
      <c r="T398" s="621"/>
      <c r="U398" s="622">
        <v>0.5</v>
      </c>
      <c r="V398" s="610"/>
      <c r="W398" s="709"/>
      <c r="X398" s="710"/>
      <c r="Y398" s="705"/>
      <c r="Z398" s="712"/>
      <c r="AA398" s="572"/>
      <c r="AB398" s="560"/>
    </row>
    <row r="399" ht="24.0" customHeight="1">
      <c r="A399" s="556"/>
      <c r="B399" s="577"/>
      <c r="C399" s="709"/>
      <c r="D399" s="710"/>
      <c r="E399" s="705"/>
      <c r="F399" s="712"/>
      <c r="G399" s="609"/>
      <c r="H399" s="623" t="str">
        <f>IMAGE("https://raw.githubusercontent.com/msikma/pokesprite/master/items-outline/other-item/ability-patch.png",1)</f>
        <v/>
      </c>
      <c r="I399" s="630" t="s">
        <v>1101</v>
      </c>
      <c r="J399" s="625"/>
      <c r="K399" s="626">
        <v>0.5</v>
      </c>
      <c r="L399" s="610"/>
      <c r="M399" s="623" t="str">
        <f>IMAGE("https://raw.githubusercontent.com/msikma/pokesprite/master/items-outline/other-item/ability-patch.png",1)</f>
        <v/>
      </c>
      <c r="N399" s="630" t="s">
        <v>1101</v>
      </c>
      <c r="O399" s="625"/>
      <c r="P399" s="626">
        <v>0.5</v>
      </c>
      <c r="Q399" s="610"/>
      <c r="R399" s="623" t="str">
        <f>IMAGE("https://raw.githubusercontent.com/msikma/pokesprite/master/items-outline/other-item/ability-patch.png",1)</f>
        <v/>
      </c>
      <c r="S399" s="630" t="s">
        <v>1101</v>
      </c>
      <c r="T399" s="625"/>
      <c r="U399" s="626">
        <v>0.5</v>
      </c>
      <c r="V399" s="610"/>
      <c r="W399" s="709"/>
      <c r="X399" s="710"/>
      <c r="Y399" s="705"/>
      <c r="Z399" s="712"/>
      <c r="AA399" s="572"/>
      <c r="AB399" s="560"/>
    </row>
    <row r="400" ht="24.0" customHeight="1">
      <c r="A400" s="556"/>
      <c r="B400" s="577"/>
      <c r="C400" s="709"/>
      <c r="D400" s="710"/>
      <c r="E400" s="705"/>
      <c r="F400" s="712"/>
      <c r="G400" s="609"/>
      <c r="H400" s="611" t="str">
        <f>IMAGE("https://raw.githubusercontent.com/msikma/pokesprite/master/items-outline/medicine/pp-up.png",1)</f>
        <v/>
      </c>
      <c r="I400" s="612" t="s">
        <v>1070</v>
      </c>
      <c r="J400" s="613"/>
      <c r="K400" s="627">
        <v>0.3</v>
      </c>
      <c r="L400" s="610"/>
      <c r="M400" s="611" t="str">
        <f>IMAGE("https://raw.githubusercontent.com/msikma/pokesprite/master/items-outline/medicine/pp-up.png",1)</f>
        <v/>
      </c>
      <c r="N400" s="612" t="s">
        <v>1070</v>
      </c>
      <c r="O400" s="613"/>
      <c r="P400" s="627">
        <v>0.3</v>
      </c>
      <c r="Q400" s="610"/>
      <c r="R400" s="611" t="str">
        <f>IMAGE("https://raw.githubusercontent.com/msikma/pokesprite/master/items-outline/medicine/pp-up.png",1)</f>
        <v/>
      </c>
      <c r="S400" s="612" t="s">
        <v>1070</v>
      </c>
      <c r="T400" s="613"/>
      <c r="U400" s="627">
        <v>0.3</v>
      </c>
      <c r="V400" s="610"/>
      <c r="W400" s="709"/>
      <c r="X400" s="710"/>
      <c r="Y400" s="705"/>
      <c r="Z400" s="712"/>
      <c r="AA400" s="572"/>
      <c r="AB400" s="560"/>
    </row>
    <row r="401" ht="24.0" customHeight="1">
      <c r="A401" s="556"/>
      <c r="B401" s="577"/>
      <c r="C401" s="709"/>
      <c r="D401" s="710"/>
      <c r="E401" s="705"/>
      <c r="F401" s="712"/>
      <c r="G401" s="609"/>
      <c r="H401" s="615" t="str">
        <f>IMAGE("https://raw.githubusercontent.com/msikma/pokesprite/master/items-outline/medicine/pp-max.png",1)</f>
        <v/>
      </c>
      <c r="I401" s="616" t="s">
        <v>1143</v>
      </c>
      <c r="J401" s="617"/>
      <c r="K401" s="628">
        <v>0.3</v>
      </c>
      <c r="L401" s="610"/>
      <c r="M401" s="615" t="str">
        <f>IMAGE("https://raw.githubusercontent.com/msikma/pokesprite/master/items-outline/medicine/pp-max.png",1)</f>
        <v/>
      </c>
      <c r="N401" s="616" t="s">
        <v>1143</v>
      </c>
      <c r="O401" s="617"/>
      <c r="P401" s="628">
        <v>0.3</v>
      </c>
      <c r="Q401" s="610"/>
      <c r="R401" s="615" t="str">
        <f>IMAGE("https://raw.githubusercontent.com/msikma/pokesprite/master/items-outline/medicine/pp-max.png",1)</f>
        <v/>
      </c>
      <c r="S401" s="616" t="s">
        <v>1143</v>
      </c>
      <c r="T401" s="617"/>
      <c r="U401" s="628">
        <v>0.3</v>
      </c>
      <c r="V401" s="610"/>
      <c r="W401" s="709"/>
      <c r="X401" s="710"/>
      <c r="Y401" s="705"/>
      <c r="Z401" s="712"/>
      <c r="AA401" s="572"/>
      <c r="AB401" s="560"/>
    </row>
    <row r="402" ht="24.0" customHeight="1">
      <c r="A402" s="556"/>
      <c r="B402" s="577"/>
      <c r="C402" s="709"/>
      <c r="D402" s="710"/>
      <c r="E402" s="705"/>
      <c r="F402" s="712"/>
      <c r="G402" s="609"/>
      <c r="H402" s="619" t="str">
        <f>IMAGE("https://raw.githubusercontent.com/msikma/pokesprite/master/items-outline/berry/salac.png",1)</f>
        <v/>
      </c>
      <c r="I402" s="620" t="s">
        <v>1142</v>
      </c>
      <c r="J402" s="621"/>
      <c r="K402" s="629">
        <v>0.25</v>
      </c>
      <c r="L402" s="610"/>
      <c r="M402" s="619" t="str">
        <f>IMAGE("https://raw.githubusercontent.com/msikma/pokesprite/master/items-outline/berry/liechi.png",1)</f>
        <v/>
      </c>
      <c r="N402" s="620" t="s">
        <v>1147</v>
      </c>
      <c r="O402" s="621"/>
      <c r="P402" s="629">
        <v>0.25</v>
      </c>
      <c r="Q402" s="610"/>
      <c r="R402" s="619" t="str">
        <f>IMAGE("https://raw.githubusercontent.com/msikma/pokesprite/master/items-outline/berry/liechi.png",1)</f>
        <v/>
      </c>
      <c r="S402" s="620" t="s">
        <v>1147</v>
      </c>
      <c r="T402" s="621"/>
      <c r="U402" s="629">
        <v>0.25</v>
      </c>
      <c r="V402" s="610"/>
      <c r="W402" s="709"/>
      <c r="X402" s="710"/>
      <c r="Y402" s="705"/>
      <c r="Z402" s="712"/>
      <c r="AA402" s="572"/>
      <c r="AB402" s="560"/>
    </row>
    <row r="403" ht="24.0" customHeight="1">
      <c r="A403" s="556"/>
      <c r="B403" s="577"/>
      <c r="C403" s="709"/>
      <c r="D403" s="715"/>
      <c r="E403" s="705"/>
      <c r="F403" s="712"/>
      <c r="G403" s="609"/>
      <c r="H403" s="623"/>
      <c r="I403" s="630" t="s">
        <v>1068</v>
      </c>
      <c r="J403" s="625"/>
      <c r="K403" s="631">
        <v>0.25</v>
      </c>
      <c r="L403" s="610"/>
      <c r="M403" s="623"/>
      <c r="N403" s="630" t="s">
        <v>1068</v>
      </c>
      <c r="O403" s="625"/>
      <c r="P403" s="631">
        <v>0.25</v>
      </c>
      <c r="Q403" s="610"/>
      <c r="R403" s="623"/>
      <c r="S403" s="630" t="s">
        <v>1068</v>
      </c>
      <c r="T403" s="625"/>
      <c r="U403" s="631">
        <v>0.25</v>
      </c>
      <c r="V403" s="610"/>
      <c r="W403" s="709"/>
      <c r="X403" s="715"/>
      <c r="Y403" s="705"/>
      <c r="Z403" s="712"/>
      <c r="AA403" s="572"/>
      <c r="AB403" s="560"/>
    </row>
    <row r="404" ht="24.0" customHeight="1">
      <c r="A404" s="556"/>
      <c r="B404" s="577"/>
      <c r="C404" s="709"/>
      <c r="D404" s="715"/>
      <c r="E404" s="705"/>
      <c r="F404" s="711"/>
      <c r="G404" s="636"/>
      <c r="H404" s="632" t="str">
        <f>IMAGE("https://raw.githubusercontent.com/msikma/pokesprite/master/items-outline/hold-item/lucky-egg.png",1)</f>
        <v/>
      </c>
      <c r="I404" s="633" t="s">
        <v>1071</v>
      </c>
      <c r="J404" s="634"/>
      <c r="K404" s="635">
        <v>0.05</v>
      </c>
      <c r="L404" s="610"/>
      <c r="M404" s="632" t="str">
        <f>IMAGE("https://raw.githubusercontent.com/msikma/pokesprite/master/items-outline/hold-item/lucky-egg.png",1)</f>
        <v/>
      </c>
      <c r="N404" s="633" t="s">
        <v>1071</v>
      </c>
      <c r="O404" s="634"/>
      <c r="P404" s="635">
        <v>0.05</v>
      </c>
      <c r="Q404" s="610"/>
      <c r="R404" s="632" t="str">
        <f>IMAGE("https://raw.githubusercontent.com/msikma/pokesprite/master/items-outline/hold-item/lucky-egg.png",1)</f>
        <v/>
      </c>
      <c r="S404" s="633" t="s">
        <v>1071</v>
      </c>
      <c r="T404" s="634"/>
      <c r="U404" s="635">
        <v>0.05</v>
      </c>
      <c r="V404" s="610"/>
      <c r="W404" s="709"/>
      <c r="X404" s="715"/>
      <c r="Y404" s="705"/>
      <c r="Z404" s="711"/>
      <c r="AA404" s="572"/>
      <c r="AB404" s="560"/>
    </row>
    <row r="405" ht="24.0" customHeight="1">
      <c r="A405" s="556"/>
      <c r="B405" s="577"/>
      <c r="C405" s="709"/>
      <c r="D405" s="715"/>
      <c r="E405" s="705"/>
      <c r="F405" s="711"/>
      <c r="G405" s="636"/>
      <c r="H405" s="637" t="str">
        <f>IMAGE("https://raw.githubusercontent.com/msikma/pokesprite/master/items-outline/hold-item/life-orb.png",1)</f>
        <v/>
      </c>
      <c r="I405" s="638" t="s">
        <v>1158</v>
      </c>
      <c r="J405" s="639"/>
      <c r="K405" s="640">
        <v>0.04</v>
      </c>
      <c r="L405" s="610"/>
      <c r="M405" s="637" t="str">
        <f>IMAGE("https://raw.githubusercontent.com/msikma/pokesprite/master/items-outline/hold-item/life-orb.png",1)</f>
        <v/>
      </c>
      <c r="N405" s="638" t="s">
        <v>1158</v>
      </c>
      <c r="O405" s="639"/>
      <c r="P405" s="640">
        <v>0.04</v>
      </c>
      <c r="Q405" s="610"/>
      <c r="R405" s="637" t="str">
        <f>IMAGE("https://raw.githubusercontent.com/msikma/pokesprite/master/items-outline/hold-item/life-orb.png",1)</f>
        <v/>
      </c>
      <c r="S405" s="638" t="s">
        <v>1158</v>
      </c>
      <c r="T405" s="639"/>
      <c r="U405" s="640">
        <v>0.04</v>
      </c>
      <c r="V405" s="610"/>
      <c r="W405" s="709"/>
      <c r="X405" s="715"/>
      <c r="Y405" s="705"/>
      <c r="Z405" s="711"/>
      <c r="AA405" s="572"/>
      <c r="AB405" s="560"/>
    </row>
    <row r="406" ht="24.75" customHeight="1">
      <c r="A406" s="556"/>
      <c r="B406" s="577"/>
      <c r="C406" s="709"/>
      <c r="D406" s="715"/>
      <c r="E406" s="705"/>
      <c r="F406" s="711"/>
      <c r="G406" s="645"/>
      <c r="H406" s="641"/>
      <c r="I406" s="642" t="s">
        <v>1158</v>
      </c>
      <c r="J406" s="643"/>
      <c r="K406" s="644">
        <v>0.01</v>
      </c>
      <c r="L406" s="646"/>
      <c r="M406" s="641"/>
      <c r="N406" s="642" t="s">
        <v>1158</v>
      </c>
      <c r="O406" s="643"/>
      <c r="P406" s="644">
        <v>0.01</v>
      </c>
      <c r="Q406" s="646"/>
      <c r="R406" s="641"/>
      <c r="S406" s="642" t="s">
        <v>1158</v>
      </c>
      <c r="T406" s="643"/>
      <c r="U406" s="644">
        <v>0.01</v>
      </c>
      <c r="V406" s="646"/>
      <c r="W406" s="709"/>
      <c r="X406" s="715"/>
      <c r="Y406" s="705"/>
      <c r="Z406" s="711"/>
      <c r="AA406" s="572"/>
      <c r="AB406" s="560"/>
    </row>
    <row r="407" ht="60.0" customHeight="1">
      <c r="A407" s="556"/>
      <c r="B407" s="577"/>
      <c r="C407" s="680" t="s">
        <v>1162</v>
      </c>
      <c r="Z407" s="588"/>
      <c r="AA407" s="648"/>
      <c r="AB407" s="560"/>
    </row>
    <row r="408" ht="37.5" customHeight="1">
      <c r="A408" s="556"/>
      <c r="B408" s="577"/>
      <c r="C408" s="703"/>
      <c r="D408" s="704"/>
      <c r="E408" s="705"/>
      <c r="F408" s="706"/>
      <c r="G408" s="593"/>
      <c r="H408" s="590" t="s">
        <v>1028</v>
      </c>
      <c r="I408" s="168"/>
      <c r="J408" s="591"/>
      <c r="K408" s="592" t="str">
        <f t="array" ref="K408">IFERROR(VLOOKUP(H408,Dex!$B$3:$N689,2,FALSE),"")</f>
        <v/>
      </c>
      <c r="L408" s="594"/>
      <c r="M408" s="590" t="s">
        <v>1029</v>
      </c>
      <c r="N408" s="168"/>
      <c r="O408" s="591"/>
      <c r="P408" s="592" t="str">
        <f t="array" ref="P408">IFERROR(VLOOKUP(M408,Dex!$B$3:$N689,2,FALSE),"")</f>
        <v/>
      </c>
      <c r="Q408" s="594"/>
      <c r="R408" s="590" t="s">
        <v>1026</v>
      </c>
      <c r="S408" s="168"/>
      <c r="T408" s="591"/>
      <c r="U408" s="592" t="str">
        <f t="array" ref="U408">IFERROR(VLOOKUP(R408,Dex!$B$3:$N689,2,FALSE),"")</f>
        <v/>
      </c>
      <c r="V408" s="594"/>
      <c r="W408" s="703"/>
      <c r="X408" s="704"/>
      <c r="Y408" s="705"/>
      <c r="Z408" s="706"/>
      <c r="AA408" s="572"/>
      <c r="AB408" s="560"/>
    </row>
    <row r="409">
      <c r="A409" s="595"/>
      <c r="B409" s="596"/>
      <c r="C409" s="703"/>
      <c r="D409" s="704"/>
      <c r="E409" s="705"/>
      <c r="F409" s="706"/>
      <c r="G409" s="601"/>
      <c r="H409" s="597" t="s">
        <v>1056</v>
      </c>
      <c r="I409" s="598"/>
      <c r="J409" s="599"/>
      <c r="K409" s="600" t="s">
        <v>1057</v>
      </c>
      <c r="L409" s="602"/>
      <c r="M409" s="597" t="s">
        <v>1056</v>
      </c>
      <c r="N409" s="598"/>
      <c r="O409" s="599"/>
      <c r="P409" s="600" t="s">
        <v>1057</v>
      </c>
      <c r="Q409" s="602"/>
      <c r="R409" s="597" t="s">
        <v>1056</v>
      </c>
      <c r="S409" s="598"/>
      <c r="T409" s="599"/>
      <c r="U409" s="600" t="s">
        <v>1057</v>
      </c>
      <c r="V409" s="602"/>
      <c r="W409" s="703"/>
      <c r="X409" s="704"/>
      <c r="Y409" s="705"/>
      <c r="Z409" s="706"/>
      <c r="AA409" s="603"/>
      <c r="AB409" s="604"/>
    </row>
    <row r="410" ht="24.0" customHeight="1">
      <c r="A410" s="556"/>
      <c r="B410" s="577"/>
      <c r="C410" s="703"/>
      <c r="D410" s="704"/>
      <c r="E410" s="705"/>
      <c r="F410" s="706"/>
      <c r="G410" s="609"/>
      <c r="H410" s="605" t="str">
        <f>IMAGE("https://raw.githubusercontent.com/msikma/pokesprite/master/items-outline/valuable-item/star-piece.png",1)</f>
        <v/>
      </c>
      <c r="I410" s="606" t="s">
        <v>1108</v>
      </c>
      <c r="J410" s="607"/>
      <c r="K410" s="608">
        <v>1.0</v>
      </c>
      <c r="L410" s="610"/>
      <c r="M410" s="605" t="str">
        <f>IMAGE("https://raw.githubusercontent.com/msikma/pokesprite/master/items-outline/valuable-item/star-piece.png",1)</f>
        <v/>
      </c>
      <c r="N410" s="606" t="s">
        <v>1108</v>
      </c>
      <c r="O410" s="607"/>
      <c r="P410" s="608">
        <v>1.0</v>
      </c>
      <c r="Q410" s="610"/>
      <c r="R410" s="605" t="str">
        <f>IMAGE("https://raw.githubusercontent.com/msikma/pokesprite/master/items-outline/valuable-item/star-piece.png",1)</f>
        <v/>
      </c>
      <c r="S410" s="606" t="s">
        <v>1108</v>
      </c>
      <c r="T410" s="607"/>
      <c r="U410" s="608">
        <v>1.0</v>
      </c>
      <c r="V410" s="716"/>
      <c r="W410" s="703"/>
      <c r="X410" s="704"/>
      <c r="Y410" s="705"/>
      <c r="Z410" s="706"/>
      <c r="AA410" s="572"/>
      <c r="AB410" s="560"/>
    </row>
    <row r="411" ht="24.0" customHeight="1">
      <c r="A411" s="556"/>
      <c r="B411" s="577"/>
      <c r="C411" s="707"/>
      <c r="D411" s="704"/>
      <c r="E411" s="705"/>
      <c r="F411" s="708"/>
      <c r="G411" s="609"/>
      <c r="H411" s="611" t="str">
        <f>IMAGE("https://raw.githubusercontent.com/msikma/pokesprite/master/items-outline/valuable-item/nugget.png",1)</f>
        <v/>
      </c>
      <c r="I411" s="612" t="s">
        <v>1084</v>
      </c>
      <c r="J411" s="613"/>
      <c r="K411" s="614">
        <v>0.8</v>
      </c>
      <c r="L411" s="610"/>
      <c r="M411" s="611" t="str">
        <f>IMAGE("https://raw.githubusercontent.com/msikma/pokesprite/master/items-outline/valuable-item/nugget.png",1)</f>
        <v/>
      </c>
      <c r="N411" s="612" t="s">
        <v>1084</v>
      </c>
      <c r="O411" s="613"/>
      <c r="P411" s="614">
        <v>0.8</v>
      </c>
      <c r="Q411" s="610"/>
      <c r="R411" s="611" t="str">
        <f>IMAGE("https://raw.githubusercontent.com/msikma/pokesprite/master/items-outline/valuable-item/nugget.png",1)</f>
        <v/>
      </c>
      <c r="S411" s="612" t="s">
        <v>1084</v>
      </c>
      <c r="T411" s="613"/>
      <c r="U411" s="614">
        <v>0.8</v>
      </c>
      <c r="V411" s="610"/>
      <c r="W411" s="707"/>
      <c r="X411" s="704"/>
      <c r="Y411" s="705"/>
      <c r="Z411" s="708"/>
      <c r="AA411" s="572"/>
      <c r="AB411" s="560"/>
    </row>
    <row r="412" ht="24.0" customHeight="1">
      <c r="A412" s="556"/>
      <c r="B412" s="577"/>
      <c r="C412" s="709"/>
      <c r="D412" s="710"/>
      <c r="E412" s="705"/>
      <c r="F412" s="711"/>
      <c r="G412" s="609"/>
      <c r="H412" s="615" t="str">
        <f>IMAGE("https://raw.githubusercontent.com/msikma/pokesprite/master/items-outline/valuable-item/big-nugget.png",1)</f>
        <v/>
      </c>
      <c r="I412" s="616" t="s">
        <v>1131</v>
      </c>
      <c r="J412" s="617"/>
      <c r="K412" s="618">
        <v>0.8</v>
      </c>
      <c r="L412" s="610"/>
      <c r="M412" s="615" t="str">
        <f>IMAGE("https://raw.githubusercontent.com/msikma/pokesprite/master/items-outline/valuable-item/big-nugget.png",1)</f>
        <v/>
      </c>
      <c r="N412" s="616" t="s">
        <v>1131</v>
      </c>
      <c r="O412" s="617"/>
      <c r="P412" s="618">
        <v>0.8</v>
      </c>
      <c r="Q412" s="610"/>
      <c r="R412" s="615" t="str">
        <f>IMAGE("https://raw.githubusercontent.com/msikma/pokesprite/master/items-outline/valuable-item/big-nugget.png",1)</f>
        <v/>
      </c>
      <c r="S412" s="616" t="s">
        <v>1131</v>
      </c>
      <c r="T412" s="617"/>
      <c r="U412" s="618">
        <v>0.8</v>
      </c>
      <c r="V412" s="610"/>
      <c r="W412" s="709"/>
      <c r="X412" s="710"/>
      <c r="Y412" s="705"/>
      <c r="Z412" s="711"/>
      <c r="AA412" s="572"/>
      <c r="AB412" s="560"/>
    </row>
    <row r="413" ht="24.0" customHeight="1">
      <c r="A413" s="556"/>
      <c r="B413" s="577"/>
      <c r="C413" s="709"/>
      <c r="D413" s="710"/>
      <c r="E413" s="705"/>
      <c r="F413" s="712"/>
      <c r="G413" s="609"/>
      <c r="H413" s="619" t="str">
        <f>IMAGE("https://raw.githubusercontent.com/msikma/pokesprite/master/items-outline/berry/occa.png",1)</f>
        <v/>
      </c>
      <c r="I413" s="620" t="s">
        <v>1156</v>
      </c>
      <c r="J413" s="621"/>
      <c r="K413" s="622">
        <v>0.5</v>
      </c>
      <c r="L413" s="610"/>
      <c r="M413" s="619" t="str">
        <f>IMAGE("https://raw.githubusercontent.com/msikma/pokesprite/master/items-outline/berry/occa.png",1)</f>
        <v/>
      </c>
      <c r="N413" s="620" t="s">
        <v>1156</v>
      </c>
      <c r="O413" s="621"/>
      <c r="P413" s="622">
        <v>0.5</v>
      </c>
      <c r="Q413" s="610"/>
      <c r="R413" s="619" t="str">
        <f>IMAGE("https://raw.githubusercontent.com/msikma/pokesprite/master/items-outline/berry/occa.png",1)</f>
        <v/>
      </c>
      <c r="S413" s="620" t="s">
        <v>1156</v>
      </c>
      <c r="T413" s="621"/>
      <c r="U413" s="622">
        <v>0.5</v>
      </c>
      <c r="V413" s="610"/>
      <c r="W413" s="709"/>
      <c r="X413" s="710"/>
      <c r="Y413" s="705"/>
      <c r="Z413" s="712"/>
      <c r="AA413" s="572"/>
      <c r="AB413" s="560"/>
    </row>
    <row r="414" ht="24.0" customHeight="1">
      <c r="A414" s="556"/>
      <c r="B414" s="577"/>
      <c r="C414" s="709"/>
      <c r="D414" s="710"/>
      <c r="E414" s="705"/>
      <c r="F414" s="712"/>
      <c r="G414" s="609"/>
      <c r="H414" s="623" t="str">
        <f>IMAGE("https://raw.githubusercontent.com/msikma/pokesprite/master/items-outline/other-item/ability-patch.png",1)</f>
        <v/>
      </c>
      <c r="I414" s="630" t="s">
        <v>1101</v>
      </c>
      <c r="J414" s="625"/>
      <c r="K414" s="626">
        <v>0.5</v>
      </c>
      <c r="L414" s="610"/>
      <c r="M414" s="623" t="str">
        <f>IMAGE("https://raw.githubusercontent.com/msikma/pokesprite/master/items-outline/other-item/ability-patch.png",1)</f>
        <v/>
      </c>
      <c r="N414" s="630" t="s">
        <v>1101</v>
      </c>
      <c r="O414" s="625"/>
      <c r="P414" s="626">
        <v>0.5</v>
      </c>
      <c r="Q414" s="610"/>
      <c r="R414" s="623" t="str">
        <f>IMAGE("https://raw.githubusercontent.com/msikma/pokesprite/master/items-outline/other-item/ability-patch.png",1)</f>
        <v/>
      </c>
      <c r="S414" s="630" t="s">
        <v>1101</v>
      </c>
      <c r="T414" s="625"/>
      <c r="U414" s="626">
        <v>0.5</v>
      </c>
      <c r="V414" s="610"/>
      <c r="W414" s="709"/>
      <c r="X414" s="710"/>
      <c r="Y414" s="705"/>
      <c r="Z414" s="712"/>
      <c r="AA414" s="572"/>
      <c r="AB414" s="560"/>
    </row>
    <row r="415" ht="24.0" customHeight="1">
      <c r="A415" s="556"/>
      <c r="B415" s="577"/>
      <c r="C415" s="709"/>
      <c r="D415" s="710"/>
      <c r="E415" s="705"/>
      <c r="F415" s="712"/>
      <c r="G415" s="609"/>
      <c r="H415" s="611" t="str">
        <f>IMAGE("https://raw.githubusercontent.com/msikma/pokesprite/master/items-outline/medicine/pp-up.png",1)</f>
        <v/>
      </c>
      <c r="I415" s="612" t="s">
        <v>1070</v>
      </c>
      <c r="J415" s="613"/>
      <c r="K415" s="627">
        <v>0.3</v>
      </c>
      <c r="L415" s="610"/>
      <c r="M415" s="611" t="str">
        <f>IMAGE("https://raw.githubusercontent.com/msikma/pokesprite/master/items-outline/medicine/pp-up.png",1)</f>
        <v/>
      </c>
      <c r="N415" s="612" t="s">
        <v>1070</v>
      </c>
      <c r="O415" s="613"/>
      <c r="P415" s="627">
        <v>0.3</v>
      </c>
      <c r="Q415" s="610"/>
      <c r="R415" s="611" t="str">
        <f>IMAGE("https://raw.githubusercontent.com/msikma/pokesprite/master/items-outline/medicine/pp-up.png",1)</f>
        <v/>
      </c>
      <c r="S415" s="612" t="s">
        <v>1070</v>
      </c>
      <c r="T415" s="613"/>
      <c r="U415" s="627">
        <v>0.3</v>
      </c>
      <c r="V415" s="610"/>
      <c r="W415" s="709"/>
      <c r="X415" s="710"/>
      <c r="Y415" s="705"/>
      <c r="Z415" s="712"/>
      <c r="AA415" s="572"/>
      <c r="AB415" s="560"/>
    </row>
    <row r="416" ht="24.0" customHeight="1">
      <c r="A416" s="556"/>
      <c r="B416" s="577"/>
      <c r="C416" s="709"/>
      <c r="D416" s="710"/>
      <c r="E416" s="705"/>
      <c r="F416" s="712"/>
      <c r="G416" s="609"/>
      <c r="H416" s="615" t="str">
        <f>IMAGE("https://raw.githubusercontent.com/msikma/pokesprite/master/items-outline/medicine/pp-max.png",1)</f>
        <v/>
      </c>
      <c r="I416" s="616" t="s">
        <v>1143</v>
      </c>
      <c r="J416" s="617"/>
      <c r="K416" s="628">
        <v>0.3</v>
      </c>
      <c r="L416" s="610"/>
      <c r="M416" s="615" t="str">
        <f>IMAGE("https://raw.githubusercontent.com/msikma/pokesprite/master/items-outline/medicine/pp-max.png",1)</f>
        <v/>
      </c>
      <c r="N416" s="616" t="s">
        <v>1143</v>
      </c>
      <c r="O416" s="617"/>
      <c r="P416" s="628">
        <v>0.3</v>
      </c>
      <c r="Q416" s="610"/>
      <c r="R416" s="615" t="str">
        <f>IMAGE("https://raw.githubusercontent.com/msikma/pokesprite/master/items-outline/medicine/pp-max.png",1)</f>
        <v/>
      </c>
      <c r="S416" s="616" t="s">
        <v>1143</v>
      </c>
      <c r="T416" s="617"/>
      <c r="U416" s="628">
        <v>0.3</v>
      </c>
      <c r="V416" s="610"/>
      <c r="W416" s="709"/>
      <c r="X416" s="710"/>
      <c r="Y416" s="705"/>
      <c r="Z416" s="712"/>
      <c r="AA416" s="572"/>
      <c r="AB416" s="560"/>
    </row>
    <row r="417" ht="24.0" customHeight="1">
      <c r="A417" s="556"/>
      <c r="B417" s="577"/>
      <c r="C417" s="709"/>
      <c r="D417" s="710"/>
      <c r="E417" s="705"/>
      <c r="F417" s="712"/>
      <c r="G417" s="609"/>
      <c r="H417" s="619" t="str">
        <f>IMAGE("https://raw.githubusercontent.com/msikma/pokesprite/master/items-outline/berry/salac.png",1)</f>
        <v/>
      </c>
      <c r="I417" s="620" t="s">
        <v>1142</v>
      </c>
      <c r="J417" s="621"/>
      <c r="K417" s="629">
        <v>0.25</v>
      </c>
      <c r="L417" s="610"/>
      <c r="M417" s="619" t="str">
        <f>IMAGE("https://raw.githubusercontent.com/msikma/pokesprite/master/items-outline/berry/liechi.png",1)</f>
        <v/>
      </c>
      <c r="N417" s="620" t="s">
        <v>1147</v>
      </c>
      <c r="O417" s="621"/>
      <c r="P417" s="629">
        <v>0.25</v>
      </c>
      <c r="Q417" s="610"/>
      <c r="R417" s="619" t="str">
        <f>IMAGE("https://raw.githubusercontent.com/msikma/pokesprite/master/items-outline/berry/liechi.png",1)</f>
        <v/>
      </c>
      <c r="S417" s="620" t="s">
        <v>1147</v>
      </c>
      <c r="T417" s="621"/>
      <c r="U417" s="629">
        <v>0.25</v>
      </c>
      <c r="V417" s="610"/>
      <c r="W417" s="709"/>
      <c r="X417" s="710"/>
      <c r="Y417" s="705"/>
      <c r="Z417" s="712"/>
      <c r="AA417" s="572"/>
      <c r="AB417" s="560"/>
    </row>
    <row r="418" ht="24.0" customHeight="1">
      <c r="A418" s="556"/>
      <c r="B418" s="577"/>
      <c r="C418" s="709"/>
      <c r="D418" s="715"/>
      <c r="E418" s="705"/>
      <c r="F418" s="712"/>
      <c r="G418" s="609"/>
      <c r="H418" s="623"/>
      <c r="I418" s="630" t="s">
        <v>1068</v>
      </c>
      <c r="J418" s="625"/>
      <c r="K418" s="631">
        <v>0.25</v>
      </c>
      <c r="L418" s="610"/>
      <c r="M418" s="623"/>
      <c r="N418" s="630" t="s">
        <v>1068</v>
      </c>
      <c r="O418" s="625"/>
      <c r="P418" s="631">
        <v>0.25</v>
      </c>
      <c r="Q418" s="610"/>
      <c r="R418" s="623"/>
      <c r="S418" s="630" t="s">
        <v>1068</v>
      </c>
      <c r="T418" s="625"/>
      <c r="U418" s="631">
        <v>0.25</v>
      </c>
      <c r="V418" s="610"/>
      <c r="W418" s="709"/>
      <c r="X418" s="715"/>
      <c r="Y418" s="705"/>
      <c r="Z418" s="712"/>
      <c r="AA418" s="572"/>
      <c r="AB418" s="560"/>
    </row>
    <row r="419" ht="24.0" customHeight="1">
      <c r="A419" s="556"/>
      <c r="B419" s="577"/>
      <c r="C419" s="709"/>
      <c r="D419" s="715"/>
      <c r="E419" s="705"/>
      <c r="F419" s="711"/>
      <c r="G419" s="636"/>
      <c r="H419" s="632" t="str">
        <f>IMAGE("https://raw.githubusercontent.com/msikma/pokesprite/master/items-outline/hold-item/lucky-egg.png",1)</f>
        <v/>
      </c>
      <c r="I419" s="633" t="s">
        <v>1071</v>
      </c>
      <c r="J419" s="634"/>
      <c r="K419" s="635">
        <v>0.05</v>
      </c>
      <c r="L419" s="610"/>
      <c r="M419" s="632" t="str">
        <f>IMAGE("https://raw.githubusercontent.com/msikma/pokesprite/master/items-outline/hold-item/lucky-egg.png",1)</f>
        <v/>
      </c>
      <c r="N419" s="633" t="s">
        <v>1071</v>
      </c>
      <c r="O419" s="634"/>
      <c r="P419" s="635">
        <v>0.05</v>
      </c>
      <c r="Q419" s="610"/>
      <c r="R419" s="632" t="str">
        <f>IMAGE("https://raw.githubusercontent.com/msikma/pokesprite/master/items-outline/hold-item/lucky-egg.png",1)</f>
        <v/>
      </c>
      <c r="S419" s="633" t="s">
        <v>1071</v>
      </c>
      <c r="T419" s="634"/>
      <c r="U419" s="635">
        <v>0.05</v>
      </c>
      <c r="V419" s="610"/>
      <c r="W419" s="709"/>
      <c r="X419" s="715"/>
      <c r="Y419" s="705"/>
      <c r="Z419" s="711"/>
      <c r="AA419" s="572"/>
      <c r="AB419" s="560"/>
    </row>
    <row r="420" ht="24.0" customHeight="1">
      <c r="A420" s="556"/>
      <c r="B420" s="577"/>
      <c r="C420" s="709"/>
      <c r="D420" s="715"/>
      <c r="E420" s="705"/>
      <c r="F420" s="711"/>
      <c r="G420" s="636"/>
      <c r="H420" s="637" t="str">
        <f>IMAGE("https://raw.githubusercontent.com/msikma/pokesprite/master/items-outline/hold-item/life-orb.png",1)</f>
        <v/>
      </c>
      <c r="I420" s="638" t="s">
        <v>1158</v>
      </c>
      <c r="J420" s="639"/>
      <c r="K420" s="640">
        <v>0.04</v>
      </c>
      <c r="L420" s="610"/>
      <c r="M420" s="637" t="str">
        <f>IMAGE("https://raw.githubusercontent.com/msikma/pokesprite/master/items-outline/hold-item/life-orb.png",1)</f>
        <v/>
      </c>
      <c r="N420" s="638" t="s">
        <v>1158</v>
      </c>
      <c r="O420" s="639"/>
      <c r="P420" s="640">
        <v>0.04</v>
      </c>
      <c r="Q420" s="610"/>
      <c r="R420" s="637" t="str">
        <f>IMAGE("https://raw.githubusercontent.com/msikma/pokesprite/master/items-outline/hold-item/life-orb.png",1)</f>
        <v/>
      </c>
      <c r="S420" s="638" t="s">
        <v>1158</v>
      </c>
      <c r="T420" s="639"/>
      <c r="U420" s="640">
        <v>0.04</v>
      </c>
      <c r="V420" s="610"/>
      <c r="W420" s="709"/>
      <c r="X420" s="715"/>
      <c r="Y420" s="705"/>
      <c r="Z420" s="711"/>
      <c r="AA420" s="572"/>
      <c r="AB420" s="560"/>
    </row>
    <row r="421" ht="24.75" customHeight="1">
      <c r="A421" s="556"/>
      <c r="B421" s="577"/>
      <c r="C421" s="709"/>
      <c r="D421" s="715"/>
      <c r="E421" s="705"/>
      <c r="F421" s="711"/>
      <c r="G421" s="645"/>
      <c r="H421" s="641"/>
      <c r="I421" s="642" t="s">
        <v>1158</v>
      </c>
      <c r="J421" s="643"/>
      <c r="K421" s="644">
        <v>0.01</v>
      </c>
      <c r="L421" s="646"/>
      <c r="M421" s="641"/>
      <c r="N421" s="642" t="s">
        <v>1158</v>
      </c>
      <c r="O421" s="643"/>
      <c r="P421" s="644">
        <v>0.01</v>
      </c>
      <c r="Q421" s="646"/>
      <c r="R421" s="641"/>
      <c r="S421" s="642" t="s">
        <v>1158</v>
      </c>
      <c r="T421" s="643"/>
      <c r="U421" s="644">
        <v>0.01</v>
      </c>
      <c r="V421" s="646"/>
      <c r="W421" s="709"/>
      <c r="X421" s="715"/>
      <c r="Y421" s="705"/>
      <c r="Z421" s="711"/>
      <c r="AA421" s="572"/>
      <c r="AB421" s="560"/>
    </row>
    <row r="422" ht="60.0" customHeight="1">
      <c r="A422" s="556"/>
      <c r="B422" s="577"/>
      <c r="C422" s="680" t="s">
        <v>1163</v>
      </c>
      <c r="Z422" s="588"/>
      <c r="AA422" s="648"/>
      <c r="AB422" s="560"/>
    </row>
    <row r="423" ht="37.5" customHeight="1">
      <c r="A423" s="556"/>
      <c r="B423" s="577"/>
      <c r="C423" s="703"/>
      <c r="D423" s="704"/>
      <c r="E423" s="705"/>
      <c r="F423" s="706"/>
      <c r="G423" s="593"/>
      <c r="H423" s="590" t="s">
        <v>510</v>
      </c>
      <c r="I423" s="168"/>
      <c r="J423" s="591"/>
      <c r="K423" s="592" t="str">
        <f t="array" ref="K423">IFERROR(VLOOKUP(H423,Dex!$B$3:$N689,2,FALSE),"")</f>
        <v/>
      </c>
      <c r="L423" s="594"/>
      <c r="M423" s="590" t="s">
        <v>528</v>
      </c>
      <c r="N423" s="168"/>
      <c r="O423" s="591"/>
      <c r="P423" s="592" t="str">
        <f t="array" ref="P423">IFERROR(VLOOKUP(M423,Dex!$B$3:$N689,2,FALSE),"")</f>
        <v/>
      </c>
      <c r="Q423" s="594"/>
      <c r="R423" s="590" t="s">
        <v>616</v>
      </c>
      <c r="S423" s="168"/>
      <c r="T423" s="591"/>
      <c r="U423" s="592" t="str">
        <f t="array" ref="U423">IFERROR(VLOOKUP(R423,Dex!$B$3:$N689,2,FALSE),"")</f>
        <v/>
      </c>
      <c r="V423" s="594"/>
      <c r="W423" s="703"/>
      <c r="X423" s="704"/>
      <c r="Y423" s="705"/>
      <c r="Z423" s="706"/>
      <c r="AA423" s="572"/>
      <c r="AB423" s="560"/>
    </row>
    <row r="424">
      <c r="A424" s="595"/>
      <c r="B424" s="596"/>
      <c r="C424" s="703"/>
      <c r="D424" s="704"/>
      <c r="E424" s="705"/>
      <c r="F424" s="706"/>
      <c r="G424" s="601"/>
      <c r="H424" s="597" t="s">
        <v>1056</v>
      </c>
      <c r="I424" s="598"/>
      <c r="J424" s="599"/>
      <c r="K424" s="600" t="s">
        <v>1057</v>
      </c>
      <c r="L424" s="602"/>
      <c r="M424" s="597" t="s">
        <v>1056</v>
      </c>
      <c r="N424" s="598"/>
      <c r="O424" s="599"/>
      <c r="P424" s="600" t="s">
        <v>1057</v>
      </c>
      <c r="Q424" s="602"/>
      <c r="R424" s="597" t="s">
        <v>1056</v>
      </c>
      <c r="S424" s="598"/>
      <c r="T424" s="599"/>
      <c r="U424" s="600" t="s">
        <v>1057</v>
      </c>
      <c r="V424" s="602"/>
      <c r="W424" s="703"/>
      <c r="X424" s="704"/>
      <c r="Y424" s="705"/>
      <c r="Z424" s="706"/>
      <c r="AA424" s="603"/>
      <c r="AB424" s="604"/>
    </row>
    <row r="425" ht="24.0" customHeight="1">
      <c r="A425" s="556"/>
      <c r="B425" s="577"/>
      <c r="C425" s="703"/>
      <c r="D425" s="704"/>
      <c r="E425" s="705"/>
      <c r="F425" s="706"/>
      <c r="G425" s="609"/>
      <c r="H425" s="605" t="str">
        <f>IMAGE("https://raw.githubusercontent.com/msikma/pokesprite/master/items-outline/valuable-item/star-piece.png",1)</f>
        <v/>
      </c>
      <c r="I425" s="606" t="s">
        <v>1108</v>
      </c>
      <c r="J425" s="607"/>
      <c r="K425" s="608">
        <v>1.0</v>
      </c>
      <c r="L425" s="610"/>
      <c r="M425" s="605" t="str">
        <f>IMAGE("https://raw.githubusercontent.com/msikma/pokesprite/master/items-outline/valuable-item/star-piece.png",1)</f>
        <v/>
      </c>
      <c r="N425" s="606" t="s">
        <v>1108</v>
      </c>
      <c r="O425" s="607"/>
      <c r="P425" s="608">
        <v>1.0</v>
      </c>
      <c r="Q425" s="610"/>
      <c r="R425" s="605" t="str">
        <f>IMAGE("https://raw.githubusercontent.com/msikma/pokesprite/master/items-outline/valuable-item/star-piece.png",1)</f>
        <v/>
      </c>
      <c r="S425" s="606" t="s">
        <v>1108</v>
      </c>
      <c r="T425" s="607"/>
      <c r="U425" s="608">
        <v>1.0</v>
      </c>
      <c r="V425" s="716"/>
      <c r="W425" s="703"/>
      <c r="X425" s="704"/>
      <c r="Y425" s="705"/>
      <c r="Z425" s="706"/>
      <c r="AA425" s="572"/>
      <c r="AB425" s="560"/>
    </row>
    <row r="426" ht="24.0" customHeight="1">
      <c r="A426" s="556"/>
      <c r="B426" s="577"/>
      <c r="C426" s="707"/>
      <c r="D426" s="704"/>
      <c r="E426" s="705"/>
      <c r="F426" s="708"/>
      <c r="G426" s="609"/>
      <c r="H426" s="611" t="str">
        <f>IMAGE("https://raw.githubusercontent.com/msikma/pokesprite/master/items-outline/valuable-item/nugget.png",1)</f>
        <v/>
      </c>
      <c r="I426" s="612" t="s">
        <v>1084</v>
      </c>
      <c r="J426" s="613"/>
      <c r="K426" s="614">
        <v>0.8</v>
      </c>
      <c r="L426" s="610"/>
      <c r="M426" s="611" t="str">
        <f>IMAGE("https://raw.githubusercontent.com/msikma/pokesprite/master/items-outline/valuable-item/nugget.png",1)</f>
        <v/>
      </c>
      <c r="N426" s="612" t="s">
        <v>1084</v>
      </c>
      <c r="O426" s="613"/>
      <c r="P426" s="614">
        <v>0.8</v>
      </c>
      <c r="Q426" s="610"/>
      <c r="R426" s="611" t="str">
        <f>IMAGE("https://raw.githubusercontent.com/msikma/pokesprite/master/items-outline/valuable-item/nugget.png",1)</f>
        <v/>
      </c>
      <c r="S426" s="612" t="s">
        <v>1084</v>
      </c>
      <c r="T426" s="613"/>
      <c r="U426" s="614">
        <v>0.8</v>
      </c>
      <c r="V426" s="610"/>
      <c r="W426" s="707"/>
      <c r="X426" s="704"/>
      <c r="Y426" s="705"/>
      <c r="Z426" s="708"/>
      <c r="AA426" s="572"/>
      <c r="AB426" s="560"/>
    </row>
    <row r="427" ht="24.0" customHeight="1">
      <c r="A427" s="556"/>
      <c r="B427" s="577"/>
      <c r="C427" s="709"/>
      <c r="D427" s="710"/>
      <c r="E427" s="705"/>
      <c r="F427" s="711"/>
      <c r="G427" s="609"/>
      <c r="H427" s="615" t="str">
        <f>IMAGE("https://raw.githubusercontent.com/msikma/pokesprite/master/items-outline/valuable-item/big-nugget.png",1)</f>
        <v/>
      </c>
      <c r="I427" s="616" t="s">
        <v>1131</v>
      </c>
      <c r="J427" s="617"/>
      <c r="K427" s="618">
        <v>0.8</v>
      </c>
      <c r="L427" s="610"/>
      <c r="M427" s="615" t="str">
        <f>IMAGE("https://raw.githubusercontent.com/msikma/pokesprite/master/items-outline/valuable-item/big-nugget.png",1)</f>
        <v/>
      </c>
      <c r="N427" s="616" t="s">
        <v>1131</v>
      </c>
      <c r="O427" s="617"/>
      <c r="P427" s="618">
        <v>0.8</v>
      </c>
      <c r="Q427" s="610"/>
      <c r="R427" s="615" t="str">
        <f>IMAGE("https://raw.githubusercontent.com/msikma/pokesprite/master/items-outline/valuable-item/big-nugget.png",1)</f>
        <v/>
      </c>
      <c r="S427" s="616" t="s">
        <v>1131</v>
      </c>
      <c r="T427" s="617"/>
      <c r="U427" s="618">
        <v>0.8</v>
      </c>
      <c r="V427" s="610"/>
      <c r="W427" s="709"/>
      <c r="X427" s="710"/>
      <c r="Y427" s="705"/>
      <c r="Z427" s="711"/>
      <c r="AA427" s="572"/>
      <c r="AB427" s="560"/>
    </row>
    <row r="428" ht="24.0" customHeight="1">
      <c r="A428" s="556"/>
      <c r="B428" s="577"/>
      <c r="C428" s="709"/>
      <c r="D428" s="710"/>
      <c r="E428" s="705"/>
      <c r="F428" s="712"/>
      <c r="G428" s="609"/>
      <c r="H428" s="619" t="str">
        <f>IMAGE("https://raw.githubusercontent.com/msikma/pokesprite/master/items-outline/medicine/protein.png",1)</f>
        <v/>
      </c>
      <c r="I428" s="620" t="s">
        <v>1069</v>
      </c>
      <c r="J428" s="621"/>
      <c r="K428" s="622">
        <v>0.5</v>
      </c>
      <c r="L428" s="610"/>
      <c r="M428" s="619" t="str">
        <f>IMAGE("https://raw.githubusercontent.com/msikma/pokesprite/master/items-outline/medicine/protein.png",1)</f>
        <v/>
      </c>
      <c r="N428" s="620" t="s">
        <v>1069</v>
      </c>
      <c r="O428" s="621"/>
      <c r="P428" s="622">
        <v>0.5</v>
      </c>
      <c r="Q428" s="610"/>
      <c r="R428" s="619" t="str">
        <f>IMAGE("https://raw.githubusercontent.com/msikma/pokesprite/master/items-outline/medicine/protein.png",1)</f>
        <v/>
      </c>
      <c r="S428" s="620" t="s">
        <v>1069</v>
      </c>
      <c r="T428" s="621"/>
      <c r="U428" s="622">
        <v>0.5</v>
      </c>
      <c r="V428" s="610"/>
      <c r="W428" s="709"/>
      <c r="X428" s="710"/>
      <c r="Y428" s="705"/>
      <c r="Z428" s="712"/>
      <c r="AA428" s="572"/>
      <c r="AB428" s="560"/>
    </row>
    <row r="429" ht="24.0" customHeight="1">
      <c r="A429" s="556"/>
      <c r="B429" s="577"/>
      <c r="C429" s="709"/>
      <c r="D429" s="710"/>
      <c r="E429" s="705"/>
      <c r="F429" s="712"/>
      <c r="G429" s="609"/>
      <c r="H429" s="623" t="str">
        <f>IMAGE("https://raw.githubusercontent.com/msikma/pokesprite/master/items-outline/medicine/calcium.png",1)</f>
        <v/>
      </c>
      <c r="I429" s="624" t="s">
        <v>1075</v>
      </c>
      <c r="J429" s="625"/>
      <c r="K429" s="626">
        <v>0.5</v>
      </c>
      <c r="L429" s="610"/>
      <c r="M429" s="623" t="str">
        <f>IMAGE("https://raw.githubusercontent.com/msikma/pokesprite/master/items-outline/medicine/calcium.png",1)</f>
        <v/>
      </c>
      <c r="N429" s="624" t="s">
        <v>1075</v>
      </c>
      <c r="O429" s="625"/>
      <c r="P429" s="626">
        <v>0.5</v>
      </c>
      <c r="Q429" s="610"/>
      <c r="R429" s="623" t="str">
        <f>IMAGE("https://raw.githubusercontent.com/msikma/pokesprite/master/items-outline/medicine/calcium.png",1)</f>
        <v/>
      </c>
      <c r="S429" s="624" t="s">
        <v>1075</v>
      </c>
      <c r="T429" s="625"/>
      <c r="U429" s="626">
        <v>0.5</v>
      </c>
      <c r="V429" s="610"/>
      <c r="W429" s="709"/>
      <c r="X429" s="710"/>
      <c r="Y429" s="705"/>
      <c r="Z429" s="712"/>
      <c r="AA429" s="572"/>
      <c r="AB429" s="560"/>
    </row>
    <row r="430" ht="24.0" customHeight="1">
      <c r="A430" s="556"/>
      <c r="B430" s="577"/>
      <c r="C430" s="709"/>
      <c r="D430" s="710"/>
      <c r="E430" s="705"/>
      <c r="F430" s="712"/>
      <c r="G430" s="609"/>
      <c r="H430" s="611" t="str">
        <f>IMAGE("https://raw.githubusercontent.com/msikma/pokesprite/master/items-outline/medicine/pp-up.png",1)</f>
        <v/>
      </c>
      <c r="I430" s="612" t="s">
        <v>1070</v>
      </c>
      <c r="J430" s="613"/>
      <c r="K430" s="627">
        <v>0.3</v>
      </c>
      <c r="L430" s="610"/>
      <c r="M430" s="611" t="str">
        <f>IMAGE("https://raw.githubusercontent.com/msikma/pokesprite/master/items-outline/medicine/pp-up.png",1)</f>
        <v/>
      </c>
      <c r="N430" s="612" t="s">
        <v>1070</v>
      </c>
      <c r="O430" s="613"/>
      <c r="P430" s="627">
        <v>0.3</v>
      </c>
      <c r="Q430" s="610"/>
      <c r="R430" s="611" t="str">
        <f>IMAGE("https://raw.githubusercontent.com/msikma/pokesprite/master/items-outline/medicine/pp-up.png",1)</f>
        <v/>
      </c>
      <c r="S430" s="612" t="s">
        <v>1070</v>
      </c>
      <c r="T430" s="613"/>
      <c r="U430" s="627">
        <v>0.3</v>
      </c>
      <c r="V430" s="610"/>
      <c r="W430" s="709"/>
      <c r="X430" s="710"/>
      <c r="Y430" s="705"/>
      <c r="Z430" s="712"/>
      <c r="AA430" s="572"/>
      <c r="AB430" s="560"/>
    </row>
    <row r="431" ht="24.0" customHeight="1">
      <c r="A431" s="556"/>
      <c r="B431" s="577"/>
      <c r="C431" s="709"/>
      <c r="D431" s="710"/>
      <c r="E431" s="705"/>
      <c r="F431" s="712"/>
      <c r="G431" s="609"/>
      <c r="H431" s="615" t="str">
        <f>IMAGE("https://raw.githubusercontent.com/msikma/pokesprite/master/items-outline/medicine/pp-max.png",1)</f>
        <v/>
      </c>
      <c r="I431" s="616" t="s">
        <v>1143</v>
      </c>
      <c r="J431" s="617"/>
      <c r="K431" s="628">
        <v>0.3</v>
      </c>
      <c r="L431" s="610"/>
      <c r="M431" s="615" t="str">
        <f>IMAGE("https://raw.githubusercontent.com/msikma/pokesprite/master/items-outline/medicine/pp-max.png",1)</f>
        <v/>
      </c>
      <c r="N431" s="616" t="s">
        <v>1143</v>
      </c>
      <c r="O431" s="617"/>
      <c r="P431" s="628">
        <v>0.3</v>
      </c>
      <c r="Q431" s="610"/>
      <c r="R431" s="615" t="str">
        <f>IMAGE("https://raw.githubusercontent.com/msikma/pokesprite/master/items-outline/medicine/pp-max.png",1)</f>
        <v/>
      </c>
      <c r="S431" s="616" t="s">
        <v>1143</v>
      </c>
      <c r="T431" s="617"/>
      <c r="U431" s="628">
        <v>0.3</v>
      </c>
      <c r="V431" s="610"/>
      <c r="W431" s="709"/>
      <c r="X431" s="710"/>
      <c r="Y431" s="705"/>
      <c r="Z431" s="712"/>
      <c r="AA431" s="572"/>
      <c r="AB431" s="560"/>
    </row>
    <row r="432" ht="24.0" customHeight="1">
      <c r="A432" s="556"/>
      <c r="B432" s="577"/>
      <c r="C432" s="709"/>
      <c r="D432" s="710"/>
      <c r="E432" s="705"/>
      <c r="F432" s="712"/>
      <c r="G432" s="609"/>
      <c r="H432" s="619"/>
      <c r="I432" s="620" t="s">
        <v>1068</v>
      </c>
      <c r="J432" s="621"/>
      <c r="K432" s="629">
        <v>0.25</v>
      </c>
      <c r="L432" s="610"/>
      <c r="M432" s="619"/>
      <c r="N432" s="620" t="s">
        <v>1108</v>
      </c>
      <c r="O432" s="621"/>
      <c r="P432" s="629">
        <v>0.25</v>
      </c>
      <c r="Q432" s="610"/>
      <c r="R432" s="619"/>
      <c r="S432" s="620" t="s">
        <v>1108</v>
      </c>
      <c r="T432" s="621"/>
      <c r="U432" s="629">
        <v>0.25</v>
      </c>
      <c r="V432" s="610"/>
      <c r="W432" s="709"/>
      <c r="X432" s="710"/>
      <c r="Y432" s="705"/>
      <c r="Z432" s="712"/>
      <c r="AA432" s="572"/>
      <c r="AB432" s="560"/>
    </row>
    <row r="433" ht="24.0" customHeight="1">
      <c r="A433" s="556"/>
      <c r="B433" s="577"/>
      <c r="C433" s="709"/>
      <c r="D433" s="715"/>
      <c r="E433" s="705"/>
      <c r="F433" s="712"/>
      <c r="G433" s="609"/>
      <c r="H433" s="623" t="str">
        <f>IMAGE("https://raw.githubusercontent.com/msikma/pokesprite/master/items-outline/other-item/ability-patch.png",1)</f>
        <v/>
      </c>
      <c r="I433" s="630" t="s">
        <v>1101</v>
      </c>
      <c r="J433" s="625"/>
      <c r="K433" s="631">
        <v>0.25</v>
      </c>
      <c r="L433" s="610"/>
      <c r="M433" s="623"/>
      <c r="N433" s="630" t="s">
        <v>1068</v>
      </c>
      <c r="O433" s="625"/>
      <c r="P433" s="631">
        <v>0.25</v>
      </c>
      <c r="Q433" s="610"/>
      <c r="R433" s="623"/>
      <c r="S433" s="630" t="s">
        <v>1068</v>
      </c>
      <c r="T433" s="625"/>
      <c r="U433" s="631">
        <v>0.25</v>
      </c>
      <c r="V433" s="610"/>
      <c r="W433" s="709"/>
      <c r="X433" s="715"/>
      <c r="Y433" s="705"/>
      <c r="Z433" s="712"/>
      <c r="AA433" s="572"/>
      <c r="AB433" s="560"/>
    </row>
    <row r="434" ht="24.0" customHeight="1">
      <c r="A434" s="556"/>
      <c r="B434" s="577"/>
      <c r="C434" s="709"/>
      <c r="D434" s="715"/>
      <c r="E434" s="705"/>
      <c r="F434" s="711"/>
      <c r="G434" s="636"/>
      <c r="H434" s="632" t="str">
        <f>IMAGE("https://raw.githubusercontent.com/msikma/pokesprite/master/items-outline/hold-item/lucky-egg.png",1)</f>
        <v/>
      </c>
      <c r="I434" s="633" t="s">
        <v>1071</v>
      </c>
      <c r="J434" s="634"/>
      <c r="K434" s="635">
        <v>0.05</v>
      </c>
      <c r="L434" s="610"/>
      <c r="M434" s="632" t="str">
        <f>IMAGE("https://raw.githubusercontent.com/msikma/pokesprite/master/items-outline/hold-item/lucky-egg.png",1)</f>
        <v/>
      </c>
      <c r="N434" s="633" t="s">
        <v>1071</v>
      </c>
      <c r="O434" s="634"/>
      <c r="P434" s="635">
        <v>0.05</v>
      </c>
      <c r="Q434" s="610"/>
      <c r="R434" s="632" t="str">
        <f>IMAGE("https://raw.githubusercontent.com/msikma/pokesprite/master/items-outline/hold-item/lucky-egg.png",1)</f>
        <v/>
      </c>
      <c r="S434" s="633" t="s">
        <v>1071</v>
      </c>
      <c r="T434" s="634"/>
      <c r="U434" s="635">
        <v>0.05</v>
      </c>
      <c r="V434" s="610"/>
      <c r="W434" s="709"/>
      <c r="X434" s="715"/>
      <c r="Y434" s="705"/>
      <c r="Z434" s="711"/>
      <c r="AA434" s="572"/>
      <c r="AB434" s="560"/>
    </row>
    <row r="435" ht="24.0" customHeight="1">
      <c r="A435" s="556"/>
      <c r="B435" s="577"/>
      <c r="C435" s="709"/>
      <c r="D435" s="715"/>
      <c r="E435" s="705"/>
      <c r="F435" s="711"/>
      <c r="G435" s="636"/>
      <c r="H435" s="637"/>
      <c r="I435" s="638" t="s">
        <v>1071</v>
      </c>
      <c r="J435" s="639"/>
      <c r="K435" s="640">
        <v>0.04</v>
      </c>
      <c r="L435" s="610"/>
      <c r="M435" s="637"/>
      <c r="N435" s="638" t="s">
        <v>1071</v>
      </c>
      <c r="O435" s="639"/>
      <c r="P435" s="640">
        <v>0.04</v>
      </c>
      <c r="Q435" s="610"/>
      <c r="R435" s="637"/>
      <c r="S435" s="638" t="s">
        <v>1071</v>
      </c>
      <c r="T435" s="639"/>
      <c r="U435" s="640">
        <v>0.04</v>
      </c>
      <c r="V435" s="610"/>
      <c r="W435" s="709"/>
      <c r="X435" s="715"/>
      <c r="Y435" s="705"/>
      <c r="Z435" s="711"/>
      <c r="AA435" s="572"/>
      <c r="AB435" s="560"/>
    </row>
    <row r="436" ht="24.75" customHeight="1">
      <c r="A436" s="556"/>
      <c r="B436" s="577"/>
      <c r="C436" s="709"/>
      <c r="D436" s="715"/>
      <c r="E436" s="705"/>
      <c r="F436" s="711"/>
      <c r="G436" s="645"/>
      <c r="H436" s="641"/>
      <c r="I436" s="642" t="s">
        <v>1071</v>
      </c>
      <c r="J436" s="643"/>
      <c r="K436" s="644">
        <v>0.01</v>
      </c>
      <c r="L436" s="646"/>
      <c r="M436" s="641"/>
      <c r="N436" s="642" t="s">
        <v>1071</v>
      </c>
      <c r="O436" s="643"/>
      <c r="P436" s="644">
        <v>0.01</v>
      </c>
      <c r="Q436" s="646"/>
      <c r="R436" s="641"/>
      <c r="S436" s="642" t="s">
        <v>1071</v>
      </c>
      <c r="T436" s="643"/>
      <c r="U436" s="644">
        <v>0.01</v>
      </c>
      <c r="V436" s="646"/>
      <c r="W436" s="709"/>
      <c r="X436" s="715"/>
      <c r="Y436" s="705"/>
      <c r="Z436" s="711"/>
      <c r="AA436" s="572"/>
      <c r="AB436" s="560"/>
    </row>
    <row r="437" ht="60.0" customHeight="1">
      <c r="A437" s="556"/>
      <c r="B437" s="577"/>
      <c r="C437" s="680" t="s">
        <v>1164</v>
      </c>
      <c r="Z437" s="588"/>
      <c r="AA437" s="648"/>
      <c r="AB437" s="560"/>
    </row>
    <row r="438" ht="37.5" customHeight="1">
      <c r="A438" s="556"/>
      <c r="B438" s="577"/>
      <c r="C438" s="703"/>
      <c r="D438" s="704"/>
      <c r="E438" s="705"/>
      <c r="F438" s="706"/>
      <c r="G438" s="593"/>
      <c r="H438" s="590" t="s">
        <v>527</v>
      </c>
      <c r="I438" s="168"/>
      <c r="J438" s="591"/>
      <c r="K438" s="592" t="str">
        <f t="array" ref="K438">IFERROR(VLOOKUP(H438,Dex!$B$3:$N689,2,FALSE),"")</f>
        <v/>
      </c>
      <c r="L438" s="594"/>
      <c r="M438" s="590" t="s">
        <v>511</v>
      </c>
      <c r="N438" s="168"/>
      <c r="O438" s="591"/>
      <c r="P438" s="592" t="str">
        <f t="array" ref="P438">IFERROR(VLOOKUP(M438,Dex!$B$3:$N689,2,FALSE),"")</f>
        <v/>
      </c>
      <c r="Q438" s="594"/>
      <c r="R438" s="590" t="s">
        <v>739</v>
      </c>
      <c r="S438" s="168"/>
      <c r="T438" s="591"/>
      <c r="U438" s="592" t="str">
        <f t="array" ref="U438">IFERROR(VLOOKUP(R438,Dex!$B$3:$N689,2,FALSE),"")</f>
        <v/>
      </c>
      <c r="V438" s="594"/>
      <c r="W438" s="703"/>
      <c r="X438" s="704"/>
      <c r="Y438" s="705"/>
      <c r="Z438" s="706"/>
      <c r="AA438" s="572"/>
      <c r="AB438" s="560"/>
    </row>
    <row r="439">
      <c r="A439" s="595"/>
      <c r="B439" s="596"/>
      <c r="C439" s="703"/>
      <c r="D439" s="704"/>
      <c r="E439" s="705"/>
      <c r="F439" s="706"/>
      <c r="G439" s="601"/>
      <c r="H439" s="597" t="s">
        <v>1056</v>
      </c>
      <c r="I439" s="598"/>
      <c r="J439" s="599"/>
      <c r="K439" s="600" t="s">
        <v>1057</v>
      </c>
      <c r="L439" s="602"/>
      <c r="M439" s="597" t="s">
        <v>1056</v>
      </c>
      <c r="N439" s="598"/>
      <c r="O439" s="599"/>
      <c r="P439" s="600" t="s">
        <v>1057</v>
      </c>
      <c r="Q439" s="602"/>
      <c r="R439" s="597" t="s">
        <v>1056</v>
      </c>
      <c r="S439" s="598"/>
      <c r="T439" s="599"/>
      <c r="U439" s="600" t="s">
        <v>1057</v>
      </c>
      <c r="V439" s="602"/>
      <c r="W439" s="703"/>
      <c r="X439" s="704"/>
      <c r="Y439" s="705"/>
      <c r="Z439" s="706"/>
      <c r="AA439" s="603"/>
      <c r="AB439" s="604"/>
    </row>
    <row r="440" ht="24.0" customHeight="1">
      <c r="A440" s="556"/>
      <c r="B440" s="577"/>
      <c r="C440" s="703"/>
      <c r="D440" s="704"/>
      <c r="E440" s="705"/>
      <c r="F440" s="706"/>
      <c r="G440" s="609"/>
      <c r="H440" s="605" t="str">
        <f>IMAGE("https://raw.githubusercontent.com/msikma/pokesprite/master/items-outline/valuable-item/star-piece.png",1)</f>
        <v/>
      </c>
      <c r="I440" s="606" t="s">
        <v>1108</v>
      </c>
      <c r="J440" s="607"/>
      <c r="K440" s="608">
        <v>1.0</v>
      </c>
      <c r="L440" s="610"/>
      <c r="M440" s="605" t="str">
        <f>IMAGE("https://raw.githubusercontent.com/msikma/pokesprite/master/items-outline/valuable-item/star-piece.png",1)</f>
        <v/>
      </c>
      <c r="N440" s="606" t="s">
        <v>1108</v>
      </c>
      <c r="O440" s="607"/>
      <c r="P440" s="608">
        <v>1.0</v>
      </c>
      <c r="Q440" s="610"/>
      <c r="R440" s="605" t="str">
        <f>IMAGE("https://raw.githubusercontent.com/msikma/pokesprite/master/items-outline/valuable-item/star-piece.png",1)</f>
        <v/>
      </c>
      <c r="S440" s="606" t="s">
        <v>1108</v>
      </c>
      <c r="T440" s="607"/>
      <c r="U440" s="608">
        <v>1.0</v>
      </c>
      <c r="V440" s="716"/>
      <c r="W440" s="703"/>
      <c r="X440" s="704"/>
      <c r="Y440" s="705"/>
      <c r="Z440" s="706"/>
      <c r="AA440" s="572"/>
      <c r="AB440" s="560"/>
    </row>
    <row r="441" ht="24.0" customHeight="1">
      <c r="A441" s="556"/>
      <c r="B441" s="577"/>
      <c r="C441" s="707"/>
      <c r="D441" s="704"/>
      <c r="E441" s="705"/>
      <c r="F441" s="708"/>
      <c r="G441" s="609"/>
      <c r="H441" s="611" t="str">
        <f>IMAGE("https://raw.githubusercontent.com/msikma/pokesprite/master/items-outline/valuable-item/nugget.png",1)</f>
        <v/>
      </c>
      <c r="I441" s="612" t="s">
        <v>1084</v>
      </c>
      <c r="J441" s="613"/>
      <c r="K441" s="614">
        <v>0.8</v>
      </c>
      <c r="L441" s="610"/>
      <c r="M441" s="611" t="str">
        <f>IMAGE("https://raw.githubusercontent.com/msikma/pokesprite/master/items-outline/valuable-item/nugget.png",1)</f>
        <v/>
      </c>
      <c r="N441" s="612" t="s">
        <v>1084</v>
      </c>
      <c r="O441" s="613"/>
      <c r="P441" s="614">
        <v>0.8</v>
      </c>
      <c r="Q441" s="610"/>
      <c r="R441" s="611" t="str">
        <f>IMAGE("https://raw.githubusercontent.com/msikma/pokesprite/master/items-outline/valuable-item/nugget.png",1)</f>
        <v/>
      </c>
      <c r="S441" s="612" t="s">
        <v>1084</v>
      </c>
      <c r="T441" s="613"/>
      <c r="U441" s="614">
        <v>0.8</v>
      </c>
      <c r="V441" s="610"/>
      <c r="W441" s="707"/>
      <c r="X441" s="704"/>
      <c r="Y441" s="705"/>
      <c r="Z441" s="708"/>
      <c r="AA441" s="572"/>
      <c r="AB441" s="560"/>
    </row>
    <row r="442" ht="24.0" customHeight="1">
      <c r="A442" s="556"/>
      <c r="B442" s="577"/>
      <c r="C442" s="709"/>
      <c r="D442" s="710"/>
      <c r="E442" s="705"/>
      <c r="F442" s="711"/>
      <c r="G442" s="609"/>
      <c r="H442" s="615" t="str">
        <f>IMAGE("https://raw.githubusercontent.com/msikma/pokesprite/master/items-outline/valuable-item/big-nugget.png",1)</f>
        <v/>
      </c>
      <c r="I442" s="616" t="s">
        <v>1131</v>
      </c>
      <c r="J442" s="617"/>
      <c r="K442" s="618">
        <v>0.8</v>
      </c>
      <c r="L442" s="610"/>
      <c r="M442" s="615" t="str">
        <f>IMAGE("https://raw.githubusercontent.com/msikma/pokesprite/master/items-outline/valuable-item/big-nugget.png",1)</f>
        <v/>
      </c>
      <c r="N442" s="616" t="s">
        <v>1131</v>
      </c>
      <c r="O442" s="617"/>
      <c r="P442" s="618">
        <v>0.8</v>
      </c>
      <c r="Q442" s="610"/>
      <c r="R442" s="615" t="str">
        <f>IMAGE("https://raw.githubusercontent.com/msikma/pokesprite/master/items-outline/valuable-item/big-nugget.png",1)</f>
        <v/>
      </c>
      <c r="S442" s="616" t="s">
        <v>1131</v>
      </c>
      <c r="T442" s="617"/>
      <c r="U442" s="618">
        <v>0.8</v>
      </c>
      <c r="V442" s="610"/>
      <c r="W442" s="709"/>
      <c r="X442" s="710"/>
      <c r="Y442" s="705"/>
      <c r="Z442" s="711"/>
      <c r="AA442" s="572"/>
      <c r="AB442" s="560"/>
    </row>
    <row r="443" ht="24.0" customHeight="1">
      <c r="A443" s="556"/>
      <c r="B443" s="577"/>
      <c r="C443" s="709"/>
      <c r="D443" s="710"/>
      <c r="E443" s="705"/>
      <c r="F443" s="712"/>
      <c r="G443" s="609"/>
      <c r="H443" s="619" t="str">
        <f>IMAGE("https://raw.githubusercontent.com/msikma/pokesprite/master/items-outline/medicine/calcium.png",1)</f>
        <v/>
      </c>
      <c r="I443" s="620" t="s">
        <v>1075</v>
      </c>
      <c r="J443" s="621"/>
      <c r="K443" s="622">
        <v>0.5</v>
      </c>
      <c r="L443" s="610"/>
      <c r="M443" s="619" t="str">
        <f>IMAGE("https://raw.githubusercontent.com/msikma/pokesprite/master/items-outline/medicine/calcium.png",1)</f>
        <v/>
      </c>
      <c r="N443" s="620" t="s">
        <v>1075</v>
      </c>
      <c r="O443" s="621"/>
      <c r="P443" s="622">
        <v>0.5</v>
      </c>
      <c r="Q443" s="610"/>
      <c r="R443" s="619" t="str">
        <f>IMAGE("https://raw.githubusercontent.com/msikma/pokesprite/master/items-outline/medicine/calcium.png",1)</f>
        <v/>
      </c>
      <c r="S443" s="620" t="s">
        <v>1075</v>
      </c>
      <c r="T443" s="621"/>
      <c r="U443" s="622">
        <v>0.5</v>
      </c>
      <c r="V443" s="610"/>
      <c r="W443" s="709"/>
      <c r="X443" s="710"/>
      <c r="Y443" s="705"/>
      <c r="Z443" s="712"/>
      <c r="AA443" s="572"/>
      <c r="AB443" s="560"/>
    </row>
    <row r="444" ht="24.0" customHeight="1">
      <c r="A444" s="556"/>
      <c r="B444" s="577"/>
      <c r="C444" s="709"/>
      <c r="D444" s="710"/>
      <c r="E444" s="705"/>
      <c r="F444" s="712"/>
      <c r="G444" s="609"/>
      <c r="H444" s="623" t="str">
        <f>IMAGE("https://raw.githubusercontent.com/msikma/pokesprite/master/items-outline/medicine/carbos.png",1)</f>
        <v/>
      </c>
      <c r="I444" s="624" t="s">
        <v>1080</v>
      </c>
      <c r="J444" s="625"/>
      <c r="K444" s="626">
        <v>0.5</v>
      </c>
      <c r="L444" s="610"/>
      <c r="M444" s="623" t="str">
        <f>IMAGE("https://raw.githubusercontent.com/msikma/pokesprite/master/items-outline/medicine/carbos.png",1)</f>
        <v/>
      </c>
      <c r="N444" s="624" t="s">
        <v>1080</v>
      </c>
      <c r="O444" s="625"/>
      <c r="P444" s="626">
        <v>0.5</v>
      </c>
      <c r="Q444" s="610"/>
      <c r="R444" s="623" t="str">
        <f>IMAGE("https://raw.githubusercontent.com/msikma/pokesprite/master/items-outline/medicine/carbos.png",1)</f>
        <v/>
      </c>
      <c r="S444" s="624" t="s">
        <v>1080</v>
      </c>
      <c r="T444" s="625"/>
      <c r="U444" s="626">
        <v>0.5</v>
      </c>
      <c r="V444" s="610"/>
      <c r="W444" s="709"/>
      <c r="X444" s="710"/>
      <c r="Y444" s="705"/>
      <c r="Z444" s="712"/>
      <c r="AA444" s="572"/>
      <c r="AB444" s="560"/>
    </row>
    <row r="445" ht="24.0" customHeight="1">
      <c r="A445" s="556"/>
      <c r="B445" s="577"/>
      <c r="C445" s="709"/>
      <c r="D445" s="710"/>
      <c r="E445" s="705"/>
      <c r="F445" s="712"/>
      <c r="G445" s="609"/>
      <c r="H445" s="611" t="str">
        <f>IMAGE("https://raw.githubusercontent.com/msikma/pokesprite/master/items-outline/medicine/pp-up.png",1)</f>
        <v/>
      </c>
      <c r="I445" s="612" t="s">
        <v>1070</v>
      </c>
      <c r="J445" s="613"/>
      <c r="K445" s="627">
        <v>0.3</v>
      </c>
      <c r="L445" s="610"/>
      <c r="M445" s="611" t="str">
        <f>IMAGE("https://raw.githubusercontent.com/msikma/pokesprite/master/items-outline/medicine/pp-up.png",1)</f>
        <v/>
      </c>
      <c r="N445" s="612" t="s">
        <v>1070</v>
      </c>
      <c r="O445" s="613"/>
      <c r="P445" s="627">
        <v>0.3</v>
      </c>
      <c r="Q445" s="610"/>
      <c r="R445" s="611" t="str">
        <f>IMAGE("https://raw.githubusercontent.com/msikma/pokesprite/master/items-outline/medicine/pp-up.png",1)</f>
        <v/>
      </c>
      <c r="S445" s="612" t="s">
        <v>1070</v>
      </c>
      <c r="T445" s="613"/>
      <c r="U445" s="627">
        <v>0.3</v>
      </c>
      <c r="V445" s="610"/>
      <c r="W445" s="709"/>
      <c r="X445" s="710"/>
      <c r="Y445" s="705"/>
      <c r="Z445" s="712"/>
      <c r="AA445" s="572"/>
      <c r="AB445" s="560"/>
    </row>
    <row r="446" ht="24.0" customHeight="1">
      <c r="A446" s="556"/>
      <c r="B446" s="577"/>
      <c r="C446" s="709"/>
      <c r="D446" s="710"/>
      <c r="E446" s="705"/>
      <c r="F446" s="712"/>
      <c r="G446" s="609"/>
      <c r="H446" s="615" t="str">
        <f>IMAGE("https://raw.githubusercontent.com/msikma/pokesprite/master/items-outline/medicine/pp-max.png",1)</f>
        <v/>
      </c>
      <c r="I446" s="616" t="s">
        <v>1143</v>
      </c>
      <c r="J446" s="617"/>
      <c r="K446" s="628">
        <v>0.3</v>
      </c>
      <c r="L446" s="610"/>
      <c r="M446" s="615" t="str">
        <f>IMAGE("https://raw.githubusercontent.com/msikma/pokesprite/master/items-outline/medicine/pp-max.png",1)</f>
        <v/>
      </c>
      <c r="N446" s="616" t="s">
        <v>1143</v>
      </c>
      <c r="O446" s="617"/>
      <c r="P446" s="628">
        <v>0.3</v>
      </c>
      <c r="Q446" s="610"/>
      <c r="R446" s="615" t="str">
        <f>IMAGE("https://raw.githubusercontent.com/msikma/pokesprite/master/items-outline/medicine/pp-max.png",1)</f>
        <v/>
      </c>
      <c r="S446" s="616" t="s">
        <v>1143</v>
      </c>
      <c r="T446" s="617"/>
      <c r="U446" s="628">
        <v>0.3</v>
      </c>
      <c r="V446" s="610"/>
      <c r="W446" s="709"/>
      <c r="X446" s="710"/>
      <c r="Y446" s="705"/>
      <c r="Z446" s="712"/>
      <c r="AA446" s="572"/>
      <c r="AB446" s="560"/>
    </row>
    <row r="447" ht="24.0" customHeight="1">
      <c r="A447" s="556"/>
      <c r="B447" s="577"/>
      <c r="C447" s="709"/>
      <c r="D447" s="710"/>
      <c r="E447" s="705"/>
      <c r="F447" s="712"/>
      <c r="G447" s="609"/>
      <c r="H447" s="619" t="str">
        <f>IMAGE("https://raw.githubusercontent.com/msikma/pokesprite/master/items-outline/valuable-item/star-piece.png",1)</f>
        <v/>
      </c>
      <c r="I447" s="620" t="s">
        <v>1108</v>
      </c>
      <c r="J447" s="621"/>
      <c r="K447" s="629">
        <v>0.25</v>
      </c>
      <c r="L447" s="610"/>
      <c r="M447" s="619" t="str">
        <f>IMAGE("https://raw.githubusercontent.com/msikma/pokesprite/master/items-outline/valuable-item/star-piece.png",1)</f>
        <v/>
      </c>
      <c r="N447" s="620" t="s">
        <v>1108</v>
      </c>
      <c r="O447" s="621"/>
      <c r="P447" s="629">
        <v>0.25</v>
      </c>
      <c r="Q447" s="610"/>
      <c r="R447" s="619" t="str">
        <f>IMAGE("https://raw.githubusercontent.com/msikma/pokesprite/master/items-outline/valuable-item/star-piece.png",1)</f>
        <v/>
      </c>
      <c r="S447" s="620" t="s">
        <v>1108</v>
      </c>
      <c r="T447" s="621"/>
      <c r="U447" s="629">
        <v>0.25</v>
      </c>
      <c r="V447" s="610"/>
      <c r="W447" s="709"/>
      <c r="X447" s="710"/>
      <c r="Y447" s="705"/>
      <c r="Z447" s="712"/>
      <c r="AA447" s="572"/>
      <c r="AB447" s="560"/>
    </row>
    <row r="448" ht="24.0" customHeight="1">
      <c r="A448" s="556"/>
      <c r="B448" s="577"/>
      <c r="C448" s="709"/>
      <c r="D448" s="715"/>
      <c r="E448" s="705"/>
      <c r="F448" s="712"/>
      <c r="G448" s="609"/>
      <c r="H448" s="623"/>
      <c r="I448" s="630" t="s">
        <v>1068</v>
      </c>
      <c r="J448" s="625"/>
      <c r="K448" s="631">
        <v>0.25</v>
      </c>
      <c r="L448" s="610"/>
      <c r="M448" s="623"/>
      <c r="N448" s="630" t="s">
        <v>1068</v>
      </c>
      <c r="O448" s="625"/>
      <c r="P448" s="631">
        <v>0.25</v>
      </c>
      <c r="Q448" s="610"/>
      <c r="R448" s="623"/>
      <c r="S448" s="630" t="s">
        <v>1068</v>
      </c>
      <c r="T448" s="625"/>
      <c r="U448" s="631">
        <v>0.25</v>
      </c>
      <c r="V448" s="610"/>
      <c r="W448" s="709"/>
      <c r="X448" s="715"/>
      <c r="Y448" s="705"/>
      <c r="Z448" s="712"/>
      <c r="AA448" s="572"/>
      <c r="AB448" s="560"/>
    </row>
    <row r="449" ht="24.0" customHeight="1">
      <c r="A449" s="556"/>
      <c r="B449" s="577"/>
      <c r="C449" s="709"/>
      <c r="D449" s="715"/>
      <c r="E449" s="705"/>
      <c r="F449" s="711"/>
      <c r="G449" s="636"/>
      <c r="H449" s="632" t="str">
        <f>IMAGE("https://raw.githubusercontent.com/msikma/pokesprite/master/items-outline/hold-item/lucky-egg.png",1)</f>
        <v/>
      </c>
      <c r="I449" s="633" t="s">
        <v>1071</v>
      </c>
      <c r="J449" s="634"/>
      <c r="K449" s="635">
        <v>0.05</v>
      </c>
      <c r="L449" s="610"/>
      <c r="M449" s="632" t="str">
        <f>IMAGE("https://raw.githubusercontent.com/msikma/pokesprite/master/items-outline/hold-item/lucky-egg.png",1)</f>
        <v/>
      </c>
      <c r="N449" s="633" t="s">
        <v>1071</v>
      </c>
      <c r="O449" s="634"/>
      <c r="P449" s="635">
        <v>0.05</v>
      </c>
      <c r="Q449" s="610"/>
      <c r="R449" s="632" t="str">
        <f>IMAGE("https://raw.githubusercontent.com/msikma/pokesprite/master/items-outline/hold-item/lucky-egg.png",1)</f>
        <v/>
      </c>
      <c r="S449" s="633" t="s">
        <v>1071</v>
      </c>
      <c r="T449" s="634"/>
      <c r="U449" s="635">
        <v>0.05</v>
      </c>
      <c r="V449" s="610"/>
      <c r="W449" s="709"/>
      <c r="X449" s="715"/>
      <c r="Y449" s="705"/>
      <c r="Z449" s="711"/>
      <c r="AA449" s="572"/>
      <c r="AB449" s="560"/>
    </row>
    <row r="450" ht="24.0" customHeight="1">
      <c r="A450" s="556"/>
      <c r="B450" s="577"/>
      <c r="C450" s="709"/>
      <c r="D450" s="715"/>
      <c r="E450" s="705"/>
      <c r="F450" s="711"/>
      <c r="G450" s="636"/>
      <c r="H450" s="637"/>
      <c r="I450" s="638" t="s">
        <v>1071</v>
      </c>
      <c r="J450" s="639"/>
      <c r="K450" s="640">
        <v>0.04</v>
      </c>
      <c r="L450" s="610"/>
      <c r="M450" s="637"/>
      <c r="N450" s="638" t="s">
        <v>1071</v>
      </c>
      <c r="O450" s="639"/>
      <c r="P450" s="640">
        <v>0.04</v>
      </c>
      <c r="Q450" s="610"/>
      <c r="R450" s="637"/>
      <c r="S450" s="638" t="s">
        <v>1071</v>
      </c>
      <c r="T450" s="639"/>
      <c r="U450" s="640">
        <v>0.04</v>
      </c>
      <c r="V450" s="610"/>
      <c r="W450" s="709"/>
      <c r="X450" s="715"/>
      <c r="Y450" s="705"/>
      <c r="Z450" s="711"/>
      <c r="AA450" s="572"/>
      <c r="AB450" s="560"/>
    </row>
    <row r="451" ht="24.75" customHeight="1">
      <c r="A451" s="556"/>
      <c r="B451" s="577"/>
      <c r="C451" s="709"/>
      <c r="D451" s="715"/>
      <c r="E451" s="705"/>
      <c r="F451" s="711"/>
      <c r="G451" s="645"/>
      <c r="H451" s="641"/>
      <c r="I451" s="642" t="s">
        <v>1071</v>
      </c>
      <c r="J451" s="643"/>
      <c r="K451" s="644">
        <v>0.01</v>
      </c>
      <c r="L451" s="646"/>
      <c r="M451" s="641"/>
      <c r="N451" s="642" t="s">
        <v>1071</v>
      </c>
      <c r="O451" s="643"/>
      <c r="P451" s="644">
        <v>0.01</v>
      </c>
      <c r="Q451" s="646"/>
      <c r="R451" s="641"/>
      <c r="S451" s="642" t="s">
        <v>1071</v>
      </c>
      <c r="T451" s="643"/>
      <c r="U451" s="644">
        <v>0.01</v>
      </c>
      <c r="V451" s="646"/>
      <c r="W451" s="709"/>
      <c r="X451" s="715"/>
      <c r="Y451" s="705"/>
      <c r="Z451" s="711"/>
      <c r="AA451" s="572"/>
      <c r="AB451" s="560"/>
    </row>
    <row r="452" ht="60.0" customHeight="1">
      <c r="A452" s="556"/>
      <c r="B452" s="577"/>
      <c r="C452" s="680" t="s">
        <v>1165</v>
      </c>
      <c r="Z452" s="588"/>
      <c r="AA452" s="648"/>
      <c r="AB452" s="560"/>
    </row>
    <row r="453" ht="37.5" customHeight="1">
      <c r="A453" s="556"/>
      <c r="B453" s="577"/>
      <c r="C453" s="703"/>
      <c r="D453" s="704"/>
      <c r="E453" s="705"/>
      <c r="F453" s="706"/>
      <c r="G453" s="593"/>
      <c r="H453" s="590" t="s">
        <v>953</v>
      </c>
      <c r="I453" s="168"/>
      <c r="J453" s="591"/>
      <c r="K453" s="592" t="str">
        <f t="array" ref="K453">IFERROR(VLOOKUP(H453,Dex!$B$3:$N689,2,FALSE),"")</f>
        <v/>
      </c>
      <c r="L453" s="594"/>
      <c r="M453" s="590" t="s">
        <v>969</v>
      </c>
      <c r="N453" s="168"/>
      <c r="O453" s="591"/>
      <c r="P453" s="592" t="str">
        <f t="array" ref="P453">IFERROR(VLOOKUP(M453,Dex!$B$3:$N689,2,FALSE),"")</f>
        <v/>
      </c>
      <c r="Q453" s="594"/>
      <c r="R453" s="590" t="s">
        <v>956</v>
      </c>
      <c r="S453" s="168"/>
      <c r="T453" s="591"/>
      <c r="U453" s="592" t="str">
        <f t="array" ref="U453">IFERROR(VLOOKUP(R453,Dex!$B$3:$N689,2,FALSE),"")</f>
        <v/>
      </c>
      <c r="V453" s="594"/>
      <c r="W453" s="703"/>
      <c r="X453" s="704"/>
      <c r="Y453" s="705"/>
      <c r="Z453" s="706"/>
      <c r="AA453" s="572"/>
      <c r="AB453" s="560"/>
    </row>
    <row r="454">
      <c r="A454" s="595"/>
      <c r="B454" s="596"/>
      <c r="C454" s="703"/>
      <c r="D454" s="704"/>
      <c r="E454" s="705"/>
      <c r="F454" s="706"/>
      <c r="G454" s="601"/>
      <c r="H454" s="597" t="s">
        <v>1056</v>
      </c>
      <c r="I454" s="598"/>
      <c r="J454" s="599"/>
      <c r="K454" s="600" t="s">
        <v>1057</v>
      </c>
      <c r="L454" s="602"/>
      <c r="M454" s="597" t="s">
        <v>1056</v>
      </c>
      <c r="N454" s="598"/>
      <c r="O454" s="599"/>
      <c r="P454" s="600" t="s">
        <v>1057</v>
      </c>
      <c r="Q454" s="602"/>
      <c r="R454" s="597" t="s">
        <v>1056</v>
      </c>
      <c r="S454" s="598"/>
      <c r="T454" s="599"/>
      <c r="U454" s="600" t="s">
        <v>1057</v>
      </c>
      <c r="V454" s="602"/>
      <c r="W454" s="703"/>
      <c r="X454" s="704"/>
      <c r="Y454" s="705"/>
      <c r="Z454" s="706"/>
      <c r="AA454" s="603"/>
      <c r="AB454" s="604"/>
    </row>
    <row r="455" ht="24.0" customHeight="1">
      <c r="A455" s="556"/>
      <c r="B455" s="577"/>
      <c r="C455" s="703"/>
      <c r="D455" s="704"/>
      <c r="E455" s="705"/>
      <c r="F455" s="706"/>
      <c r="G455" s="609"/>
      <c r="H455" s="605"/>
      <c r="I455" s="606" t="s">
        <v>1084</v>
      </c>
      <c r="J455" s="607"/>
      <c r="K455" s="608">
        <v>1.0</v>
      </c>
      <c r="L455" s="610"/>
      <c r="M455" s="605"/>
      <c r="N455" s="606" t="s">
        <v>1084</v>
      </c>
      <c r="O455" s="607"/>
      <c r="P455" s="608">
        <v>1.0</v>
      </c>
      <c r="Q455" s="610"/>
      <c r="R455" s="605"/>
      <c r="S455" s="606" t="s">
        <v>1084</v>
      </c>
      <c r="T455" s="607"/>
      <c r="U455" s="608">
        <v>1.0</v>
      </c>
      <c r="V455" s="716"/>
      <c r="W455" s="703"/>
      <c r="X455" s="704"/>
      <c r="Y455" s="705"/>
      <c r="Z455" s="706"/>
      <c r="AA455" s="572"/>
      <c r="AB455" s="560"/>
    </row>
    <row r="456" ht="24.0" customHeight="1">
      <c r="A456" s="556"/>
      <c r="B456" s="577"/>
      <c r="C456" s="707"/>
      <c r="D456" s="704"/>
      <c r="E456" s="705"/>
      <c r="F456" s="708"/>
      <c r="G456" s="609"/>
      <c r="H456" s="717" t="str">
        <f>IMAGE("https://raw.githubusercontent.com/msikma/pokesprite/master/items-outline/valuable-item/big-nugget.png",1)</f>
        <v/>
      </c>
      <c r="I456" s="718" t="s">
        <v>1131</v>
      </c>
      <c r="J456" s="719"/>
      <c r="K456" s="720">
        <v>0.8</v>
      </c>
      <c r="L456" s="610"/>
      <c r="M456" s="717" t="str">
        <f>IMAGE("https://raw.githubusercontent.com/msikma/pokesprite/master/items-outline/valuable-item/big-nugget.png",1)</f>
        <v/>
      </c>
      <c r="N456" s="718" t="s">
        <v>1131</v>
      </c>
      <c r="O456" s="719"/>
      <c r="P456" s="720">
        <v>0.8</v>
      </c>
      <c r="Q456" s="610"/>
      <c r="R456" s="717" t="str">
        <f>IMAGE("https://raw.githubusercontent.com/msikma/pokesprite/master/items-outline/valuable-item/big-nugget.png",1)</f>
        <v/>
      </c>
      <c r="S456" s="718" t="s">
        <v>1131</v>
      </c>
      <c r="T456" s="719"/>
      <c r="U456" s="720">
        <v>0.8</v>
      </c>
      <c r="V456" s="610"/>
      <c r="W456" s="707"/>
      <c r="X456" s="704"/>
      <c r="Y456" s="705"/>
      <c r="Z456" s="708"/>
      <c r="AA456" s="572"/>
      <c r="AB456" s="560"/>
    </row>
    <row r="457" ht="24.0" customHeight="1">
      <c r="A457" s="556"/>
      <c r="B457" s="577"/>
      <c r="C457" s="709"/>
      <c r="D457" s="710"/>
      <c r="E457" s="705"/>
      <c r="F457" s="711"/>
      <c r="G457" s="609"/>
      <c r="H457" s="615" t="str">
        <f>IMAGE("https://raw.githubusercontent.com/msikma/pokesprite/master/items-outline/medicine/calcium.png",1)</f>
        <v/>
      </c>
      <c r="I457" s="616" t="s">
        <v>1075</v>
      </c>
      <c r="J457" s="617"/>
      <c r="K457" s="713">
        <v>0.8</v>
      </c>
      <c r="L457" s="610"/>
      <c r="M457" s="615" t="str">
        <f>IMAGE("https://raw.githubusercontent.com/msikma/pokesprite/master/items-outline/medicine/calcium.png",1)</f>
        <v/>
      </c>
      <c r="N457" s="616" t="s">
        <v>1075</v>
      </c>
      <c r="O457" s="617"/>
      <c r="P457" s="713">
        <v>0.8</v>
      </c>
      <c r="Q457" s="610"/>
      <c r="R457" s="615" t="str">
        <f>IMAGE("https://raw.githubusercontent.com/msikma/pokesprite/master/items-outline/medicine/calcium.png",1)</f>
        <v/>
      </c>
      <c r="S457" s="616" t="s">
        <v>1075</v>
      </c>
      <c r="T457" s="617"/>
      <c r="U457" s="713">
        <v>0.8</v>
      </c>
      <c r="V457" s="610"/>
      <c r="W457" s="709"/>
      <c r="X457" s="710"/>
      <c r="Y457" s="705"/>
      <c r="Z457" s="711"/>
      <c r="AA457" s="572"/>
      <c r="AB457" s="560"/>
    </row>
    <row r="458" ht="24.0" customHeight="1">
      <c r="A458" s="556"/>
      <c r="B458" s="577"/>
      <c r="C458" s="709"/>
      <c r="D458" s="710"/>
      <c r="E458" s="705"/>
      <c r="F458" s="712"/>
      <c r="G458" s="609"/>
      <c r="H458" s="619"/>
      <c r="I458" s="620" t="s">
        <v>1080</v>
      </c>
      <c r="J458" s="621"/>
      <c r="K458" s="622">
        <v>0.5</v>
      </c>
      <c r="L458" s="610"/>
      <c r="M458" s="619"/>
      <c r="N458" s="620" t="s">
        <v>1080</v>
      </c>
      <c r="O458" s="621"/>
      <c r="P458" s="622">
        <v>0.5</v>
      </c>
      <c r="Q458" s="610"/>
      <c r="R458" s="619"/>
      <c r="S458" s="620" t="s">
        <v>1080</v>
      </c>
      <c r="T458" s="621"/>
      <c r="U458" s="622">
        <v>0.5</v>
      </c>
      <c r="V458" s="610"/>
      <c r="W458" s="709"/>
      <c r="X458" s="710"/>
      <c r="Y458" s="705"/>
      <c r="Z458" s="712"/>
      <c r="AA458" s="572"/>
      <c r="AB458" s="560"/>
    </row>
    <row r="459" ht="24.0" customHeight="1">
      <c r="A459" s="556"/>
      <c r="B459" s="577"/>
      <c r="C459" s="709"/>
      <c r="D459" s="710"/>
      <c r="E459" s="705"/>
      <c r="F459" s="712"/>
      <c r="G459" s="609"/>
      <c r="H459" s="623"/>
      <c r="I459" s="624" t="s">
        <v>1059</v>
      </c>
      <c r="J459" s="625"/>
      <c r="K459" s="626">
        <v>0.5</v>
      </c>
      <c r="L459" s="610"/>
      <c r="M459" s="623"/>
      <c r="N459" s="624" t="s">
        <v>1059</v>
      </c>
      <c r="O459" s="625"/>
      <c r="P459" s="626">
        <v>0.5</v>
      </c>
      <c r="Q459" s="610"/>
      <c r="R459" s="623"/>
      <c r="S459" s="624" t="s">
        <v>1059</v>
      </c>
      <c r="T459" s="625"/>
      <c r="U459" s="626">
        <v>0.5</v>
      </c>
      <c r="V459" s="610"/>
      <c r="W459" s="709"/>
      <c r="X459" s="710"/>
      <c r="Y459" s="705"/>
      <c r="Z459" s="712"/>
      <c r="AA459" s="572"/>
      <c r="AB459" s="560"/>
    </row>
    <row r="460" ht="24.0" customHeight="1">
      <c r="A460" s="556"/>
      <c r="B460" s="577"/>
      <c r="C460" s="709"/>
      <c r="D460" s="710"/>
      <c r="E460" s="705"/>
      <c r="F460" s="712"/>
      <c r="G460" s="609"/>
      <c r="H460" s="611" t="str">
        <f>IMAGE("https://raw.githubusercontent.com/msikma/pokesprite/master/items-outline/valuable-item/star-piece.png",1)</f>
        <v/>
      </c>
      <c r="I460" s="612" t="s">
        <v>1108</v>
      </c>
      <c r="J460" s="613"/>
      <c r="K460" s="627">
        <v>0.3</v>
      </c>
      <c r="L460" s="610"/>
      <c r="M460" s="611" t="str">
        <f>IMAGE("https://raw.githubusercontent.com/msikma/pokesprite/master/items-outline/valuable-item/star-piece.png",1)</f>
        <v/>
      </c>
      <c r="N460" s="612" t="s">
        <v>1108</v>
      </c>
      <c r="O460" s="613"/>
      <c r="P460" s="627">
        <v>0.3</v>
      </c>
      <c r="Q460" s="610"/>
      <c r="R460" s="611" t="str">
        <f>IMAGE("https://raw.githubusercontent.com/msikma/pokesprite/master/items-outline/valuable-item/star-piece.png",1)</f>
        <v/>
      </c>
      <c r="S460" s="612" t="s">
        <v>1108</v>
      </c>
      <c r="T460" s="613"/>
      <c r="U460" s="627">
        <v>0.3</v>
      </c>
      <c r="V460" s="610"/>
      <c r="W460" s="709"/>
      <c r="X460" s="710"/>
      <c r="Y460" s="705"/>
      <c r="Z460" s="712"/>
      <c r="AA460" s="572"/>
      <c r="AB460" s="560"/>
    </row>
    <row r="461" ht="24.0" customHeight="1">
      <c r="A461" s="556"/>
      <c r="B461" s="577"/>
      <c r="C461" s="709"/>
      <c r="D461" s="710"/>
      <c r="E461" s="705"/>
      <c r="F461" s="712"/>
      <c r="G461" s="609"/>
      <c r="H461" s="615" t="str">
        <f>IMAGE("https://raw.githubusercontent.com/msikma/pokesprite/master/items-outline/medicine/pp-max.png",1)</f>
        <v/>
      </c>
      <c r="I461" s="616" t="s">
        <v>1143</v>
      </c>
      <c r="J461" s="617"/>
      <c r="K461" s="628">
        <v>0.3</v>
      </c>
      <c r="L461" s="610"/>
      <c r="M461" s="615" t="str">
        <f>IMAGE("https://raw.githubusercontent.com/msikma/pokesprite/master/items-outline/medicine/pp-max.png",1)</f>
        <v/>
      </c>
      <c r="N461" s="616" t="s">
        <v>1143</v>
      </c>
      <c r="O461" s="617"/>
      <c r="P461" s="628">
        <v>0.3</v>
      </c>
      <c r="Q461" s="610"/>
      <c r="R461" s="615" t="str">
        <f>IMAGE("https://raw.githubusercontent.com/msikma/pokesprite/master/items-outline/medicine/pp-max.png",1)</f>
        <v/>
      </c>
      <c r="S461" s="616" t="s">
        <v>1143</v>
      </c>
      <c r="T461" s="617"/>
      <c r="U461" s="628">
        <v>0.3</v>
      </c>
      <c r="V461" s="610"/>
      <c r="W461" s="709"/>
      <c r="X461" s="710"/>
      <c r="Y461" s="705"/>
      <c r="Z461" s="712"/>
      <c r="AA461" s="572"/>
      <c r="AB461" s="560"/>
    </row>
    <row r="462" ht="24.0" customHeight="1">
      <c r="A462" s="556"/>
      <c r="B462" s="577"/>
      <c r="C462" s="709"/>
      <c r="D462" s="710"/>
      <c r="E462" s="705"/>
      <c r="F462" s="712"/>
      <c r="G462" s="609"/>
      <c r="H462" s="619"/>
      <c r="I462" s="620" t="s">
        <v>1166</v>
      </c>
      <c r="J462" s="621"/>
      <c r="K462" s="629">
        <v>0.25</v>
      </c>
      <c r="L462" s="610"/>
      <c r="M462" s="619"/>
      <c r="N462" s="620" t="s">
        <v>1166</v>
      </c>
      <c r="O462" s="621"/>
      <c r="P462" s="629">
        <v>0.25</v>
      </c>
      <c r="Q462" s="610"/>
      <c r="R462" s="619"/>
      <c r="S462" s="620" t="s">
        <v>1166</v>
      </c>
      <c r="T462" s="621"/>
      <c r="U462" s="629">
        <v>0.25</v>
      </c>
      <c r="V462" s="610"/>
      <c r="W462" s="709"/>
      <c r="X462" s="710"/>
      <c r="Y462" s="705"/>
      <c r="Z462" s="712"/>
      <c r="AA462" s="572"/>
      <c r="AB462" s="560"/>
    </row>
    <row r="463" ht="24.0" customHeight="1">
      <c r="A463" s="556"/>
      <c r="B463" s="577"/>
      <c r="C463" s="709"/>
      <c r="D463" s="715"/>
      <c r="E463" s="705"/>
      <c r="F463" s="712"/>
      <c r="G463" s="609"/>
      <c r="H463" s="623"/>
      <c r="I463" s="630" t="s">
        <v>1068</v>
      </c>
      <c r="J463" s="625"/>
      <c r="K463" s="631">
        <v>0.25</v>
      </c>
      <c r="L463" s="610"/>
      <c r="M463" s="623"/>
      <c r="N463" s="630" t="s">
        <v>1068</v>
      </c>
      <c r="O463" s="625"/>
      <c r="P463" s="631">
        <v>0.25</v>
      </c>
      <c r="Q463" s="610"/>
      <c r="R463" s="623"/>
      <c r="S463" s="630" t="s">
        <v>1071</v>
      </c>
      <c r="T463" s="625"/>
      <c r="U463" s="631">
        <v>0.25</v>
      </c>
      <c r="V463" s="610"/>
      <c r="W463" s="709"/>
      <c r="X463" s="715"/>
      <c r="Y463" s="705"/>
      <c r="Z463" s="712"/>
      <c r="AA463" s="572"/>
      <c r="AB463" s="560"/>
    </row>
    <row r="464" ht="24.0" customHeight="1">
      <c r="A464" s="556"/>
      <c r="B464" s="577"/>
      <c r="C464" s="709"/>
      <c r="D464" s="715"/>
      <c r="E464" s="705"/>
      <c r="F464" s="711"/>
      <c r="G464" s="636"/>
      <c r="H464" s="632"/>
      <c r="I464" s="633" t="s">
        <v>1167</v>
      </c>
      <c r="J464" s="634"/>
      <c r="K464" s="635">
        <v>0.05</v>
      </c>
      <c r="L464" s="610"/>
      <c r="M464" s="632"/>
      <c r="N464" s="633" t="s">
        <v>1167</v>
      </c>
      <c r="O464" s="634"/>
      <c r="P464" s="635">
        <v>0.05</v>
      </c>
      <c r="Q464" s="610"/>
      <c r="R464" s="632" t="str">
        <f>IMAGE("https://raw.githubusercontent.com/msikma/pokesprite/master/items/other-item/wishing-piece.png",1)</f>
        <v/>
      </c>
      <c r="S464" s="633" t="s">
        <v>1068</v>
      </c>
      <c r="T464" s="634"/>
      <c r="U464" s="635">
        <v>0.05</v>
      </c>
      <c r="V464" s="610"/>
      <c r="W464" s="709"/>
      <c r="X464" s="715"/>
      <c r="Y464" s="705"/>
      <c r="Z464" s="711"/>
      <c r="AA464" s="572"/>
      <c r="AB464" s="560"/>
    </row>
    <row r="465" ht="24.0" customHeight="1">
      <c r="A465" s="556"/>
      <c r="B465" s="577"/>
      <c r="C465" s="709"/>
      <c r="D465" s="715"/>
      <c r="E465" s="705"/>
      <c r="F465" s="711"/>
      <c r="G465" s="636"/>
      <c r="H465" s="637" t="str">
        <f>IMAGE("https://raw.githubusercontent.com/msikma/pokesprite/master/items-outline/hold-item/life-orb.png",1)</f>
        <v/>
      </c>
      <c r="I465" s="638" t="s">
        <v>1158</v>
      </c>
      <c r="J465" s="639"/>
      <c r="K465" s="640">
        <v>0.04</v>
      </c>
      <c r="L465" s="610"/>
      <c r="M465" s="637" t="str">
        <f>IMAGE("https://raw.githubusercontent.com/msikma/pokesprite/master/items-outline/hold-item/life-orb.png",1)</f>
        <v/>
      </c>
      <c r="N465" s="638" t="s">
        <v>1158</v>
      </c>
      <c r="O465" s="639"/>
      <c r="P465" s="640">
        <v>0.04</v>
      </c>
      <c r="Q465" s="610"/>
      <c r="R465" s="637" t="str">
        <f>IMAGE("https://raw.githubusercontent.com/msikma/pokesprite/master/items-outline/hold-item/life-orb.png",1)</f>
        <v/>
      </c>
      <c r="S465" s="638" t="s">
        <v>1158</v>
      </c>
      <c r="T465" s="639"/>
      <c r="U465" s="640">
        <v>0.04</v>
      </c>
      <c r="V465" s="610"/>
      <c r="W465" s="709"/>
      <c r="X465" s="715"/>
      <c r="Y465" s="705"/>
      <c r="Z465" s="711"/>
      <c r="AA465" s="572"/>
      <c r="AB465" s="560"/>
    </row>
    <row r="466" ht="24.75" customHeight="1">
      <c r="A466" s="556"/>
      <c r="B466" s="577"/>
      <c r="C466" s="709"/>
      <c r="D466" s="715"/>
      <c r="E466" s="705"/>
      <c r="F466" s="711"/>
      <c r="G466" s="645"/>
      <c r="H466" s="641"/>
      <c r="I466" s="642" t="s">
        <v>1158</v>
      </c>
      <c r="J466" s="643"/>
      <c r="K466" s="644">
        <v>0.01</v>
      </c>
      <c r="L466" s="646"/>
      <c r="M466" s="641"/>
      <c r="N466" s="642" t="s">
        <v>1158</v>
      </c>
      <c r="O466" s="643"/>
      <c r="P466" s="644">
        <v>0.01</v>
      </c>
      <c r="Q466" s="646"/>
      <c r="R466" s="641"/>
      <c r="S466" s="642" t="s">
        <v>1158</v>
      </c>
      <c r="T466" s="643"/>
      <c r="U466" s="644">
        <v>0.01</v>
      </c>
      <c r="V466" s="646"/>
      <c r="W466" s="709"/>
      <c r="X466" s="715"/>
      <c r="Y466" s="705"/>
      <c r="Z466" s="711"/>
      <c r="AA466" s="572"/>
      <c r="AB466" s="560"/>
    </row>
    <row r="467" ht="60.0" customHeight="1">
      <c r="A467" s="556"/>
      <c r="B467" s="577"/>
      <c r="C467" s="680" t="s">
        <v>1168</v>
      </c>
      <c r="Z467" s="588"/>
      <c r="AA467" s="648"/>
      <c r="AB467" s="560"/>
    </row>
    <row r="468" ht="37.5" customHeight="1">
      <c r="A468" s="556"/>
      <c r="B468" s="577"/>
      <c r="C468" s="703"/>
      <c r="D468" s="704"/>
      <c r="E468" s="705"/>
      <c r="F468" s="706"/>
      <c r="G468" s="593"/>
      <c r="H468" s="590" t="s">
        <v>890</v>
      </c>
      <c r="I468" s="168"/>
      <c r="J468" s="591"/>
      <c r="K468" s="592" t="str">
        <f t="array" ref="K468">IFERROR(VLOOKUP(H468,Dex!$B$3:$N689,2,FALSE),"")</f>
        <v/>
      </c>
      <c r="L468" s="594"/>
      <c r="M468" s="590" t="s">
        <v>929</v>
      </c>
      <c r="N468" s="168"/>
      <c r="O468" s="591"/>
      <c r="P468" s="592" t="str">
        <f t="array" ref="P468">IFERROR(VLOOKUP(M468,Dex!$B$3:$N689,2,FALSE),"")</f>
        <v/>
      </c>
      <c r="Q468" s="594"/>
      <c r="R468" s="590" t="s">
        <v>878</v>
      </c>
      <c r="S468" s="168"/>
      <c r="T468" s="591"/>
      <c r="U468" s="592" t="str">
        <f t="array" ref="U468">IFERROR(VLOOKUP(R468,Dex!$B$3:$N689,2,FALSE),"")</f>
        <v/>
      </c>
      <c r="V468" s="594"/>
      <c r="W468" s="703"/>
      <c r="X468" s="704"/>
      <c r="Y468" s="705"/>
      <c r="Z468" s="706"/>
      <c r="AA468" s="572"/>
      <c r="AB468" s="560"/>
    </row>
    <row r="469">
      <c r="A469" s="595"/>
      <c r="B469" s="596"/>
      <c r="C469" s="703"/>
      <c r="D469" s="704"/>
      <c r="E469" s="705"/>
      <c r="F469" s="706"/>
      <c r="G469" s="601"/>
      <c r="H469" s="597" t="s">
        <v>1056</v>
      </c>
      <c r="I469" s="598"/>
      <c r="J469" s="599"/>
      <c r="K469" s="600" t="s">
        <v>1057</v>
      </c>
      <c r="L469" s="602"/>
      <c r="M469" s="597" t="s">
        <v>1056</v>
      </c>
      <c r="N469" s="598"/>
      <c r="O469" s="599"/>
      <c r="P469" s="600" t="s">
        <v>1057</v>
      </c>
      <c r="Q469" s="602"/>
      <c r="R469" s="597" t="s">
        <v>1056</v>
      </c>
      <c r="S469" s="598"/>
      <c r="T469" s="599"/>
      <c r="U469" s="600" t="s">
        <v>1057</v>
      </c>
      <c r="V469" s="602"/>
      <c r="W469" s="703"/>
      <c r="X469" s="704"/>
      <c r="Y469" s="705"/>
      <c r="Z469" s="706"/>
      <c r="AA469" s="603"/>
      <c r="AB469" s="604"/>
    </row>
    <row r="470" ht="24.0" customHeight="1">
      <c r="A470" s="556"/>
      <c r="B470" s="577"/>
      <c r="C470" s="703"/>
      <c r="D470" s="704"/>
      <c r="E470" s="705"/>
      <c r="F470" s="706"/>
      <c r="G470" s="609"/>
      <c r="H470" s="605" t="str">
        <f>IMAGE("https://raw.githubusercontent.com/msikma/pokesprite/master/items-outline/valuable-item/star-piece.png",1)</f>
        <v/>
      </c>
      <c r="I470" s="606" t="s">
        <v>1108</v>
      </c>
      <c r="J470" s="607"/>
      <c r="K470" s="608">
        <v>1.0</v>
      </c>
      <c r="L470" s="610"/>
      <c r="M470" s="605" t="str">
        <f>IMAGE("https://raw.githubusercontent.com/msikma/pokesprite/master/items-outline/valuable-item/star-piece.png",1)</f>
        <v/>
      </c>
      <c r="N470" s="606" t="s">
        <v>1108</v>
      </c>
      <c r="O470" s="607"/>
      <c r="P470" s="608">
        <v>1.0</v>
      </c>
      <c r="Q470" s="610"/>
      <c r="R470" s="605" t="str">
        <f>IMAGE("https://raw.githubusercontent.com/msikma/pokesprite/master/items-outline/valuable-item/star-piece.png",1)</f>
        <v/>
      </c>
      <c r="S470" s="606" t="s">
        <v>1108</v>
      </c>
      <c r="T470" s="607"/>
      <c r="U470" s="608">
        <v>1.0</v>
      </c>
      <c r="V470" s="716"/>
      <c r="W470" s="703"/>
      <c r="X470" s="704"/>
      <c r="Y470" s="705"/>
      <c r="Z470" s="706"/>
      <c r="AA470" s="572"/>
      <c r="AB470" s="560"/>
    </row>
    <row r="471" ht="24.0" customHeight="1">
      <c r="A471" s="556"/>
      <c r="B471" s="577"/>
      <c r="C471" s="707"/>
      <c r="D471" s="704"/>
      <c r="E471" s="705"/>
      <c r="F471" s="708"/>
      <c r="G471" s="609"/>
      <c r="H471" s="611" t="str">
        <f>IMAGE("https://raw.githubusercontent.com/msikma/pokesprite/master/items-outline/valuable-item/nugget.png",1)</f>
        <v/>
      </c>
      <c r="I471" s="612" t="s">
        <v>1084</v>
      </c>
      <c r="J471" s="613"/>
      <c r="K471" s="614">
        <v>0.8</v>
      </c>
      <c r="L471" s="610"/>
      <c r="M471" s="611" t="str">
        <f>IMAGE("https://raw.githubusercontent.com/msikma/pokesprite/master/items-outline/valuable-item/nugget.png",1)</f>
        <v/>
      </c>
      <c r="N471" s="612" t="s">
        <v>1084</v>
      </c>
      <c r="O471" s="613"/>
      <c r="P471" s="614">
        <v>0.8</v>
      </c>
      <c r="Q471" s="610"/>
      <c r="R471" s="611" t="str">
        <f>IMAGE("https://raw.githubusercontent.com/msikma/pokesprite/master/items-outline/valuable-item/nugget.png",1)</f>
        <v/>
      </c>
      <c r="S471" s="612" t="s">
        <v>1084</v>
      </c>
      <c r="T471" s="613"/>
      <c r="U471" s="614">
        <v>0.8</v>
      </c>
      <c r="V471" s="610"/>
      <c r="W471" s="707"/>
      <c r="X471" s="704"/>
      <c r="Y471" s="705"/>
      <c r="Z471" s="708"/>
      <c r="AA471" s="572"/>
      <c r="AB471" s="560"/>
    </row>
    <row r="472" ht="24.0" customHeight="1">
      <c r="A472" s="556"/>
      <c r="B472" s="577"/>
      <c r="C472" s="709"/>
      <c r="D472" s="710"/>
      <c r="E472" s="705"/>
      <c r="F472" s="711"/>
      <c r="G472" s="609"/>
      <c r="H472" s="615" t="str">
        <f>IMAGE("https://raw.githubusercontent.com/msikma/pokesprite/master/items-outline/valuable-item/big-nugget.png",1)</f>
        <v/>
      </c>
      <c r="I472" s="616" t="s">
        <v>1131</v>
      </c>
      <c r="J472" s="617"/>
      <c r="K472" s="618">
        <v>0.8</v>
      </c>
      <c r="L472" s="610"/>
      <c r="M472" s="615" t="str">
        <f>IMAGE("https://raw.githubusercontent.com/msikma/pokesprite/master/items-outline/valuable-item/big-nugget.png",1)</f>
        <v/>
      </c>
      <c r="N472" s="616" t="s">
        <v>1131</v>
      </c>
      <c r="O472" s="617"/>
      <c r="P472" s="618">
        <v>0.8</v>
      </c>
      <c r="Q472" s="610"/>
      <c r="R472" s="615" t="str">
        <f>IMAGE("https://raw.githubusercontent.com/msikma/pokesprite/master/items-outline/valuable-item/big-nugget.png",1)</f>
        <v/>
      </c>
      <c r="S472" s="616" t="s">
        <v>1131</v>
      </c>
      <c r="T472" s="617"/>
      <c r="U472" s="618">
        <v>0.8</v>
      </c>
      <c r="V472" s="610"/>
      <c r="W472" s="709"/>
      <c r="X472" s="710"/>
      <c r="Y472" s="705"/>
      <c r="Z472" s="711"/>
      <c r="AA472" s="572"/>
      <c r="AB472" s="560"/>
    </row>
    <row r="473" ht="24.0" customHeight="1">
      <c r="A473" s="556"/>
      <c r="B473" s="577"/>
      <c r="C473" s="709"/>
      <c r="D473" s="710"/>
      <c r="E473" s="705"/>
      <c r="F473" s="712"/>
      <c r="G473" s="609"/>
      <c r="H473" s="619" t="str">
        <f>IMAGE("https://raw.githubusercontent.com/msikma/pokesprite/master/items-outline/berry/occa.png",1)</f>
        <v/>
      </c>
      <c r="I473" s="620" t="s">
        <v>1156</v>
      </c>
      <c r="J473" s="621"/>
      <c r="K473" s="622">
        <v>0.5</v>
      </c>
      <c r="L473" s="610"/>
      <c r="M473" s="619" t="str">
        <f>IMAGE("https://raw.githubusercontent.com/msikma/pokesprite/master/items-outline/berry/occa.png",1)</f>
        <v/>
      </c>
      <c r="N473" s="620" t="s">
        <v>1156</v>
      </c>
      <c r="O473" s="621"/>
      <c r="P473" s="622">
        <v>0.5</v>
      </c>
      <c r="Q473" s="610"/>
      <c r="R473" s="619" t="str">
        <f>IMAGE("https://raw.githubusercontent.com/msikma/pokesprite/master/items-outline/berry/occa.png",1)</f>
        <v/>
      </c>
      <c r="S473" s="620" t="s">
        <v>1156</v>
      </c>
      <c r="T473" s="621"/>
      <c r="U473" s="622">
        <v>0.5</v>
      </c>
      <c r="V473" s="610"/>
      <c r="W473" s="709"/>
      <c r="X473" s="710"/>
      <c r="Y473" s="705"/>
      <c r="Z473" s="712"/>
      <c r="AA473" s="572"/>
      <c r="AB473" s="560"/>
    </row>
    <row r="474" ht="24.0" customHeight="1">
      <c r="A474" s="556"/>
      <c r="B474" s="577"/>
      <c r="C474" s="709"/>
      <c r="D474" s="710"/>
      <c r="E474" s="705"/>
      <c r="F474" s="712"/>
      <c r="G474" s="609"/>
      <c r="H474" s="623" t="str">
        <f>IMAGE("https://raw.githubusercontent.com/msikma/pokesprite/master/items-outline/other-item/ability-patch.png",1)</f>
        <v/>
      </c>
      <c r="I474" s="630" t="s">
        <v>1101</v>
      </c>
      <c r="J474" s="625"/>
      <c r="K474" s="626">
        <v>0.5</v>
      </c>
      <c r="L474" s="610"/>
      <c r="M474" s="623" t="str">
        <f>IMAGE("https://raw.githubusercontent.com/msikma/pokesprite/master/items-outline/other-item/ability-patch.png",1)</f>
        <v/>
      </c>
      <c r="N474" s="630" t="s">
        <v>1101</v>
      </c>
      <c r="O474" s="625"/>
      <c r="P474" s="626">
        <v>0.5</v>
      </c>
      <c r="Q474" s="610"/>
      <c r="R474" s="623" t="str">
        <f>IMAGE("https://raw.githubusercontent.com/msikma/pokesprite/master/items-outline/other-item/ability-patch.png",1)</f>
        <v/>
      </c>
      <c r="S474" s="630" t="s">
        <v>1101</v>
      </c>
      <c r="T474" s="625"/>
      <c r="U474" s="626">
        <v>0.5</v>
      </c>
      <c r="V474" s="610"/>
      <c r="W474" s="709"/>
      <c r="X474" s="710"/>
      <c r="Y474" s="705"/>
      <c r="Z474" s="712"/>
      <c r="AA474" s="572"/>
      <c r="AB474" s="560"/>
    </row>
    <row r="475" ht="24.0" customHeight="1">
      <c r="A475" s="556"/>
      <c r="B475" s="577"/>
      <c r="C475" s="709"/>
      <c r="D475" s="710"/>
      <c r="E475" s="705"/>
      <c r="F475" s="712"/>
      <c r="G475" s="609"/>
      <c r="H475" s="611" t="str">
        <f>IMAGE("https://raw.githubusercontent.com/msikma/pokesprite/master/items-outline/medicine/pp-up.png",1)</f>
        <v/>
      </c>
      <c r="I475" s="612" t="s">
        <v>1070</v>
      </c>
      <c r="J475" s="613"/>
      <c r="K475" s="627">
        <v>0.3</v>
      </c>
      <c r="L475" s="610"/>
      <c r="M475" s="611" t="str">
        <f>IMAGE("https://raw.githubusercontent.com/msikma/pokesprite/master/items-outline/medicine/pp-up.png",1)</f>
        <v/>
      </c>
      <c r="N475" s="612" t="s">
        <v>1070</v>
      </c>
      <c r="O475" s="613"/>
      <c r="P475" s="627">
        <v>0.3</v>
      </c>
      <c r="Q475" s="610"/>
      <c r="R475" s="611" t="str">
        <f>IMAGE("https://raw.githubusercontent.com/msikma/pokesprite/master/items-outline/medicine/pp-up.png",1)</f>
        <v/>
      </c>
      <c r="S475" s="612" t="s">
        <v>1070</v>
      </c>
      <c r="T475" s="613"/>
      <c r="U475" s="627">
        <v>0.3</v>
      </c>
      <c r="V475" s="610"/>
      <c r="W475" s="709"/>
      <c r="X475" s="710"/>
      <c r="Y475" s="705"/>
      <c r="Z475" s="712"/>
      <c r="AA475" s="572"/>
      <c r="AB475" s="560"/>
    </row>
    <row r="476" ht="24.0" customHeight="1">
      <c r="A476" s="556"/>
      <c r="B476" s="577"/>
      <c r="C476" s="709"/>
      <c r="D476" s="710"/>
      <c r="E476" s="705"/>
      <c r="F476" s="712"/>
      <c r="G476" s="609"/>
      <c r="H476" s="615" t="str">
        <f>IMAGE("https://raw.githubusercontent.com/msikma/pokesprite/master/items-outline/medicine/pp-max.png",1)</f>
        <v/>
      </c>
      <c r="I476" s="616" t="s">
        <v>1143</v>
      </c>
      <c r="J476" s="617"/>
      <c r="K476" s="628">
        <v>0.3</v>
      </c>
      <c r="L476" s="610"/>
      <c r="M476" s="615" t="str">
        <f>IMAGE("https://raw.githubusercontent.com/msikma/pokesprite/master/items-outline/medicine/pp-max.png",1)</f>
        <v/>
      </c>
      <c r="N476" s="616" t="s">
        <v>1143</v>
      </c>
      <c r="O476" s="617"/>
      <c r="P476" s="628">
        <v>0.3</v>
      </c>
      <c r="Q476" s="610"/>
      <c r="R476" s="615" t="str">
        <f>IMAGE("https://raw.githubusercontent.com/msikma/pokesprite/master/items-outline/medicine/pp-max.png",1)</f>
        <v/>
      </c>
      <c r="S476" s="616" t="s">
        <v>1143</v>
      </c>
      <c r="T476" s="617"/>
      <c r="U476" s="628">
        <v>0.3</v>
      </c>
      <c r="V476" s="610"/>
      <c r="W476" s="709"/>
      <c r="X476" s="710"/>
      <c r="Y476" s="705"/>
      <c r="Z476" s="712"/>
      <c r="AA476" s="572"/>
      <c r="AB476" s="560"/>
    </row>
    <row r="477" ht="24.0" customHeight="1">
      <c r="A477" s="556"/>
      <c r="B477" s="577"/>
      <c r="C477" s="709"/>
      <c r="D477" s="710"/>
      <c r="E477" s="705"/>
      <c r="F477" s="712"/>
      <c r="G477" s="609"/>
      <c r="H477" s="619" t="str">
        <f>IMAGE("https://raw.githubusercontent.com/msikma/pokesprite/master/items-outline/berry/salac.png",1)</f>
        <v/>
      </c>
      <c r="I477" s="620" t="s">
        <v>1142</v>
      </c>
      <c r="J477" s="621"/>
      <c r="K477" s="629">
        <v>0.25</v>
      </c>
      <c r="L477" s="610"/>
      <c r="M477" s="619" t="str">
        <f>IMAGE("https://raw.githubusercontent.com/msikma/pokesprite/master/items-outline/berry/liechi.png",1)</f>
        <v/>
      </c>
      <c r="N477" s="620" t="s">
        <v>1147</v>
      </c>
      <c r="O477" s="621"/>
      <c r="P477" s="629">
        <v>0.25</v>
      </c>
      <c r="Q477" s="610"/>
      <c r="R477" s="619" t="str">
        <f>IMAGE("https://raw.githubusercontent.com/msikma/pokesprite/master/items-outline/berry/liechi.png",1)</f>
        <v/>
      </c>
      <c r="S477" s="620" t="s">
        <v>1147</v>
      </c>
      <c r="T477" s="621"/>
      <c r="U477" s="629">
        <v>0.25</v>
      </c>
      <c r="V477" s="610"/>
      <c r="W477" s="709"/>
      <c r="X477" s="710"/>
      <c r="Y477" s="705"/>
      <c r="Z477" s="712"/>
      <c r="AA477" s="572"/>
      <c r="AB477" s="560"/>
    </row>
    <row r="478" ht="24.0" customHeight="1">
      <c r="A478" s="556"/>
      <c r="B478" s="577"/>
      <c r="C478" s="709"/>
      <c r="D478" s="715"/>
      <c r="E478" s="705"/>
      <c r="F478" s="712"/>
      <c r="G478" s="609"/>
      <c r="H478" s="623"/>
      <c r="I478" s="630" t="s">
        <v>1068</v>
      </c>
      <c r="J478" s="625"/>
      <c r="K478" s="631">
        <v>0.25</v>
      </c>
      <c r="L478" s="610"/>
      <c r="M478" s="623"/>
      <c r="N478" s="630" t="s">
        <v>1068</v>
      </c>
      <c r="O478" s="625"/>
      <c r="P478" s="631">
        <v>0.25</v>
      </c>
      <c r="Q478" s="610"/>
      <c r="R478" s="623"/>
      <c r="S478" s="630" t="s">
        <v>1068</v>
      </c>
      <c r="T478" s="625"/>
      <c r="U478" s="631">
        <v>0.25</v>
      </c>
      <c r="V478" s="610"/>
      <c r="W478" s="709"/>
      <c r="X478" s="715"/>
      <c r="Y478" s="705"/>
      <c r="Z478" s="712"/>
      <c r="AA478" s="572"/>
      <c r="AB478" s="560"/>
    </row>
    <row r="479" ht="24.0" customHeight="1">
      <c r="A479" s="556"/>
      <c r="B479" s="577"/>
      <c r="C479" s="709"/>
      <c r="D479" s="715"/>
      <c r="E479" s="705"/>
      <c r="F479" s="711"/>
      <c r="G479" s="636"/>
      <c r="H479" s="632" t="str">
        <f>IMAGE("https://raw.githubusercontent.com/msikma/pokesprite/master/items-outline/hold-item/lucky-egg.png",1)</f>
        <v/>
      </c>
      <c r="I479" s="633" t="s">
        <v>1071</v>
      </c>
      <c r="J479" s="634"/>
      <c r="K479" s="635">
        <v>0.05</v>
      </c>
      <c r="L479" s="610"/>
      <c r="M479" s="632" t="str">
        <f>IMAGE("https://raw.githubusercontent.com/msikma/pokesprite/master/items-outline/hold-item/lucky-egg.png",1)</f>
        <v/>
      </c>
      <c r="N479" s="633" t="s">
        <v>1071</v>
      </c>
      <c r="O479" s="634"/>
      <c r="P479" s="635">
        <v>0.05</v>
      </c>
      <c r="Q479" s="610"/>
      <c r="R479" s="632" t="str">
        <f>IMAGE("https://raw.githubusercontent.com/msikma/pokesprite/master/items-outline/hold-item/lucky-egg.png",1)</f>
        <v/>
      </c>
      <c r="S479" s="633" t="s">
        <v>1071</v>
      </c>
      <c r="T479" s="634"/>
      <c r="U479" s="635">
        <v>0.05</v>
      </c>
      <c r="V479" s="610"/>
      <c r="W479" s="709"/>
      <c r="X479" s="715"/>
      <c r="Y479" s="705"/>
      <c r="Z479" s="711"/>
      <c r="AA479" s="572"/>
      <c r="AB479" s="560"/>
    </row>
    <row r="480" ht="24.0" customHeight="1">
      <c r="A480" s="556"/>
      <c r="B480" s="577"/>
      <c r="C480" s="709"/>
      <c r="D480" s="715"/>
      <c r="E480" s="705"/>
      <c r="F480" s="711"/>
      <c r="G480" s="636"/>
      <c r="H480" s="637" t="str">
        <f>IMAGE("https://raw.githubusercontent.com/msikma/pokesprite/master/items-outline/hold-item/life-orb.png",1)</f>
        <v/>
      </c>
      <c r="I480" s="638" t="s">
        <v>1158</v>
      </c>
      <c r="J480" s="639"/>
      <c r="K480" s="640">
        <v>0.04</v>
      </c>
      <c r="L480" s="610"/>
      <c r="M480" s="637" t="str">
        <f>IMAGE("https://raw.githubusercontent.com/msikma/pokesprite/master/items-outline/hold-item/life-orb.png",1)</f>
        <v/>
      </c>
      <c r="N480" s="638" t="s">
        <v>1158</v>
      </c>
      <c r="O480" s="639"/>
      <c r="P480" s="640">
        <v>0.04</v>
      </c>
      <c r="Q480" s="610"/>
      <c r="R480" s="637" t="str">
        <f>IMAGE("https://raw.githubusercontent.com/msikma/pokesprite/master/items-outline/hold-item/life-orb.png",1)</f>
        <v/>
      </c>
      <c r="S480" s="638" t="s">
        <v>1158</v>
      </c>
      <c r="T480" s="639"/>
      <c r="U480" s="640">
        <v>0.04</v>
      </c>
      <c r="V480" s="610"/>
      <c r="W480" s="709"/>
      <c r="X480" s="715"/>
      <c r="Y480" s="705"/>
      <c r="Z480" s="711"/>
      <c r="AA480" s="572"/>
      <c r="AB480" s="560"/>
    </row>
    <row r="481" ht="24.75" customHeight="1">
      <c r="A481" s="556"/>
      <c r="B481" s="577"/>
      <c r="C481" s="709"/>
      <c r="D481" s="715"/>
      <c r="E481" s="705"/>
      <c r="F481" s="711"/>
      <c r="G481" s="645"/>
      <c r="H481" s="641"/>
      <c r="I481" s="642" t="s">
        <v>1158</v>
      </c>
      <c r="J481" s="643"/>
      <c r="K481" s="644">
        <v>0.01</v>
      </c>
      <c r="L481" s="646"/>
      <c r="M481" s="641"/>
      <c r="N481" s="642" t="s">
        <v>1158</v>
      </c>
      <c r="O481" s="643"/>
      <c r="P481" s="644">
        <v>0.01</v>
      </c>
      <c r="Q481" s="646"/>
      <c r="R481" s="641"/>
      <c r="S481" s="642" t="s">
        <v>1158</v>
      </c>
      <c r="T481" s="643"/>
      <c r="U481" s="644">
        <v>0.01</v>
      </c>
      <c r="V481" s="646"/>
      <c r="W481" s="709"/>
      <c r="X481" s="715"/>
      <c r="Y481" s="705"/>
      <c r="Z481" s="711"/>
      <c r="AA481" s="572"/>
      <c r="AB481" s="560"/>
    </row>
    <row r="482" ht="60.0" customHeight="1">
      <c r="A482" s="556"/>
      <c r="B482" s="577"/>
      <c r="C482" s="680" t="s">
        <v>1169</v>
      </c>
      <c r="Z482" s="588"/>
      <c r="AA482" s="648"/>
      <c r="AB482" s="560"/>
    </row>
    <row r="483" ht="37.5" customHeight="1">
      <c r="A483" s="556"/>
      <c r="B483" s="577"/>
      <c r="C483" s="703"/>
      <c r="D483" s="704"/>
      <c r="E483" s="705"/>
      <c r="F483" s="706"/>
      <c r="G483" s="593"/>
      <c r="H483" s="590" t="s">
        <v>269</v>
      </c>
      <c r="I483" s="168"/>
      <c r="J483" s="591"/>
      <c r="K483" s="592" t="str">
        <f t="array" ref="K483">IFERROR(VLOOKUP(H483,Dex!$B$3:$N689,2,FALSE),"")</f>
        <v/>
      </c>
      <c r="L483" s="594"/>
      <c r="M483" s="590" t="s">
        <v>985</v>
      </c>
      <c r="N483" s="168"/>
      <c r="O483" s="591"/>
      <c r="P483" s="592" t="str">
        <f t="array" ref="P483">IFERROR(VLOOKUP(M483,Dex!$B$3:$N689,2,FALSE),"")</f>
        <v/>
      </c>
      <c r="Q483" s="594"/>
      <c r="R483" s="590" t="s">
        <v>885</v>
      </c>
      <c r="S483" s="168"/>
      <c r="T483" s="591"/>
      <c r="U483" s="592" t="str">
        <f t="array" ref="U483">IFERROR(VLOOKUP(R483,Dex!$B$3:$N689,2,FALSE),"")</f>
        <v/>
      </c>
      <c r="V483" s="594"/>
      <c r="W483" s="703"/>
      <c r="X483" s="704"/>
      <c r="Y483" s="705"/>
      <c r="Z483" s="706"/>
      <c r="AA483" s="572"/>
      <c r="AB483" s="560"/>
    </row>
    <row r="484">
      <c r="A484" s="595"/>
      <c r="B484" s="596"/>
      <c r="C484" s="703"/>
      <c r="D484" s="704"/>
      <c r="E484" s="705"/>
      <c r="F484" s="706"/>
      <c r="G484" s="601"/>
      <c r="H484" s="597" t="s">
        <v>1056</v>
      </c>
      <c r="I484" s="598"/>
      <c r="J484" s="599"/>
      <c r="K484" s="600" t="s">
        <v>1057</v>
      </c>
      <c r="L484" s="602"/>
      <c r="M484" s="597" t="s">
        <v>1056</v>
      </c>
      <c r="N484" s="598"/>
      <c r="O484" s="599"/>
      <c r="P484" s="600" t="s">
        <v>1057</v>
      </c>
      <c r="Q484" s="602"/>
      <c r="R484" s="597" t="s">
        <v>1056</v>
      </c>
      <c r="S484" s="598"/>
      <c r="T484" s="599"/>
      <c r="U484" s="600" t="s">
        <v>1057</v>
      </c>
      <c r="V484" s="602"/>
      <c r="W484" s="703"/>
      <c r="X484" s="704"/>
      <c r="Y484" s="705"/>
      <c r="Z484" s="706"/>
      <c r="AA484" s="603"/>
      <c r="AB484" s="604"/>
    </row>
    <row r="485" ht="24.0" customHeight="1">
      <c r="A485" s="556"/>
      <c r="B485" s="577"/>
      <c r="C485" s="703"/>
      <c r="D485" s="704"/>
      <c r="E485" s="705"/>
      <c r="F485" s="706"/>
      <c r="G485" s="609"/>
      <c r="H485" s="605" t="str">
        <f>IMAGE("https://raw.githubusercontent.com/msikma/pokesprite/master/items-outline/valuable-item/nugget.png",1)</f>
        <v/>
      </c>
      <c r="I485" s="606" t="s">
        <v>1084</v>
      </c>
      <c r="J485" s="607"/>
      <c r="K485" s="608">
        <v>1.0</v>
      </c>
      <c r="L485" s="610"/>
      <c r="M485" s="605" t="str">
        <f>IMAGE("https://raw.githubusercontent.com/msikma/pokesprite/master/items-outline/valuable-item/star-piece.png",1)</f>
        <v/>
      </c>
      <c r="N485" s="606" t="s">
        <v>1108</v>
      </c>
      <c r="O485" s="607"/>
      <c r="P485" s="608">
        <v>1.0</v>
      </c>
      <c r="Q485" s="610"/>
      <c r="R485" s="605" t="str">
        <f>IMAGE("https://raw.githubusercontent.com/msikma/pokesprite/master/items-outline/valuable-item/star-piece.png",1)</f>
        <v/>
      </c>
      <c r="S485" s="606" t="s">
        <v>1108</v>
      </c>
      <c r="T485" s="607"/>
      <c r="U485" s="608">
        <v>1.0</v>
      </c>
      <c r="V485" s="716"/>
      <c r="W485" s="703"/>
      <c r="X485" s="704"/>
      <c r="Y485" s="705"/>
      <c r="Z485" s="706"/>
      <c r="AA485" s="572"/>
      <c r="AB485" s="560"/>
    </row>
    <row r="486" ht="24.0" customHeight="1">
      <c r="A486" s="556"/>
      <c r="B486" s="577"/>
      <c r="C486" s="707"/>
      <c r="D486" s="704"/>
      <c r="E486" s="705"/>
      <c r="F486" s="708"/>
      <c r="G486" s="609"/>
      <c r="H486" s="611" t="str">
        <f>IMAGE("https://raw.githubusercontent.com/msikma/pokesprite/master/items-outline/valuable-item/big-nugget.png",1)</f>
        <v/>
      </c>
      <c r="I486" s="612" t="s">
        <v>1131</v>
      </c>
      <c r="J486" s="613"/>
      <c r="K486" s="614">
        <v>0.8</v>
      </c>
      <c r="L486" s="610"/>
      <c r="M486" s="611" t="str">
        <f>IMAGE("https://raw.githubusercontent.com/msikma/pokesprite/master/items-outline/valuable-item/big-nugget.png",1)</f>
        <v/>
      </c>
      <c r="N486" s="612" t="s">
        <v>1131</v>
      </c>
      <c r="O486" s="613"/>
      <c r="P486" s="614">
        <v>0.8</v>
      </c>
      <c r="Q486" s="610"/>
      <c r="R486" s="611" t="str">
        <f>IMAGE("https://raw.githubusercontent.com/msikma/pokesprite/master/items-outline/valuable-item/big-nugget.png",1)</f>
        <v/>
      </c>
      <c r="S486" s="612" t="s">
        <v>1131</v>
      </c>
      <c r="T486" s="613"/>
      <c r="U486" s="614">
        <v>0.8</v>
      </c>
      <c r="V486" s="610"/>
      <c r="W486" s="707"/>
      <c r="X486" s="704"/>
      <c r="Y486" s="705"/>
      <c r="Z486" s="708"/>
      <c r="AA486" s="572"/>
      <c r="AB486" s="560"/>
    </row>
    <row r="487" ht="24.0" customHeight="1">
      <c r="A487" s="556"/>
      <c r="B487" s="577"/>
      <c r="C487" s="709"/>
      <c r="D487" s="710"/>
      <c r="E487" s="705"/>
      <c r="F487" s="711"/>
      <c r="G487" s="609"/>
      <c r="H487" s="615" t="str">
        <f>IMAGE("https://raw.githubusercontent.com/msikma/pokesprite/master/items-outline/ball/ultra.png",1)</f>
        <v/>
      </c>
      <c r="I487" s="616" t="s">
        <v>1091</v>
      </c>
      <c r="J487" s="617"/>
      <c r="K487" s="618">
        <v>0.8</v>
      </c>
      <c r="L487" s="610"/>
      <c r="M487" s="615" t="str">
        <f>IMAGE("https://raw.githubusercontent.com/msikma/pokesprite/master/items-outline/ball/ultra.png",1)</f>
        <v/>
      </c>
      <c r="N487" s="616" t="s">
        <v>1091</v>
      </c>
      <c r="O487" s="617"/>
      <c r="P487" s="618">
        <v>0.8</v>
      </c>
      <c r="Q487" s="610"/>
      <c r="R487" s="615" t="str">
        <f>IMAGE("https://raw.githubusercontent.com/msikma/pokesprite/master/items-outline/ball/ultra.png",1)</f>
        <v/>
      </c>
      <c r="S487" s="616" t="s">
        <v>1091</v>
      </c>
      <c r="T487" s="617"/>
      <c r="U487" s="618">
        <v>0.8</v>
      </c>
      <c r="V487" s="610"/>
      <c r="W487" s="709"/>
      <c r="X487" s="710"/>
      <c r="Y487" s="705"/>
      <c r="Z487" s="711"/>
      <c r="AA487" s="572"/>
      <c r="AB487" s="560"/>
    </row>
    <row r="488" ht="24.0" customHeight="1">
      <c r="A488" s="556"/>
      <c r="B488" s="577"/>
      <c r="C488" s="709"/>
      <c r="D488" s="721"/>
      <c r="E488" s="722"/>
      <c r="F488" s="712"/>
      <c r="G488" s="609"/>
      <c r="H488" s="619" t="str">
        <f>IMAGE("https://raw.githubusercontent.com/msikma/pokesprite/master/items/other-item/wishing-piece.png",1)</f>
        <v/>
      </c>
      <c r="I488" s="620" t="s">
        <v>1068</v>
      </c>
      <c r="J488" s="621"/>
      <c r="K488" s="683">
        <v>0.5</v>
      </c>
      <c r="L488" s="610"/>
      <c r="M488" s="619" t="str">
        <f>IMAGE("https://raw.githubusercontent.com/msikma/pokesprite/master/items/other-item/wishing-piece.png",1)</f>
        <v/>
      </c>
      <c r="N488" s="620" t="s">
        <v>1068</v>
      </c>
      <c r="O488" s="621"/>
      <c r="P488" s="683">
        <v>0.5</v>
      </c>
      <c r="Q488" s="610"/>
      <c r="R488" s="619" t="str">
        <f>IMAGE("https://raw.githubusercontent.com/msikma/pokesprite/master/items/other-item/wishing-piece.png",1)</f>
        <v/>
      </c>
      <c r="S488" s="620" t="s">
        <v>1068</v>
      </c>
      <c r="T488" s="621"/>
      <c r="U488" s="683">
        <v>0.5</v>
      </c>
      <c r="V488" s="610"/>
      <c r="W488" s="709"/>
      <c r="X488" s="721"/>
      <c r="Y488" s="722"/>
      <c r="Z488" s="712"/>
      <c r="AA488" s="572"/>
      <c r="AB488" s="560"/>
    </row>
    <row r="489" ht="24.0" customHeight="1">
      <c r="A489" s="556"/>
      <c r="B489" s="577"/>
      <c r="C489" s="709"/>
      <c r="D489" s="710"/>
      <c r="E489" s="705"/>
      <c r="F489" s="712"/>
      <c r="G489" s="609"/>
      <c r="H489" s="649" t="str">
        <f>IMAGE("https://raw.githubusercontent.com/msikma/pokesprite/master/items-outline/berry/salac.png",1)</f>
        <v/>
      </c>
      <c r="I489" s="650" t="s">
        <v>1142</v>
      </c>
      <c r="J489" s="613"/>
      <c r="K489" s="627">
        <v>0.3</v>
      </c>
      <c r="L489" s="610"/>
      <c r="M489" s="649" t="str">
        <f>IMAGE("https://raw.githubusercontent.com/msikma/pokesprite/master/items-outline/berry/salac.png",1)</f>
        <v/>
      </c>
      <c r="N489" s="650" t="s">
        <v>1142</v>
      </c>
      <c r="O489" s="613"/>
      <c r="P489" s="627">
        <v>0.3</v>
      </c>
      <c r="Q489" s="610"/>
      <c r="R489" s="649" t="str">
        <f>IMAGE("https://raw.githubusercontent.com/msikma/pokesprite/master/items-outline/berry/salac.png",1)</f>
        <v/>
      </c>
      <c r="S489" s="650" t="s">
        <v>1142</v>
      </c>
      <c r="T489" s="613"/>
      <c r="U489" s="627">
        <v>0.3</v>
      </c>
      <c r="V489" s="610"/>
      <c r="W489" s="709"/>
      <c r="X489" s="710"/>
      <c r="Y489" s="705"/>
      <c r="Z489" s="712"/>
      <c r="AA489" s="572"/>
      <c r="AB489" s="560"/>
    </row>
    <row r="490" ht="24.0" customHeight="1">
      <c r="A490" s="556"/>
      <c r="B490" s="577"/>
      <c r="C490" s="709"/>
      <c r="D490" s="710"/>
      <c r="E490" s="705"/>
      <c r="F490" s="712"/>
      <c r="G490" s="609"/>
      <c r="H490" s="651" t="str">
        <f>IMAGE("https://raw.githubusercontent.com/msikma/pokesprite/master/items-outline/ball/heal.png",1)</f>
        <v/>
      </c>
      <c r="I490" s="723" t="s">
        <v>1066</v>
      </c>
      <c r="J490" s="617"/>
      <c r="K490" s="628">
        <v>0.3</v>
      </c>
      <c r="L490" s="610"/>
      <c r="M490" s="651" t="str">
        <f>IMAGE("https://raw.githubusercontent.com/msikma/pokesprite/master/items-outline/ball/heal.png",1)</f>
        <v/>
      </c>
      <c r="N490" s="723" t="s">
        <v>1066</v>
      </c>
      <c r="O490" s="617"/>
      <c r="P490" s="628">
        <v>0.3</v>
      </c>
      <c r="Q490" s="610"/>
      <c r="R490" s="651" t="str">
        <f>IMAGE("https://raw.githubusercontent.com/msikma/pokesprite/master/items-outline/ball/heal.png",1)</f>
        <v/>
      </c>
      <c r="S490" s="723" t="s">
        <v>1066</v>
      </c>
      <c r="T490" s="617"/>
      <c r="U490" s="628">
        <v>0.3</v>
      </c>
      <c r="V490" s="610"/>
      <c r="W490" s="709"/>
      <c r="X490" s="710"/>
      <c r="Y490" s="705"/>
      <c r="Z490" s="712"/>
      <c r="AA490" s="572"/>
      <c r="AB490" s="560"/>
    </row>
    <row r="491" ht="24.0" customHeight="1">
      <c r="A491" s="556"/>
      <c r="B491" s="577"/>
      <c r="C491" s="709"/>
      <c r="D491" s="710"/>
      <c r="E491" s="705"/>
      <c r="F491" s="712"/>
      <c r="G491" s="609"/>
      <c r="H491" s="653" t="str">
        <f>IMAGE("https://raw.githubusercontent.com/msikma/pokesprite/master/items-outline/berry/leppa.png",1)</f>
        <v/>
      </c>
      <c r="I491" s="654" t="s">
        <v>1067</v>
      </c>
      <c r="J491" s="621"/>
      <c r="K491" s="629">
        <v>0.25</v>
      </c>
      <c r="L491" s="610"/>
      <c r="M491" s="653" t="str">
        <f>IMAGE("https://raw.githubusercontent.com/msikma/pokesprite/master/items-outline/berry/leppa.png",1)</f>
        <v/>
      </c>
      <c r="N491" s="654" t="s">
        <v>1067</v>
      </c>
      <c r="O491" s="621"/>
      <c r="P491" s="629">
        <v>0.25</v>
      </c>
      <c r="Q491" s="610"/>
      <c r="R491" s="653" t="str">
        <f>IMAGE("https://raw.githubusercontent.com/msikma/pokesprite/master/items-outline/berry/leppa.png",1)</f>
        <v/>
      </c>
      <c r="S491" s="654" t="s">
        <v>1067</v>
      </c>
      <c r="T491" s="621"/>
      <c r="U491" s="629">
        <v>0.25</v>
      </c>
      <c r="V491" s="610"/>
      <c r="W491" s="709"/>
      <c r="X491" s="710"/>
      <c r="Y491" s="705"/>
      <c r="Z491" s="712"/>
      <c r="AA491" s="572"/>
      <c r="AB491" s="560"/>
    </row>
    <row r="492" ht="24.0" customHeight="1">
      <c r="A492" s="556"/>
      <c r="B492" s="577"/>
      <c r="C492" s="709"/>
      <c r="D492" s="715"/>
      <c r="E492" s="705"/>
      <c r="F492" s="712"/>
      <c r="G492" s="609"/>
      <c r="H492" s="655" t="str">
        <f t="shared" ref="H492:H493" si="49">IMAGE("https://raw.githubusercontent.com/msikma/pokesprite/master/items-outline/medicine/pp-max.png",1)</f>
        <v/>
      </c>
      <c r="I492" s="724" t="s">
        <v>1143</v>
      </c>
      <c r="J492" s="625"/>
      <c r="K492" s="631">
        <v>0.25</v>
      </c>
      <c r="L492" s="610"/>
      <c r="M492" s="655" t="str">
        <f t="shared" ref="M492:M495" si="50">IMAGE("https://raw.githubusercontent.com/msikma/pokesprite/master/items-outline/medicine/pp-max.png",1)</f>
        <v/>
      </c>
      <c r="N492" s="724" t="s">
        <v>1143</v>
      </c>
      <c r="O492" s="625"/>
      <c r="P492" s="631">
        <v>0.25</v>
      </c>
      <c r="Q492" s="610"/>
      <c r="R492" s="655" t="str">
        <f t="shared" ref="R492:R493" si="51">IMAGE("https://raw.githubusercontent.com/msikma/pokesprite/master/items-outline/medicine/pp-max.png",1)</f>
        <v/>
      </c>
      <c r="S492" s="724" t="s">
        <v>1143</v>
      </c>
      <c r="T492" s="625"/>
      <c r="U492" s="631">
        <v>0.25</v>
      </c>
      <c r="V492" s="610"/>
      <c r="W492" s="709"/>
      <c r="X492" s="715"/>
      <c r="Y492" s="705"/>
      <c r="Z492" s="712"/>
      <c r="AA492" s="572"/>
      <c r="AB492" s="560"/>
    </row>
    <row r="493" ht="24.0" customHeight="1">
      <c r="A493" s="556"/>
      <c r="B493" s="577"/>
      <c r="C493" s="709"/>
      <c r="D493" s="715"/>
      <c r="E493" s="705"/>
      <c r="F493" s="711"/>
      <c r="G493" s="636"/>
      <c r="H493" s="658" t="str">
        <f t="shared" si="49"/>
        <v/>
      </c>
      <c r="I493" s="659" t="s">
        <v>1143</v>
      </c>
      <c r="J493" s="634"/>
      <c r="K493" s="635">
        <v>0.05</v>
      </c>
      <c r="L493" s="610"/>
      <c r="M493" s="658" t="str">
        <f t="shared" si="50"/>
        <v/>
      </c>
      <c r="N493" s="659" t="s">
        <v>1143</v>
      </c>
      <c r="O493" s="634"/>
      <c r="P493" s="635">
        <v>0.05</v>
      </c>
      <c r="Q493" s="610"/>
      <c r="R493" s="658" t="str">
        <f t="shared" si="51"/>
        <v/>
      </c>
      <c r="S493" s="659" t="s">
        <v>1143</v>
      </c>
      <c r="T493" s="634"/>
      <c r="U493" s="635">
        <v>0.05</v>
      </c>
      <c r="V493" s="610"/>
      <c r="W493" s="709"/>
      <c r="X493" s="715"/>
      <c r="Y493" s="705"/>
      <c r="Z493" s="711"/>
      <c r="AA493" s="572"/>
      <c r="AB493" s="560"/>
    </row>
    <row r="494" ht="24.0" customHeight="1">
      <c r="A494" s="556"/>
      <c r="B494" s="577"/>
      <c r="C494" s="709"/>
      <c r="D494" s="715"/>
      <c r="E494" s="705"/>
      <c r="F494" s="711"/>
      <c r="G494" s="636"/>
      <c r="H494" s="660" t="str">
        <f>IMAGE("https://raw.githubusercontent.com/msikma/pokesprite/master/items-outline/hold-item/life-orb.png",1)</f>
        <v/>
      </c>
      <c r="I494" s="725" t="s">
        <v>1158</v>
      </c>
      <c r="J494" s="639"/>
      <c r="K494" s="640">
        <v>0.04</v>
      </c>
      <c r="L494" s="610"/>
      <c r="M494" s="660" t="str">
        <f t="shared" si="50"/>
        <v/>
      </c>
      <c r="N494" s="725" t="s">
        <v>1143</v>
      </c>
      <c r="O494" s="639"/>
      <c r="P494" s="640">
        <v>0.04</v>
      </c>
      <c r="Q494" s="610"/>
      <c r="R494" s="660" t="str">
        <f>IMAGE("https://raw.githubusercontent.com/msikma/pokesprite/master/items-outline/hold-item/life-orb.png",1)</f>
        <v/>
      </c>
      <c r="S494" s="725" t="s">
        <v>1158</v>
      </c>
      <c r="T494" s="639"/>
      <c r="U494" s="640">
        <v>0.04</v>
      </c>
      <c r="V494" s="610"/>
      <c r="W494" s="709"/>
      <c r="X494" s="715"/>
      <c r="Y494" s="705"/>
      <c r="Z494" s="711"/>
      <c r="AA494" s="572"/>
      <c r="AB494" s="560"/>
    </row>
    <row r="495" ht="24.75" customHeight="1">
      <c r="A495" s="556"/>
      <c r="B495" s="577"/>
      <c r="C495" s="709"/>
      <c r="D495" s="715"/>
      <c r="E495" s="705"/>
      <c r="F495" s="711"/>
      <c r="G495" s="645"/>
      <c r="H495" s="662"/>
      <c r="I495" s="663" t="s">
        <v>1158</v>
      </c>
      <c r="J495" s="643"/>
      <c r="K495" s="644">
        <v>0.01</v>
      </c>
      <c r="L495" s="646"/>
      <c r="M495" s="662" t="str">
        <f t="shared" si="50"/>
        <v/>
      </c>
      <c r="N495" s="663" t="s">
        <v>1143</v>
      </c>
      <c r="O495" s="643"/>
      <c r="P495" s="644">
        <v>0.01</v>
      </c>
      <c r="Q495" s="646"/>
      <c r="R495" s="662"/>
      <c r="S495" s="663" t="s">
        <v>1158</v>
      </c>
      <c r="T495" s="643"/>
      <c r="U495" s="644">
        <v>0.01</v>
      </c>
      <c r="V495" s="709"/>
      <c r="W495" s="709"/>
      <c r="X495" s="715"/>
      <c r="Y495" s="705"/>
      <c r="Z495" s="711"/>
      <c r="AA495" s="572"/>
      <c r="AB495" s="560"/>
    </row>
    <row r="496" ht="60.0" customHeight="1">
      <c r="A496" s="556"/>
      <c r="B496" s="577"/>
      <c r="C496" s="680" t="s">
        <v>1170</v>
      </c>
      <c r="Z496" s="588"/>
      <c r="AA496" s="572"/>
      <c r="AB496" s="560"/>
    </row>
    <row r="497" ht="37.5" customHeight="1">
      <c r="A497" s="556"/>
      <c r="B497" s="577"/>
      <c r="C497" s="703"/>
      <c r="D497" s="704"/>
      <c r="E497" s="705"/>
      <c r="F497" s="706"/>
      <c r="G497" s="593"/>
      <c r="H497" s="590" t="s">
        <v>1020</v>
      </c>
      <c r="I497" s="168"/>
      <c r="J497" s="591"/>
      <c r="K497" s="592" t="str">
        <f t="array" ref="K497">IFERROR(VLOOKUP(H497,Dex!$B$3:$N689,2,FALSE),"")</f>
        <v/>
      </c>
      <c r="L497" s="594"/>
      <c r="M497" s="590" t="s">
        <v>1018</v>
      </c>
      <c r="N497" s="168"/>
      <c r="O497" s="591"/>
      <c r="P497" s="592" t="str">
        <f t="array" ref="P497">IFERROR(VLOOKUP(M497,Dex!$B$3:$N689,2,FALSE),"")</f>
        <v/>
      </c>
      <c r="Q497" s="594"/>
      <c r="R497" s="590" t="s">
        <v>1021</v>
      </c>
      <c r="S497" s="168"/>
      <c r="T497" s="591"/>
      <c r="U497" s="592" t="str">
        <f t="array" ref="U497">IFERROR(VLOOKUP(R497,Dex!$B$3:$N689,2,FALSE),"")</f>
        <v/>
      </c>
      <c r="V497" s="594"/>
      <c r="W497" s="703"/>
      <c r="X497" s="704"/>
      <c r="Y497" s="705"/>
      <c r="Z497" s="706"/>
      <c r="AA497" s="572"/>
      <c r="AB497" s="560"/>
    </row>
    <row r="498">
      <c r="A498" s="595"/>
      <c r="B498" s="596"/>
      <c r="C498" s="703"/>
      <c r="D498" s="704"/>
      <c r="E498" s="705"/>
      <c r="F498" s="706"/>
      <c r="G498" s="601"/>
      <c r="H498" s="597" t="s">
        <v>1056</v>
      </c>
      <c r="I498" s="598"/>
      <c r="J498" s="599"/>
      <c r="K498" s="600" t="s">
        <v>1057</v>
      </c>
      <c r="L498" s="602"/>
      <c r="M498" s="597" t="s">
        <v>1056</v>
      </c>
      <c r="N498" s="598"/>
      <c r="O498" s="599"/>
      <c r="P498" s="600" t="s">
        <v>1057</v>
      </c>
      <c r="Q498" s="602"/>
      <c r="R498" s="597" t="s">
        <v>1056</v>
      </c>
      <c r="S498" s="598"/>
      <c r="T498" s="599"/>
      <c r="U498" s="600" t="s">
        <v>1057</v>
      </c>
      <c r="V498" s="602"/>
      <c r="W498" s="703"/>
      <c r="X498" s="704"/>
      <c r="Y498" s="705"/>
      <c r="Z498" s="706"/>
      <c r="AA498" s="603"/>
      <c r="AB498" s="604"/>
    </row>
    <row r="499" ht="24.0" customHeight="1">
      <c r="A499" s="556"/>
      <c r="B499" s="577"/>
      <c r="C499" s="703"/>
      <c r="D499" s="704"/>
      <c r="E499" s="705"/>
      <c r="F499" s="706"/>
      <c r="G499" s="609"/>
      <c r="H499" s="605" t="str">
        <f>IMAGE("https://raw.githubusercontent.com/msikma/pokesprite/master/items-outline/valuable-item/nugget.png",1)</f>
        <v/>
      </c>
      <c r="I499" s="606" t="s">
        <v>1084</v>
      </c>
      <c r="J499" s="607"/>
      <c r="K499" s="608">
        <v>1.0</v>
      </c>
      <c r="L499" s="610"/>
      <c r="M499" s="605" t="str">
        <f>IMAGE("https://raw.githubusercontent.com/msikma/pokesprite/master/items-outline/valuable-item/star-piece.png",1)</f>
        <v/>
      </c>
      <c r="N499" s="606" t="s">
        <v>1108</v>
      </c>
      <c r="O499" s="607"/>
      <c r="P499" s="608">
        <v>1.0</v>
      </c>
      <c r="Q499" s="610"/>
      <c r="R499" s="605" t="str">
        <f>IMAGE("https://raw.githubusercontent.com/msikma/pokesprite/master/items-outline/valuable-item/star-piece.png",1)</f>
        <v/>
      </c>
      <c r="S499" s="606" t="s">
        <v>1108</v>
      </c>
      <c r="T499" s="607"/>
      <c r="U499" s="608">
        <v>1.0</v>
      </c>
      <c r="V499" s="716"/>
      <c r="W499" s="703"/>
      <c r="X499" s="704"/>
      <c r="Y499" s="705"/>
      <c r="Z499" s="706"/>
      <c r="AA499" s="572"/>
      <c r="AB499" s="560"/>
    </row>
    <row r="500" ht="24.0" customHeight="1">
      <c r="A500" s="556"/>
      <c r="B500" s="577"/>
      <c r="C500" s="707"/>
      <c r="D500" s="704"/>
      <c r="E500" s="705"/>
      <c r="F500" s="708"/>
      <c r="G500" s="609"/>
      <c r="H500" s="611" t="str">
        <f>IMAGE("https://raw.githubusercontent.com/msikma/pokesprite/master/items-outline/valuable-item/big-nugget.png",1)</f>
        <v/>
      </c>
      <c r="I500" s="612" t="s">
        <v>1131</v>
      </c>
      <c r="J500" s="613"/>
      <c r="K500" s="614">
        <v>0.8</v>
      </c>
      <c r="L500" s="610"/>
      <c r="M500" s="611" t="str">
        <f>IMAGE("https://raw.githubusercontent.com/msikma/pokesprite/master/items-outline/valuable-item/big-nugget.png",1)</f>
        <v/>
      </c>
      <c r="N500" s="612" t="s">
        <v>1131</v>
      </c>
      <c r="O500" s="613"/>
      <c r="P500" s="614">
        <v>0.8</v>
      </c>
      <c r="Q500" s="610"/>
      <c r="R500" s="611" t="str">
        <f>IMAGE("https://raw.githubusercontent.com/msikma/pokesprite/master/items-outline/valuable-item/big-nugget.png",1)</f>
        <v/>
      </c>
      <c r="S500" s="612" t="s">
        <v>1131</v>
      </c>
      <c r="T500" s="613"/>
      <c r="U500" s="614">
        <v>0.8</v>
      </c>
      <c r="V500" s="610"/>
      <c r="W500" s="707"/>
      <c r="X500" s="704"/>
      <c r="Y500" s="705"/>
      <c r="Z500" s="708"/>
      <c r="AA500" s="572"/>
      <c r="AB500" s="560"/>
    </row>
    <row r="501" ht="24.0" customHeight="1">
      <c r="A501" s="556"/>
      <c r="B501" s="577"/>
      <c r="C501" s="709"/>
      <c r="D501" s="710"/>
      <c r="E501" s="705"/>
      <c r="F501" s="711"/>
      <c r="G501" s="609"/>
      <c r="H501" s="615" t="str">
        <f>IMAGE("https://raw.githubusercontent.com/msikma/pokesprite/master/items-outline/ball/ultra.png",1)</f>
        <v/>
      </c>
      <c r="I501" s="616" t="s">
        <v>1091</v>
      </c>
      <c r="J501" s="617"/>
      <c r="K501" s="618">
        <v>0.8</v>
      </c>
      <c r="L501" s="610"/>
      <c r="M501" s="615" t="str">
        <f>IMAGE("https://raw.githubusercontent.com/msikma/pokesprite/master/items-outline/ball/ultra.png",1)</f>
        <v/>
      </c>
      <c r="N501" s="616" t="s">
        <v>1091</v>
      </c>
      <c r="O501" s="617"/>
      <c r="P501" s="618">
        <v>0.8</v>
      </c>
      <c r="Q501" s="610"/>
      <c r="R501" s="615" t="str">
        <f>IMAGE("https://raw.githubusercontent.com/msikma/pokesprite/master/items-outline/ball/ultra.png",1)</f>
        <v/>
      </c>
      <c r="S501" s="616" t="s">
        <v>1091</v>
      </c>
      <c r="T501" s="617"/>
      <c r="U501" s="618">
        <v>0.8</v>
      </c>
      <c r="V501" s="610"/>
      <c r="W501" s="709"/>
      <c r="X501" s="710"/>
      <c r="Y501" s="705"/>
      <c r="Z501" s="711"/>
      <c r="AA501" s="572"/>
      <c r="AB501" s="560"/>
    </row>
    <row r="502" ht="24.0" customHeight="1">
      <c r="A502" s="556"/>
      <c r="B502" s="577"/>
      <c r="C502" s="709"/>
      <c r="D502" s="721"/>
      <c r="E502" s="722"/>
      <c r="F502" s="712"/>
      <c r="G502" s="609"/>
      <c r="H502" s="619" t="str">
        <f>IMAGE("https://raw.githubusercontent.com/msikma/pokesprite/master/items/other-item/wishing-piece.png",1)</f>
        <v/>
      </c>
      <c r="I502" s="620" t="s">
        <v>1068</v>
      </c>
      <c r="J502" s="621"/>
      <c r="K502" s="683">
        <v>0.5</v>
      </c>
      <c r="L502" s="610"/>
      <c r="M502" s="619" t="str">
        <f>IMAGE("https://raw.githubusercontent.com/msikma/pokesprite/master/items/other-item/wishing-piece.png",1)</f>
        <v/>
      </c>
      <c r="N502" s="620" t="s">
        <v>1068</v>
      </c>
      <c r="O502" s="621"/>
      <c r="P502" s="683">
        <v>0.5</v>
      </c>
      <c r="Q502" s="610"/>
      <c r="R502" s="619" t="str">
        <f>IMAGE("https://raw.githubusercontent.com/msikma/pokesprite/master/items/other-item/wishing-piece.png",1)</f>
        <v/>
      </c>
      <c r="S502" s="620" t="s">
        <v>1068</v>
      </c>
      <c r="T502" s="621"/>
      <c r="U502" s="683">
        <v>0.5</v>
      </c>
      <c r="V502" s="610"/>
      <c r="W502" s="709"/>
      <c r="X502" s="721"/>
      <c r="Y502" s="722"/>
      <c r="Z502" s="712"/>
      <c r="AA502" s="572"/>
      <c r="AB502" s="560"/>
    </row>
    <row r="503" ht="24.0" customHeight="1">
      <c r="A503" s="556"/>
      <c r="B503" s="577"/>
      <c r="C503" s="709"/>
      <c r="D503" s="710"/>
      <c r="E503" s="705"/>
      <c r="F503" s="712"/>
      <c r="G503" s="609"/>
      <c r="H503" s="649" t="str">
        <f>IMAGE("https://raw.githubusercontent.com/msikma/pokesprite/master/items-outline/berry/salac.png",1)</f>
        <v/>
      </c>
      <c r="I503" s="650" t="s">
        <v>1142</v>
      </c>
      <c r="J503" s="613"/>
      <c r="K503" s="627">
        <v>0.3</v>
      </c>
      <c r="L503" s="610"/>
      <c r="M503" s="649" t="str">
        <f>IMAGE("https://raw.githubusercontent.com/msikma/pokesprite/master/items-outline/berry/salac.png",1)</f>
        <v/>
      </c>
      <c r="N503" s="650" t="s">
        <v>1142</v>
      </c>
      <c r="O503" s="613"/>
      <c r="P503" s="627">
        <v>0.3</v>
      </c>
      <c r="Q503" s="610"/>
      <c r="R503" s="649" t="str">
        <f>IMAGE("https://raw.githubusercontent.com/msikma/pokesprite/master/items-outline/berry/salac.png",1)</f>
        <v/>
      </c>
      <c r="S503" s="650" t="s">
        <v>1142</v>
      </c>
      <c r="T503" s="613"/>
      <c r="U503" s="627">
        <v>0.3</v>
      </c>
      <c r="V503" s="610"/>
      <c r="W503" s="709"/>
      <c r="X503" s="710"/>
      <c r="Y503" s="705"/>
      <c r="Z503" s="712"/>
      <c r="AA503" s="572"/>
      <c r="AB503" s="560"/>
    </row>
    <row r="504" ht="24.0" customHeight="1">
      <c r="A504" s="556"/>
      <c r="B504" s="577"/>
      <c r="C504" s="709"/>
      <c r="D504" s="710"/>
      <c r="E504" s="705"/>
      <c r="F504" s="712"/>
      <c r="G504" s="609"/>
      <c r="H504" s="651" t="str">
        <f>IMAGE("https://raw.githubusercontent.com/msikma/pokesprite/master/items-outline/ball/heal.png",1)</f>
        <v/>
      </c>
      <c r="I504" s="723" t="s">
        <v>1066</v>
      </c>
      <c r="J504" s="617"/>
      <c r="K504" s="628">
        <v>0.3</v>
      </c>
      <c r="L504" s="610"/>
      <c r="M504" s="651" t="str">
        <f>IMAGE("https://raw.githubusercontent.com/msikma/pokesprite/master/items-outline/ball/heal.png",1)</f>
        <v/>
      </c>
      <c r="N504" s="723" t="s">
        <v>1066</v>
      </c>
      <c r="O504" s="617"/>
      <c r="P504" s="628">
        <v>0.3</v>
      </c>
      <c r="Q504" s="610"/>
      <c r="R504" s="651" t="str">
        <f>IMAGE("https://raw.githubusercontent.com/msikma/pokesprite/master/items-outline/ball/heal.png",1)</f>
        <v/>
      </c>
      <c r="S504" s="723" t="s">
        <v>1066</v>
      </c>
      <c r="T504" s="617"/>
      <c r="U504" s="628">
        <v>0.3</v>
      </c>
      <c r="V504" s="610"/>
      <c r="W504" s="709"/>
      <c r="X504" s="710"/>
      <c r="Y504" s="705"/>
      <c r="Z504" s="712"/>
      <c r="AA504" s="572"/>
      <c r="AB504" s="560"/>
    </row>
    <row r="505" ht="24.0" customHeight="1">
      <c r="A505" s="556"/>
      <c r="B505" s="577"/>
      <c r="C505" s="709"/>
      <c r="D505" s="710"/>
      <c r="E505" s="705"/>
      <c r="F505" s="712"/>
      <c r="G505" s="609"/>
      <c r="H505" s="653" t="str">
        <f>IMAGE("https://raw.githubusercontent.com/msikma/pokesprite/master/items-outline/berry/leppa.png",1)</f>
        <v/>
      </c>
      <c r="I505" s="654" t="s">
        <v>1067</v>
      </c>
      <c r="J505" s="621"/>
      <c r="K505" s="629">
        <v>0.25</v>
      </c>
      <c r="L505" s="610"/>
      <c r="M505" s="653" t="str">
        <f>IMAGE("https://raw.githubusercontent.com/msikma/pokesprite/master/items-outline/berry/leppa.png",1)</f>
        <v/>
      </c>
      <c r="N505" s="654" t="s">
        <v>1067</v>
      </c>
      <c r="O505" s="621"/>
      <c r="P505" s="629">
        <v>0.25</v>
      </c>
      <c r="Q505" s="610"/>
      <c r="R505" s="653" t="str">
        <f>IMAGE("https://raw.githubusercontent.com/msikma/pokesprite/master/items-outline/berry/leppa.png",1)</f>
        <v/>
      </c>
      <c r="S505" s="654" t="s">
        <v>1067</v>
      </c>
      <c r="T505" s="621"/>
      <c r="U505" s="629">
        <v>0.25</v>
      </c>
      <c r="V505" s="610"/>
      <c r="W505" s="709"/>
      <c r="X505" s="710"/>
      <c r="Y505" s="705"/>
      <c r="Z505" s="712"/>
      <c r="AA505" s="572"/>
      <c r="AB505" s="560"/>
    </row>
    <row r="506" ht="24.0" customHeight="1">
      <c r="A506" s="556"/>
      <c r="B506" s="577"/>
      <c r="C506" s="709"/>
      <c r="D506" s="715"/>
      <c r="E506" s="705"/>
      <c r="F506" s="712"/>
      <c r="G506" s="609"/>
      <c r="H506" s="655" t="str">
        <f t="shared" ref="H506:H507" si="52">IMAGE("https://raw.githubusercontent.com/msikma/pokesprite/master/items-outline/medicine/pp-max.png",1)</f>
        <v/>
      </c>
      <c r="I506" s="724" t="s">
        <v>1143</v>
      </c>
      <c r="J506" s="625"/>
      <c r="K506" s="631">
        <v>0.25</v>
      </c>
      <c r="L506" s="610"/>
      <c r="M506" s="655" t="str">
        <f t="shared" ref="M506:M507" si="53">IMAGE("https://raw.githubusercontent.com/msikma/pokesprite/master/items-outline/medicine/pp-max.png",1)</f>
        <v/>
      </c>
      <c r="N506" s="724" t="s">
        <v>1143</v>
      </c>
      <c r="O506" s="625"/>
      <c r="P506" s="631">
        <v>0.25</v>
      </c>
      <c r="Q506" s="610"/>
      <c r="R506" s="655" t="str">
        <f t="shared" ref="R506:R507" si="54">IMAGE("https://raw.githubusercontent.com/msikma/pokesprite/master/items-outline/medicine/pp-max.png",1)</f>
        <v/>
      </c>
      <c r="S506" s="724" t="s">
        <v>1143</v>
      </c>
      <c r="T506" s="625"/>
      <c r="U506" s="631">
        <v>0.25</v>
      </c>
      <c r="V506" s="610"/>
      <c r="W506" s="709"/>
      <c r="X506" s="715"/>
      <c r="Y506" s="705"/>
      <c r="Z506" s="712"/>
      <c r="AA506" s="572"/>
      <c r="AB506" s="560"/>
    </row>
    <row r="507" ht="24.0" customHeight="1">
      <c r="A507" s="556"/>
      <c r="B507" s="577"/>
      <c r="C507" s="709"/>
      <c r="D507" s="715"/>
      <c r="E507" s="705"/>
      <c r="F507" s="711"/>
      <c r="G507" s="636"/>
      <c r="H507" s="658" t="str">
        <f t="shared" si="52"/>
        <v/>
      </c>
      <c r="I507" s="659" t="s">
        <v>1143</v>
      </c>
      <c r="J507" s="634"/>
      <c r="K507" s="635">
        <v>0.05</v>
      </c>
      <c r="L507" s="610"/>
      <c r="M507" s="658" t="str">
        <f t="shared" si="53"/>
        <v/>
      </c>
      <c r="N507" s="659" t="s">
        <v>1143</v>
      </c>
      <c r="O507" s="634"/>
      <c r="P507" s="635">
        <v>0.05</v>
      </c>
      <c r="Q507" s="610"/>
      <c r="R507" s="658" t="str">
        <f t="shared" si="54"/>
        <v/>
      </c>
      <c r="S507" s="659" t="s">
        <v>1143</v>
      </c>
      <c r="T507" s="634"/>
      <c r="U507" s="635">
        <v>0.05</v>
      </c>
      <c r="V507" s="610"/>
      <c r="W507" s="709"/>
      <c r="X507" s="715"/>
      <c r="Y507" s="705"/>
      <c r="Z507" s="711"/>
      <c r="AA507" s="572"/>
      <c r="AB507" s="560"/>
    </row>
    <row r="508" ht="24.0" customHeight="1">
      <c r="A508" s="556"/>
      <c r="B508" s="577"/>
      <c r="C508" s="709"/>
      <c r="D508" s="715"/>
      <c r="E508" s="705"/>
      <c r="F508" s="711"/>
      <c r="G508" s="636"/>
      <c r="H508" s="660" t="str">
        <f>IMAGE("https://raw.githubusercontent.com/msikma/pokesprite/master/items-outline/hold-item/life-orb.png",1)</f>
        <v/>
      </c>
      <c r="I508" s="725" t="s">
        <v>1158</v>
      </c>
      <c r="J508" s="639"/>
      <c r="K508" s="640">
        <v>0.04</v>
      </c>
      <c r="L508" s="610"/>
      <c r="M508" s="660" t="str">
        <f>IMAGE("https://raw.githubusercontent.com/msikma/pokesprite/master/items-outline/hold-item/life-orb.png",1)</f>
        <v/>
      </c>
      <c r="N508" s="725" t="s">
        <v>1158</v>
      </c>
      <c r="O508" s="639"/>
      <c r="P508" s="640">
        <v>0.04</v>
      </c>
      <c r="Q508" s="610"/>
      <c r="R508" s="660" t="str">
        <f>IMAGE("https://raw.githubusercontent.com/msikma/pokesprite/master/items-outline/hold-item/life-orb.png",1)</f>
        <v/>
      </c>
      <c r="S508" s="725" t="s">
        <v>1158</v>
      </c>
      <c r="T508" s="639"/>
      <c r="U508" s="640">
        <v>0.04</v>
      </c>
      <c r="V508" s="610"/>
      <c r="W508" s="709"/>
      <c r="X508" s="715"/>
      <c r="Y508" s="705"/>
      <c r="Z508" s="711"/>
      <c r="AA508" s="572"/>
      <c r="AB508" s="560"/>
    </row>
    <row r="509" ht="24.75" customHeight="1">
      <c r="A509" s="556"/>
      <c r="B509" s="577"/>
      <c r="C509" s="709"/>
      <c r="D509" s="715"/>
      <c r="E509" s="705"/>
      <c r="F509" s="711"/>
      <c r="G509" s="645"/>
      <c r="H509" s="641"/>
      <c r="I509" s="642" t="s">
        <v>1158</v>
      </c>
      <c r="J509" s="643"/>
      <c r="K509" s="644">
        <v>0.01</v>
      </c>
      <c r="L509" s="646"/>
      <c r="M509" s="641"/>
      <c r="N509" s="642" t="s">
        <v>1158</v>
      </c>
      <c r="O509" s="643"/>
      <c r="P509" s="644">
        <v>0.01</v>
      </c>
      <c r="Q509" s="646"/>
      <c r="R509" s="641"/>
      <c r="S509" s="642" t="s">
        <v>1158</v>
      </c>
      <c r="T509" s="643"/>
      <c r="U509" s="644">
        <v>0.01</v>
      </c>
      <c r="V509" s="709"/>
      <c r="W509" s="709"/>
      <c r="X509" s="715"/>
      <c r="Y509" s="705"/>
      <c r="Z509" s="711"/>
      <c r="AA509" s="572"/>
      <c r="AB509" s="560"/>
    </row>
    <row r="510" ht="60.0" customHeight="1">
      <c r="A510" s="556"/>
      <c r="B510" s="577"/>
      <c r="C510" s="680" t="s">
        <v>1171</v>
      </c>
      <c r="Z510" s="588"/>
      <c r="AA510" s="648"/>
      <c r="AB510" s="560"/>
    </row>
    <row r="511" ht="37.5" customHeight="1">
      <c r="A511" s="556"/>
      <c r="B511" s="577"/>
      <c r="C511" s="703"/>
      <c r="D511" s="704"/>
      <c r="E511" s="705"/>
      <c r="F511" s="706"/>
      <c r="G511" s="593"/>
      <c r="H511" s="590" t="s">
        <v>990</v>
      </c>
      <c r="I511" s="168"/>
      <c r="J511" s="591"/>
      <c r="K511" s="592" t="str">
        <f t="array" ref="K511">IFERROR(VLOOKUP(H511,Dex!$B$3:$N689,2,FALSE),"")</f>
        <v/>
      </c>
      <c r="L511" s="594"/>
      <c r="M511" s="590" t="s">
        <v>925</v>
      </c>
      <c r="N511" s="168"/>
      <c r="O511" s="591"/>
      <c r="P511" s="592" t="str">
        <f t="array" ref="P511">IFERROR(VLOOKUP(M511,Dex!$B$3:$N689,2,FALSE),"")</f>
        <v/>
      </c>
      <c r="Q511" s="594"/>
      <c r="R511" s="590" t="s">
        <v>987</v>
      </c>
      <c r="S511" s="168"/>
      <c r="T511" s="591"/>
      <c r="U511" s="592" t="str">
        <f t="array" ref="U511">IFERROR(VLOOKUP(R511,Dex!$B$3:$N689,2,FALSE),"")</f>
        <v/>
      </c>
      <c r="V511" s="594"/>
      <c r="W511" s="703"/>
      <c r="X511" s="704"/>
      <c r="Y511" s="705"/>
      <c r="Z511" s="706"/>
      <c r="AA511" s="572"/>
      <c r="AB511" s="560"/>
    </row>
    <row r="512">
      <c r="A512" s="595"/>
      <c r="B512" s="596"/>
      <c r="C512" s="703"/>
      <c r="D512" s="704"/>
      <c r="E512" s="705"/>
      <c r="F512" s="706"/>
      <c r="G512" s="601"/>
      <c r="H512" s="597" t="s">
        <v>1056</v>
      </c>
      <c r="I512" s="598"/>
      <c r="J512" s="599"/>
      <c r="K512" s="600" t="s">
        <v>1057</v>
      </c>
      <c r="L512" s="602"/>
      <c r="M512" s="597" t="s">
        <v>1056</v>
      </c>
      <c r="N512" s="598"/>
      <c r="O512" s="599"/>
      <c r="P512" s="600" t="s">
        <v>1057</v>
      </c>
      <c r="Q512" s="602"/>
      <c r="R512" s="597" t="s">
        <v>1056</v>
      </c>
      <c r="S512" s="598"/>
      <c r="T512" s="599"/>
      <c r="U512" s="600" t="s">
        <v>1057</v>
      </c>
      <c r="V512" s="602"/>
      <c r="W512" s="703"/>
      <c r="X512" s="704"/>
      <c r="Y512" s="705"/>
      <c r="Z512" s="706"/>
      <c r="AA512" s="603"/>
      <c r="AB512" s="604"/>
    </row>
    <row r="513" ht="24.0" customHeight="1">
      <c r="A513" s="556"/>
      <c r="B513" s="577"/>
      <c r="C513" s="703"/>
      <c r="D513" s="704"/>
      <c r="E513" s="705"/>
      <c r="F513" s="706"/>
      <c r="G513" s="609"/>
      <c r="H513" s="605" t="str">
        <f>IMAGE("https://raw.githubusercontent.com/msikma/pokesprite/master/items-outline/valuable-item/star-piece.png",1)</f>
        <v/>
      </c>
      <c r="I513" s="606" t="s">
        <v>1108</v>
      </c>
      <c r="J513" s="607"/>
      <c r="K513" s="608">
        <v>1.0</v>
      </c>
      <c r="L513" s="610"/>
      <c r="M513" s="605" t="str">
        <f>IMAGE("https://raw.githubusercontent.com/msikma/pokesprite/master/items-outline/valuable-item/star-piece.png",1)</f>
        <v/>
      </c>
      <c r="N513" s="606" t="s">
        <v>1108</v>
      </c>
      <c r="O513" s="607"/>
      <c r="P513" s="608">
        <v>1.0</v>
      </c>
      <c r="Q513" s="610"/>
      <c r="R513" s="605" t="str">
        <f>IMAGE("https://raw.githubusercontent.com/msikma/pokesprite/master/items-outline/valuable-item/star-piece.png",1)</f>
        <v/>
      </c>
      <c r="S513" s="606" t="s">
        <v>1108</v>
      </c>
      <c r="T513" s="607"/>
      <c r="U513" s="608">
        <v>1.0</v>
      </c>
      <c r="V513" s="716"/>
      <c r="W513" s="703"/>
      <c r="X513" s="704"/>
      <c r="Y513" s="705"/>
      <c r="Z513" s="706"/>
      <c r="AA513" s="572"/>
      <c r="AB513" s="560"/>
    </row>
    <row r="514" ht="24.0" customHeight="1">
      <c r="A514" s="556"/>
      <c r="B514" s="577"/>
      <c r="C514" s="707"/>
      <c r="D514" s="704"/>
      <c r="E514" s="705"/>
      <c r="F514" s="708"/>
      <c r="G514" s="609"/>
      <c r="H514" s="611" t="str">
        <f>IMAGE("https://raw.githubusercontent.com/msikma/pokesprite/master/items-outline/valuable-item/nugget.png",1)</f>
        <v/>
      </c>
      <c r="I514" s="612" t="s">
        <v>1084</v>
      </c>
      <c r="J514" s="613"/>
      <c r="K514" s="614">
        <v>0.8</v>
      </c>
      <c r="L514" s="610"/>
      <c r="M514" s="611" t="str">
        <f>IMAGE("https://raw.githubusercontent.com/msikma/pokesprite/master/items-outline/valuable-item/nugget.png",1)</f>
        <v/>
      </c>
      <c r="N514" s="612" t="s">
        <v>1084</v>
      </c>
      <c r="O514" s="613"/>
      <c r="P514" s="614">
        <v>0.8</v>
      </c>
      <c r="Q514" s="610"/>
      <c r="R514" s="611" t="str">
        <f>IMAGE("https://raw.githubusercontent.com/msikma/pokesprite/master/items-outline/valuable-item/nugget.png",1)</f>
        <v/>
      </c>
      <c r="S514" s="612" t="s">
        <v>1084</v>
      </c>
      <c r="T514" s="613"/>
      <c r="U514" s="614">
        <v>0.8</v>
      </c>
      <c r="V514" s="610"/>
      <c r="W514" s="707"/>
      <c r="X514" s="704"/>
      <c r="Y514" s="705"/>
      <c r="Z514" s="708"/>
      <c r="AA514" s="572"/>
      <c r="AB514" s="560"/>
    </row>
    <row r="515" ht="24.0" customHeight="1">
      <c r="A515" s="556"/>
      <c r="B515" s="577"/>
      <c r="C515" s="709"/>
      <c r="D515" s="710"/>
      <c r="E515" s="705"/>
      <c r="F515" s="711"/>
      <c r="G515" s="609"/>
      <c r="H515" s="615" t="str">
        <f>IMAGE("https://raw.githubusercontent.com/msikma/pokesprite/master/items-outline/valuable-item/big-nugget.png",1)</f>
        <v/>
      </c>
      <c r="I515" s="616" t="s">
        <v>1131</v>
      </c>
      <c r="J515" s="617"/>
      <c r="K515" s="618">
        <v>0.8</v>
      </c>
      <c r="L515" s="610"/>
      <c r="M515" s="615" t="str">
        <f>IMAGE("https://raw.githubusercontent.com/msikma/pokesprite/master/items-outline/valuable-item/big-nugget.png",1)</f>
        <v/>
      </c>
      <c r="N515" s="616" t="s">
        <v>1131</v>
      </c>
      <c r="O515" s="617"/>
      <c r="P515" s="618">
        <v>0.8</v>
      </c>
      <c r="Q515" s="610"/>
      <c r="R515" s="615" t="str">
        <f>IMAGE("https://raw.githubusercontent.com/msikma/pokesprite/master/items-outline/valuable-item/big-nugget.png",1)</f>
        <v/>
      </c>
      <c r="S515" s="616" t="s">
        <v>1131</v>
      </c>
      <c r="T515" s="617"/>
      <c r="U515" s="618">
        <v>0.8</v>
      </c>
      <c r="V515" s="610"/>
      <c r="W515" s="709"/>
      <c r="X515" s="710"/>
      <c r="Y515" s="705"/>
      <c r="Z515" s="711"/>
      <c r="AA515" s="572"/>
      <c r="AB515" s="560"/>
    </row>
    <row r="516" ht="24.0" customHeight="1">
      <c r="A516" s="556"/>
      <c r="B516" s="577"/>
      <c r="C516" s="709"/>
      <c r="D516" s="710"/>
      <c r="E516" s="705"/>
      <c r="F516" s="712"/>
      <c r="G516" s="609"/>
      <c r="H516" s="619" t="str">
        <f>IMAGE("https://raw.githubusercontent.com/msikma/pokesprite/master/items-outline/berry/occa.png",1)</f>
        <v/>
      </c>
      <c r="I516" s="620" t="s">
        <v>1156</v>
      </c>
      <c r="J516" s="621"/>
      <c r="K516" s="622">
        <v>0.5</v>
      </c>
      <c r="L516" s="610"/>
      <c r="M516" s="619" t="str">
        <f>IMAGE("https://raw.githubusercontent.com/msikma/pokesprite/master/items-outline/berry/occa.png",1)</f>
        <v/>
      </c>
      <c r="N516" s="620" t="s">
        <v>1156</v>
      </c>
      <c r="O516" s="621"/>
      <c r="P516" s="622">
        <v>0.5</v>
      </c>
      <c r="Q516" s="610"/>
      <c r="R516" s="619" t="str">
        <f>IMAGE("https://raw.githubusercontent.com/msikma/pokesprite/master/items-outline/berry/occa.png",1)</f>
        <v/>
      </c>
      <c r="S516" s="620" t="s">
        <v>1156</v>
      </c>
      <c r="T516" s="621"/>
      <c r="U516" s="622">
        <v>0.5</v>
      </c>
      <c r="V516" s="610"/>
      <c r="W516" s="709"/>
      <c r="X516" s="710"/>
      <c r="Y516" s="705"/>
      <c r="Z516" s="712"/>
      <c r="AA516" s="572"/>
      <c r="AB516" s="560"/>
    </row>
    <row r="517" ht="24.0" customHeight="1">
      <c r="A517" s="556"/>
      <c r="B517" s="577"/>
      <c r="C517" s="709"/>
      <c r="D517" s="710"/>
      <c r="E517" s="705"/>
      <c r="F517" s="712"/>
      <c r="G517" s="609"/>
      <c r="H517" s="623" t="str">
        <f>IMAGE("https://raw.githubusercontent.com/msikma/pokesprite/master/items-outline/other-item/ability-patch.png",1)</f>
        <v/>
      </c>
      <c r="I517" s="630" t="s">
        <v>1101</v>
      </c>
      <c r="J517" s="625"/>
      <c r="K517" s="626">
        <v>0.5</v>
      </c>
      <c r="L517" s="610"/>
      <c r="M517" s="623" t="str">
        <f>IMAGE("https://raw.githubusercontent.com/msikma/pokesprite/master/items-outline/other-item/ability-patch.png",1)</f>
        <v/>
      </c>
      <c r="N517" s="630" t="s">
        <v>1101</v>
      </c>
      <c r="O517" s="625"/>
      <c r="P517" s="626">
        <v>0.5</v>
      </c>
      <c r="Q517" s="610"/>
      <c r="R517" s="623" t="str">
        <f>IMAGE("https://raw.githubusercontent.com/msikma/pokesprite/master/items-outline/other-item/ability-patch.png",1)</f>
        <v/>
      </c>
      <c r="S517" s="630" t="s">
        <v>1101</v>
      </c>
      <c r="T517" s="625"/>
      <c r="U517" s="626">
        <v>0.5</v>
      </c>
      <c r="V517" s="610"/>
      <c r="W517" s="709"/>
      <c r="X517" s="710"/>
      <c r="Y517" s="705"/>
      <c r="Z517" s="712"/>
      <c r="AA517" s="572"/>
      <c r="AB517" s="560"/>
    </row>
    <row r="518" ht="24.0" customHeight="1">
      <c r="A518" s="556"/>
      <c r="B518" s="577"/>
      <c r="C518" s="709"/>
      <c r="D518" s="710"/>
      <c r="E518" s="705"/>
      <c r="F518" s="712"/>
      <c r="G518" s="609"/>
      <c r="H518" s="611" t="str">
        <f>IMAGE("https://raw.githubusercontent.com/msikma/pokesprite/master/items-outline/medicine/pp-up.png",1)</f>
        <v/>
      </c>
      <c r="I518" s="612" t="s">
        <v>1070</v>
      </c>
      <c r="J518" s="613"/>
      <c r="K518" s="627">
        <v>0.3</v>
      </c>
      <c r="L518" s="610"/>
      <c r="M518" s="611" t="str">
        <f>IMAGE("https://raw.githubusercontent.com/msikma/pokesprite/master/items-outline/medicine/pp-up.png",1)</f>
        <v/>
      </c>
      <c r="N518" s="612" t="s">
        <v>1070</v>
      </c>
      <c r="O518" s="613"/>
      <c r="P518" s="627">
        <v>0.3</v>
      </c>
      <c r="Q518" s="610"/>
      <c r="R518" s="611" t="str">
        <f>IMAGE("https://raw.githubusercontent.com/msikma/pokesprite/master/items-outline/medicine/pp-up.png",1)</f>
        <v/>
      </c>
      <c r="S518" s="612" t="s">
        <v>1070</v>
      </c>
      <c r="T518" s="613"/>
      <c r="U518" s="627">
        <v>0.3</v>
      </c>
      <c r="V518" s="610"/>
      <c r="W518" s="709"/>
      <c r="X518" s="710"/>
      <c r="Y518" s="705"/>
      <c r="Z518" s="712"/>
      <c r="AA518" s="572"/>
      <c r="AB518" s="560"/>
    </row>
    <row r="519" ht="24.0" customHeight="1">
      <c r="A519" s="556"/>
      <c r="B519" s="577"/>
      <c r="C519" s="709"/>
      <c r="D519" s="710"/>
      <c r="E519" s="705"/>
      <c r="F519" s="712"/>
      <c r="G519" s="609"/>
      <c r="H519" s="615" t="str">
        <f>IMAGE("https://raw.githubusercontent.com/msikma/pokesprite/master/items-outline/medicine/pp-max.png",1)</f>
        <v/>
      </c>
      <c r="I519" s="616" t="s">
        <v>1143</v>
      </c>
      <c r="J519" s="617"/>
      <c r="K519" s="628">
        <v>0.3</v>
      </c>
      <c r="L519" s="610"/>
      <c r="M519" s="615" t="str">
        <f>IMAGE("https://raw.githubusercontent.com/msikma/pokesprite/master/items-outline/medicine/pp-max.png",1)</f>
        <v/>
      </c>
      <c r="N519" s="616" t="s">
        <v>1143</v>
      </c>
      <c r="O519" s="617"/>
      <c r="P519" s="628">
        <v>0.3</v>
      </c>
      <c r="Q519" s="610"/>
      <c r="R519" s="615" t="str">
        <f>IMAGE("https://raw.githubusercontent.com/msikma/pokesprite/master/items-outline/medicine/pp-max.png",1)</f>
        <v/>
      </c>
      <c r="S519" s="616" t="s">
        <v>1143</v>
      </c>
      <c r="T519" s="617"/>
      <c r="U519" s="628">
        <v>0.3</v>
      </c>
      <c r="V519" s="610"/>
      <c r="W519" s="709"/>
      <c r="X519" s="710"/>
      <c r="Y519" s="705"/>
      <c r="Z519" s="712"/>
      <c r="AA519" s="572"/>
      <c r="AB519" s="560"/>
    </row>
    <row r="520" ht="24.0" customHeight="1">
      <c r="A520" s="556"/>
      <c r="B520" s="577"/>
      <c r="C520" s="709"/>
      <c r="D520" s="710"/>
      <c r="E520" s="705"/>
      <c r="F520" s="712"/>
      <c r="G520" s="609"/>
      <c r="H520" s="619" t="str">
        <f>IMAGE("https://raw.githubusercontent.com/msikma/pokesprite/master/items-outline/berry/salac.png",1)</f>
        <v/>
      </c>
      <c r="I520" s="620" t="s">
        <v>1142</v>
      </c>
      <c r="J520" s="621"/>
      <c r="K520" s="629">
        <v>0.25</v>
      </c>
      <c r="L520" s="610"/>
      <c r="M520" s="619" t="str">
        <f>IMAGE("https://raw.githubusercontent.com/msikma/pokesprite/master/items-outline/berry/liechi.png",1)</f>
        <v/>
      </c>
      <c r="N520" s="620" t="s">
        <v>1147</v>
      </c>
      <c r="O520" s="621"/>
      <c r="P520" s="629">
        <v>0.25</v>
      </c>
      <c r="Q520" s="610"/>
      <c r="R520" s="619" t="str">
        <f>IMAGE("https://raw.githubusercontent.com/msikma/pokesprite/master/items-outline/berry/liechi.png",1)</f>
        <v/>
      </c>
      <c r="S520" s="620" t="s">
        <v>1147</v>
      </c>
      <c r="T520" s="621"/>
      <c r="U520" s="629">
        <v>0.25</v>
      </c>
      <c r="V520" s="610"/>
      <c r="W520" s="709"/>
      <c r="X520" s="710"/>
      <c r="Y520" s="705"/>
      <c r="Z520" s="712"/>
      <c r="AA520" s="572"/>
      <c r="AB520" s="560"/>
    </row>
    <row r="521" ht="24.0" customHeight="1">
      <c r="A521" s="556"/>
      <c r="B521" s="577"/>
      <c r="C521" s="709"/>
      <c r="D521" s="715"/>
      <c r="E521" s="705"/>
      <c r="F521" s="712"/>
      <c r="G521" s="609"/>
      <c r="H521" s="623"/>
      <c r="I521" s="630" t="s">
        <v>1068</v>
      </c>
      <c r="J521" s="625"/>
      <c r="K521" s="631">
        <v>0.25</v>
      </c>
      <c r="L521" s="610"/>
      <c r="M521" s="623"/>
      <c r="N521" s="630" t="s">
        <v>1068</v>
      </c>
      <c r="O521" s="625"/>
      <c r="P521" s="631">
        <v>0.25</v>
      </c>
      <c r="Q521" s="610"/>
      <c r="R521" s="623"/>
      <c r="S521" s="630" t="s">
        <v>1068</v>
      </c>
      <c r="T521" s="625"/>
      <c r="U521" s="631">
        <v>0.25</v>
      </c>
      <c r="V521" s="610"/>
      <c r="W521" s="709"/>
      <c r="X521" s="715"/>
      <c r="Y521" s="705"/>
      <c r="Z521" s="712"/>
      <c r="AA521" s="572"/>
      <c r="AB521" s="560"/>
    </row>
    <row r="522" ht="24.0" customHeight="1">
      <c r="A522" s="556"/>
      <c r="B522" s="577"/>
      <c r="C522" s="709"/>
      <c r="D522" s="715"/>
      <c r="E522" s="705"/>
      <c r="F522" s="711"/>
      <c r="G522" s="636"/>
      <c r="H522" s="632" t="str">
        <f>IMAGE("https://raw.githubusercontent.com/msikma/pokesprite/master/items-outline/hold-item/lucky-egg.png",1)</f>
        <v/>
      </c>
      <c r="I522" s="633" t="s">
        <v>1071</v>
      </c>
      <c r="J522" s="634"/>
      <c r="K522" s="635">
        <v>0.05</v>
      </c>
      <c r="L522" s="610"/>
      <c r="M522" s="632" t="str">
        <f>IMAGE("https://raw.githubusercontent.com/msikma/pokesprite/master/items-outline/hold-item/lucky-egg.png",1)</f>
        <v/>
      </c>
      <c r="N522" s="633" t="s">
        <v>1071</v>
      </c>
      <c r="O522" s="634"/>
      <c r="P522" s="635">
        <v>0.05</v>
      </c>
      <c r="Q522" s="610"/>
      <c r="R522" s="632" t="str">
        <f>IMAGE("https://raw.githubusercontent.com/msikma/pokesprite/master/items-outline/hold-item/lucky-egg.png",1)</f>
        <v/>
      </c>
      <c r="S522" s="633" t="s">
        <v>1071</v>
      </c>
      <c r="T522" s="634"/>
      <c r="U522" s="635">
        <v>0.05</v>
      </c>
      <c r="V522" s="610"/>
      <c r="W522" s="709"/>
      <c r="X522" s="715"/>
      <c r="Y522" s="705"/>
      <c r="Z522" s="711"/>
      <c r="AA522" s="572"/>
      <c r="AB522" s="560"/>
    </row>
    <row r="523" ht="24.0" customHeight="1">
      <c r="A523" s="556"/>
      <c r="B523" s="577"/>
      <c r="C523" s="709"/>
      <c r="D523" s="715"/>
      <c r="E523" s="705"/>
      <c r="F523" s="711"/>
      <c r="G523" s="636"/>
      <c r="H523" s="637" t="str">
        <f>IMAGE("https://raw.githubusercontent.com/msikma/pokesprite/master/items-outline/hold-item/life-orb.png",1)</f>
        <v/>
      </c>
      <c r="I523" s="638" t="s">
        <v>1158</v>
      </c>
      <c r="J523" s="639"/>
      <c r="K523" s="640">
        <v>0.04</v>
      </c>
      <c r="L523" s="610"/>
      <c r="M523" s="637" t="str">
        <f>IMAGE("https://raw.githubusercontent.com/msikma/pokesprite/master/items-outline/hold-item/life-orb.png",1)</f>
        <v/>
      </c>
      <c r="N523" s="638" t="s">
        <v>1158</v>
      </c>
      <c r="O523" s="639"/>
      <c r="P523" s="640">
        <v>0.04</v>
      </c>
      <c r="Q523" s="610"/>
      <c r="R523" s="637" t="str">
        <f>IMAGE("https://raw.githubusercontent.com/msikma/pokesprite/master/items-outline/hold-item/life-orb.png",1)</f>
        <v/>
      </c>
      <c r="S523" s="638" t="s">
        <v>1158</v>
      </c>
      <c r="T523" s="639"/>
      <c r="U523" s="640">
        <v>0.04</v>
      </c>
      <c r="V523" s="610"/>
      <c r="W523" s="709"/>
      <c r="X523" s="715"/>
      <c r="Y523" s="705"/>
      <c r="Z523" s="711"/>
      <c r="AA523" s="572"/>
      <c r="AB523" s="560"/>
    </row>
    <row r="524" ht="24.75" customHeight="1">
      <c r="A524" s="556"/>
      <c r="B524" s="577"/>
      <c r="C524" s="709"/>
      <c r="D524" s="715"/>
      <c r="E524" s="705"/>
      <c r="F524" s="711"/>
      <c r="G524" s="645"/>
      <c r="H524" s="641"/>
      <c r="I524" s="642" t="s">
        <v>1158</v>
      </c>
      <c r="J524" s="643"/>
      <c r="K524" s="644">
        <v>0.01</v>
      </c>
      <c r="L524" s="646"/>
      <c r="M524" s="641"/>
      <c r="N524" s="642" t="s">
        <v>1158</v>
      </c>
      <c r="O524" s="643"/>
      <c r="P524" s="644">
        <v>0.01</v>
      </c>
      <c r="Q524" s="646"/>
      <c r="R524" s="641"/>
      <c r="S524" s="642" t="s">
        <v>1158</v>
      </c>
      <c r="T524" s="643"/>
      <c r="U524" s="644">
        <v>0.01</v>
      </c>
      <c r="V524" s="709"/>
      <c r="W524" s="709"/>
      <c r="X524" s="715"/>
      <c r="Y524" s="705"/>
      <c r="Z524" s="711"/>
      <c r="AA524" s="572"/>
      <c r="AB524" s="560"/>
    </row>
    <row r="525" ht="60.0" customHeight="1">
      <c r="A525" s="556"/>
      <c r="B525" s="577"/>
      <c r="C525" s="680" t="s">
        <v>1172</v>
      </c>
      <c r="Z525" s="588"/>
      <c r="AA525" s="648"/>
      <c r="AB525" s="560"/>
    </row>
    <row r="526" ht="37.5" customHeight="1">
      <c r="A526" s="556"/>
      <c r="B526" s="577"/>
      <c r="C526" s="703"/>
      <c r="D526" s="704"/>
      <c r="E526" s="705"/>
      <c r="F526" s="706"/>
      <c r="G526" s="593"/>
      <c r="H526" s="590" t="s">
        <v>971</v>
      </c>
      <c r="I526" s="168"/>
      <c r="J526" s="591"/>
      <c r="K526" s="592" t="str">
        <f t="array" ref="K526">IFERROR(VLOOKUP(H526,Dex!$B$3:$N689,2,FALSE),"")</f>
        <v/>
      </c>
      <c r="L526" s="594"/>
      <c r="M526" s="590" t="s">
        <v>145</v>
      </c>
      <c r="N526" s="168"/>
      <c r="O526" s="591"/>
      <c r="P526" s="592" t="str">
        <f t="array" ref="P526">IFERROR(VLOOKUP(M526,Dex!$B$3:$N689,2,FALSE),"")</f>
        <v/>
      </c>
      <c r="Q526" s="594"/>
      <c r="R526" s="590" t="s">
        <v>986</v>
      </c>
      <c r="S526" s="168"/>
      <c r="T526" s="591"/>
      <c r="U526" s="592" t="str">
        <f t="array" ref="U526">IFERROR(VLOOKUP(R526,Dex!$B$3:$N689,2,FALSE),"")</f>
        <v/>
      </c>
      <c r="V526" s="594"/>
      <c r="W526" s="703"/>
      <c r="X526" s="704"/>
      <c r="Y526" s="705"/>
      <c r="Z526" s="706"/>
      <c r="AA526" s="572"/>
      <c r="AB526" s="560"/>
    </row>
    <row r="527">
      <c r="A527" s="595"/>
      <c r="B527" s="596"/>
      <c r="C527" s="703"/>
      <c r="D527" s="704"/>
      <c r="E527" s="705"/>
      <c r="F527" s="706"/>
      <c r="G527" s="601"/>
      <c r="H527" s="597" t="s">
        <v>1056</v>
      </c>
      <c r="I527" s="598"/>
      <c r="J527" s="599"/>
      <c r="K527" s="600" t="s">
        <v>1057</v>
      </c>
      <c r="L527" s="602"/>
      <c r="M527" s="597" t="s">
        <v>1056</v>
      </c>
      <c r="N527" s="598"/>
      <c r="O527" s="599"/>
      <c r="P527" s="600" t="s">
        <v>1057</v>
      </c>
      <c r="Q527" s="602"/>
      <c r="R527" s="597" t="s">
        <v>1056</v>
      </c>
      <c r="S527" s="598"/>
      <c r="T527" s="599"/>
      <c r="U527" s="600" t="s">
        <v>1057</v>
      </c>
      <c r="V527" s="602"/>
      <c r="W527" s="703"/>
      <c r="X527" s="704"/>
      <c r="Y527" s="705"/>
      <c r="Z527" s="706"/>
      <c r="AA527" s="603"/>
      <c r="AB527" s="604"/>
    </row>
    <row r="528" ht="24.0" customHeight="1">
      <c r="A528" s="556"/>
      <c r="B528" s="577"/>
      <c r="C528" s="703"/>
      <c r="D528" s="704"/>
      <c r="E528" s="705"/>
      <c r="F528" s="706"/>
      <c r="G528" s="609"/>
      <c r="H528" s="605" t="str">
        <f>IMAGE("https://raw.githubusercontent.com/msikma/pokesprite/master/items-outline/valuable-item/nugget.png",1)</f>
        <v/>
      </c>
      <c r="I528" s="606" t="s">
        <v>1084</v>
      </c>
      <c r="J528" s="607"/>
      <c r="K528" s="608">
        <v>1.0</v>
      </c>
      <c r="L528" s="610"/>
      <c r="M528" s="605" t="str">
        <f>IMAGE("https://raw.githubusercontent.com/msikma/pokesprite/master/items-outline/valuable-item/nugget.png",1)</f>
        <v/>
      </c>
      <c r="N528" s="606" t="s">
        <v>1084</v>
      </c>
      <c r="O528" s="607"/>
      <c r="P528" s="608">
        <v>1.0</v>
      </c>
      <c r="Q528" s="610"/>
      <c r="R528" s="605" t="str">
        <f>IMAGE("https://raw.githubusercontent.com/msikma/pokesprite/master/items-outline/valuable-item/star-piece.png",1)</f>
        <v/>
      </c>
      <c r="S528" s="606" t="s">
        <v>1108</v>
      </c>
      <c r="T528" s="607"/>
      <c r="U528" s="608">
        <v>1.0</v>
      </c>
      <c r="V528" s="716"/>
      <c r="W528" s="703"/>
      <c r="X528" s="704"/>
      <c r="Y528" s="705"/>
      <c r="Z528" s="706"/>
      <c r="AA528" s="572"/>
      <c r="AB528" s="560"/>
    </row>
    <row r="529" ht="24.0" customHeight="1">
      <c r="A529" s="556"/>
      <c r="B529" s="577"/>
      <c r="C529" s="707"/>
      <c r="D529" s="704"/>
      <c r="E529" s="705"/>
      <c r="F529" s="708"/>
      <c r="G529" s="609"/>
      <c r="H529" s="611" t="str">
        <f>IMAGE("https://raw.githubusercontent.com/msikma/pokesprite/master/items-outline/medicine/protein.png",1)</f>
        <v/>
      </c>
      <c r="I529" s="612" t="s">
        <v>1069</v>
      </c>
      <c r="J529" s="613"/>
      <c r="K529" s="614">
        <v>0.8</v>
      </c>
      <c r="L529" s="610"/>
      <c r="M529" s="611" t="str">
        <f>IMAGE("https://raw.githubusercontent.com/msikma/pokesprite/master/items-outline/medicine/protein.png",1)</f>
        <v/>
      </c>
      <c r="N529" s="612" t="s">
        <v>1069</v>
      </c>
      <c r="O529" s="613"/>
      <c r="P529" s="614">
        <v>0.8</v>
      </c>
      <c r="Q529" s="610"/>
      <c r="R529" s="611" t="str">
        <f>IMAGE("https://raw.githubusercontent.com/msikma/pokesprite/master/items-outline/valuable-item/nugget.png",1)</f>
        <v/>
      </c>
      <c r="S529" s="612" t="s">
        <v>1084</v>
      </c>
      <c r="T529" s="613"/>
      <c r="U529" s="614">
        <v>0.8</v>
      </c>
      <c r="V529" s="610"/>
      <c r="W529" s="707"/>
      <c r="X529" s="704"/>
      <c r="Y529" s="705"/>
      <c r="Z529" s="708"/>
      <c r="AA529" s="572"/>
      <c r="AB529" s="560"/>
    </row>
    <row r="530" ht="24.0" customHeight="1">
      <c r="A530" s="556"/>
      <c r="B530" s="577"/>
      <c r="C530" s="709"/>
      <c r="D530" s="710"/>
      <c r="E530" s="705"/>
      <c r="F530" s="711"/>
      <c r="G530" s="609"/>
      <c r="H530" s="615" t="str">
        <f>IMAGE("https://raw.githubusercontent.com/msikma/pokesprite/master/items-outline/valuable-item/big-nugget.png",1)</f>
        <v/>
      </c>
      <c r="I530" s="616" t="s">
        <v>1131</v>
      </c>
      <c r="J530" s="617"/>
      <c r="K530" s="618">
        <v>0.8</v>
      </c>
      <c r="L530" s="610"/>
      <c r="M530" s="615" t="str">
        <f>IMAGE("https://raw.githubusercontent.com/msikma/pokesprite/master/items-outline/valuable-item/big-nugget.png",1)</f>
        <v/>
      </c>
      <c r="N530" s="616" t="s">
        <v>1131</v>
      </c>
      <c r="O530" s="617"/>
      <c r="P530" s="618">
        <v>0.8</v>
      </c>
      <c r="Q530" s="610"/>
      <c r="R530" s="615" t="str">
        <f>IMAGE("https://raw.githubusercontent.com/msikma/pokesprite/master/items-outline/valuable-item/big-nugget.png",1)</f>
        <v/>
      </c>
      <c r="S530" s="616" t="s">
        <v>1131</v>
      </c>
      <c r="T530" s="617"/>
      <c r="U530" s="618">
        <v>0.8</v>
      </c>
      <c r="V530" s="610"/>
      <c r="W530" s="709"/>
      <c r="X530" s="710"/>
      <c r="Y530" s="705"/>
      <c r="Z530" s="711"/>
      <c r="AA530" s="572"/>
      <c r="AB530" s="560"/>
    </row>
    <row r="531" ht="24.0" customHeight="1">
      <c r="A531" s="556"/>
      <c r="B531" s="577"/>
      <c r="C531" s="709"/>
      <c r="D531" s="710"/>
      <c r="E531" s="705"/>
      <c r="F531" s="712"/>
      <c r="G531" s="609"/>
      <c r="H531" s="619" t="str">
        <f>IMAGE("https://raw.githubusercontent.com/msikma/pokesprite/master/items-outline/medicine/calcium.png",1)</f>
        <v/>
      </c>
      <c r="I531" s="620" t="s">
        <v>1075</v>
      </c>
      <c r="J531" s="621"/>
      <c r="K531" s="622">
        <v>0.5</v>
      </c>
      <c r="L531" s="610"/>
      <c r="M531" s="619" t="str">
        <f>IMAGE("https://raw.githubusercontent.com/msikma/pokesprite/master/items-outline/medicine/calcium.png",1)</f>
        <v/>
      </c>
      <c r="N531" s="620" t="s">
        <v>1075</v>
      </c>
      <c r="O531" s="621"/>
      <c r="P531" s="622">
        <v>0.5</v>
      </c>
      <c r="Q531" s="610"/>
      <c r="R531" s="619" t="str">
        <f>IMAGE("https://raw.githubusercontent.com/msikma/pokesprite/master/items-outline/medicine/protein.png",1)</f>
        <v/>
      </c>
      <c r="S531" s="620" t="s">
        <v>1069</v>
      </c>
      <c r="T531" s="621"/>
      <c r="U531" s="622">
        <v>0.5</v>
      </c>
      <c r="V531" s="610"/>
      <c r="W531" s="709"/>
      <c r="X531" s="710"/>
      <c r="Y531" s="705"/>
      <c r="Z531" s="712"/>
      <c r="AA531" s="572"/>
      <c r="AB531" s="560"/>
    </row>
    <row r="532" ht="24.0" customHeight="1">
      <c r="A532" s="556"/>
      <c r="B532" s="577"/>
      <c r="C532" s="709"/>
      <c r="D532" s="710"/>
      <c r="E532" s="705"/>
      <c r="F532" s="712"/>
      <c r="G532" s="609"/>
      <c r="H532" s="623" t="str">
        <f>IMAGE("https://raw.githubusercontent.com/msikma/pokesprite/master/items-outline/medicine/carbos.png",1)</f>
        <v/>
      </c>
      <c r="I532" s="624" t="s">
        <v>1080</v>
      </c>
      <c r="J532" s="625"/>
      <c r="K532" s="626">
        <v>0.5</v>
      </c>
      <c r="L532" s="610"/>
      <c r="M532" s="623" t="str">
        <f>IMAGE("https://raw.githubusercontent.com/msikma/pokesprite/master/items-outline/medicine/carbos.png",1)</f>
        <v/>
      </c>
      <c r="N532" s="624" t="s">
        <v>1080</v>
      </c>
      <c r="O532" s="625"/>
      <c r="P532" s="626">
        <v>0.5</v>
      </c>
      <c r="Q532" s="610"/>
      <c r="R532" s="623" t="str">
        <f>IMAGE("https://raw.githubusercontent.com/msikma/pokesprite/master/items-outline/medicine/calcium.png",1)</f>
        <v/>
      </c>
      <c r="S532" s="624" t="s">
        <v>1075</v>
      </c>
      <c r="T532" s="625"/>
      <c r="U532" s="626">
        <v>0.5</v>
      </c>
      <c r="V532" s="610"/>
      <c r="W532" s="709"/>
      <c r="X532" s="710"/>
      <c r="Y532" s="705"/>
      <c r="Z532" s="712"/>
      <c r="AA532" s="572"/>
      <c r="AB532" s="560"/>
    </row>
    <row r="533" ht="24.0" customHeight="1">
      <c r="A533" s="556"/>
      <c r="B533" s="577"/>
      <c r="C533" s="709"/>
      <c r="D533" s="710"/>
      <c r="E533" s="705"/>
      <c r="F533" s="712"/>
      <c r="G533" s="609"/>
      <c r="H533" s="611" t="str">
        <f>IMAGE("https://raw.githubusercontent.com/msikma/pokesprite/master/items-outline/medicine/pp-up.png",1)</f>
        <v/>
      </c>
      <c r="I533" s="612" t="s">
        <v>1070</v>
      </c>
      <c r="J533" s="613"/>
      <c r="K533" s="627">
        <v>0.3</v>
      </c>
      <c r="L533" s="610"/>
      <c r="M533" s="611" t="str">
        <f>IMAGE("https://raw.githubusercontent.com/msikma/pokesprite/master/items-outline/medicine/pp-up.png",1)</f>
        <v/>
      </c>
      <c r="N533" s="612" t="s">
        <v>1070</v>
      </c>
      <c r="O533" s="613"/>
      <c r="P533" s="627">
        <v>0.3</v>
      </c>
      <c r="Q533" s="610"/>
      <c r="R533" s="611" t="str">
        <f>IMAGE("https://raw.githubusercontent.com/msikma/pokesprite/master/items-outline/medicine/pp-up.png",1)</f>
        <v/>
      </c>
      <c r="S533" s="612" t="s">
        <v>1070</v>
      </c>
      <c r="T533" s="613"/>
      <c r="U533" s="627">
        <v>0.3</v>
      </c>
      <c r="V533" s="610"/>
      <c r="W533" s="709"/>
      <c r="X533" s="710"/>
      <c r="Y533" s="705"/>
      <c r="Z533" s="712"/>
      <c r="AA533" s="572"/>
      <c r="AB533" s="560"/>
    </row>
    <row r="534" ht="24.0" customHeight="1">
      <c r="A534" s="556"/>
      <c r="B534" s="577"/>
      <c r="C534" s="709"/>
      <c r="D534" s="710"/>
      <c r="E534" s="705"/>
      <c r="F534" s="712"/>
      <c r="G534" s="609"/>
      <c r="H534" s="615" t="str">
        <f>IMAGE("https://raw.githubusercontent.com/msikma/pokesprite/master/items-outline/medicine/pp-max.png",1)</f>
        <v/>
      </c>
      <c r="I534" s="616" t="s">
        <v>1143</v>
      </c>
      <c r="J534" s="617"/>
      <c r="K534" s="628">
        <v>0.3</v>
      </c>
      <c r="L534" s="610"/>
      <c r="M534" s="615" t="str">
        <f>IMAGE("https://raw.githubusercontent.com/msikma/pokesprite/master/items-outline/medicine/pp-max.png",1)</f>
        <v/>
      </c>
      <c r="N534" s="616" t="s">
        <v>1143</v>
      </c>
      <c r="O534" s="617"/>
      <c r="P534" s="628">
        <v>0.3</v>
      </c>
      <c r="Q534" s="610"/>
      <c r="R534" s="615" t="str">
        <f>IMAGE("https://raw.githubusercontent.com/msikma/pokesprite/master/items-outline/medicine/pp-max.png",1)</f>
        <v/>
      </c>
      <c r="S534" s="616" t="s">
        <v>1143</v>
      </c>
      <c r="T534" s="617"/>
      <c r="U534" s="628">
        <v>0.3</v>
      </c>
      <c r="V534" s="610"/>
      <c r="W534" s="709"/>
      <c r="X534" s="710"/>
      <c r="Y534" s="705"/>
      <c r="Z534" s="712"/>
      <c r="AA534" s="572"/>
      <c r="AB534" s="560"/>
    </row>
    <row r="535" ht="24.0" customHeight="1">
      <c r="A535" s="556"/>
      <c r="B535" s="577"/>
      <c r="C535" s="709"/>
      <c r="D535" s="710"/>
      <c r="E535" s="705"/>
      <c r="F535" s="712"/>
      <c r="G535" s="609"/>
      <c r="H535" s="619" t="str">
        <f>IMAGE("https://raw.githubusercontent.com/msikma/pokesprite/master/items-outline/valuable-item/star-piece.png",1)</f>
        <v/>
      </c>
      <c r="I535" s="620" t="s">
        <v>1108</v>
      </c>
      <c r="J535" s="621"/>
      <c r="K535" s="629">
        <v>0.25</v>
      </c>
      <c r="L535" s="610"/>
      <c r="M535" s="619"/>
      <c r="N535" s="620" t="s">
        <v>1068</v>
      </c>
      <c r="O535" s="621"/>
      <c r="P535" s="629">
        <v>0.25</v>
      </c>
      <c r="Q535" s="610"/>
      <c r="R535" s="619"/>
      <c r="S535" s="726" t="s">
        <v>1101</v>
      </c>
      <c r="T535" s="621"/>
      <c r="U535" s="629">
        <v>0.25</v>
      </c>
      <c r="V535" s="610"/>
      <c r="W535" s="709"/>
      <c r="X535" s="710"/>
      <c r="Y535" s="705"/>
      <c r="Z535" s="712"/>
      <c r="AA535" s="572"/>
      <c r="AB535" s="560"/>
    </row>
    <row r="536" ht="24.0" customHeight="1">
      <c r="A536" s="556"/>
      <c r="B536" s="577"/>
      <c r="C536" s="709"/>
      <c r="D536" s="715"/>
      <c r="E536" s="705"/>
      <c r="F536" s="712"/>
      <c r="G536" s="609"/>
      <c r="H536" s="623"/>
      <c r="I536" s="630" t="s">
        <v>1068</v>
      </c>
      <c r="J536" s="625"/>
      <c r="K536" s="631">
        <v>0.25</v>
      </c>
      <c r="L536" s="610"/>
      <c r="M536" s="623" t="str">
        <f>IMAGE("https://raw.githubusercontent.com/msikma/pokesprite/master/items-outline/other-item/ability-patch.png",1)</f>
        <v/>
      </c>
      <c r="N536" s="630" t="s">
        <v>1101</v>
      </c>
      <c r="O536" s="625"/>
      <c r="P536" s="631">
        <v>0.25</v>
      </c>
      <c r="Q536" s="610"/>
      <c r="R536" s="623"/>
      <c r="S536" s="630" t="s">
        <v>1068</v>
      </c>
      <c r="T536" s="625"/>
      <c r="U536" s="631">
        <v>0.25</v>
      </c>
      <c r="V536" s="610"/>
      <c r="W536" s="709"/>
      <c r="X536" s="715"/>
      <c r="Y536" s="705"/>
      <c r="Z536" s="712"/>
      <c r="AA536" s="572"/>
      <c r="AB536" s="560"/>
    </row>
    <row r="537" ht="24.0" customHeight="1">
      <c r="A537" s="556"/>
      <c r="B537" s="577"/>
      <c r="C537" s="709"/>
      <c r="D537" s="715"/>
      <c r="E537" s="705"/>
      <c r="F537" s="711"/>
      <c r="G537" s="636"/>
      <c r="H537" s="632" t="str">
        <f>IMAGE("https://raw.githubusercontent.com/msikma/pokesprite/master/items-outline/hold-item/lucky-egg.png",1)</f>
        <v/>
      </c>
      <c r="I537" s="633" t="s">
        <v>1071</v>
      </c>
      <c r="J537" s="634"/>
      <c r="K537" s="635">
        <v>0.05</v>
      </c>
      <c r="L537" s="610"/>
      <c r="M537" s="632" t="str">
        <f>IMAGE("https://raw.githubusercontent.com/msikma/pokesprite/master/items-outline/hold-item/lucky-egg.png",1)</f>
        <v/>
      </c>
      <c r="N537" s="633" t="s">
        <v>1071</v>
      </c>
      <c r="O537" s="634"/>
      <c r="P537" s="635">
        <v>0.05</v>
      </c>
      <c r="Q537" s="610"/>
      <c r="R537" s="632" t="str">
        <f>IMAGE("https://raw.githubusercontent.com/msikma/pokesprite/master/items-outline/hold-item/lucky-egg.png",1)</f>
        <v/>
      </c>
      <c r="S537" s="633" t="s">
        <v>1071</v>
      </c>
      <c r="T537" s="634"/>
      <c r="U537" s="635">
        <v>0.05</v>
      </c>
      <c r="V537" s="610"/>
      <c r="W537" s="709"/>
      <c r="X537" s="715"/>
      <c r="Y537" s="705"/>
      <c r="Z537" s="711"/>
      <c r="AA537" s="572"/>
      <c r="AB537" s="560"/>
    </row>
    <row r="538" ht="24.0" customHeight="1">
      <c r="A538" s="556"/>
      <c r="B538" s="577"/>
      <c r="C538" s="709"/>
      <c r="D538" s="715"/>
      <c r="E538" s="705"/>
      <c r="F538" s="711"/>
      <c r="G538" s="636"/>
      <c r="H538" s="637" t="str">
        <f>IMAGE("https://raw.githubusercontent.com/msikma/pokesprite/master/items-outline/hold-item/life-orb.png",1)</f>
        <v/>
      </c>
      <c r="I538" s="638" t="s">
        <v>1158</v>
      </c>
      <c r="J538" s="639"/>
      <c r="K538" s="640">
        <v>0.04</v>
      </c>
      <c r="L538" s="610"/>
      <c r="M538" s="637" t="str">
        <f>IMAGE("https://raw.githubusercontent.com/msikma/pokesprite/master/items-outline/hold-item/life-orb.png",1)</f>
        <v/>
      </c>
      <c r="N538" s="638" t="s">
        <v>1158</v>
      </c>
      <c r="O538" s="639"/>
      <c r="P538" s="640">
        <v>0.04</v>
      </c>
      <c r="Q538" s="610"/>
      <c r="R538" s="637" t="str">
        <f>IMAGE("https://raw.githubusercontent.com/msikma/pokesprite/master/items-outline/hold-item/life-orb.png",1)</f>
        <v/>
      </c>
      <c r="S538" s="638" t="s">
        <v>1158</v>
      </c>
      <c r="T538" s="639"/>
      <c r="U538" s="640">
        <v>0.04</v>
      </c>
      <c r="V538" s="610"/>
      <c r="W538" s="709"/>
      <c r="X538" s="715"/>
      <c r="Y538" s="705"/>
      <c r="Z538" s="711"/>
      <c r="AA538" s="572"/>
      <c r="AB538" s="560"/>
    </row>
    <row r="539" ht="24.75" customHeight="1">
      <c r="A539" s="556"/>
      <c r="B539" s="577"/>
      <c r="C539" s="709"/>
      <c r="D539" s="715"/>
      <c r="E539" s="705"/>
      <c r="F539" s="711"/>
      <c r="G539" s="645"/>
      <c r="H539" s="641"/>
      <c r="I539" s="642" t="s">
        <v>1158</v>
      </c>
      <c r="J539" s="643"/>
      <c r="K539" s="644">
        <v>0.01</v>
      </c>
      <c r="L539" s="646"/>
      <c r="M539" s="641"/>
      <c r="N539" s="642" t="s">
        <v>1158</v>
      </c>
      <c r="O539" s="643"/>
      <c r="P539" s="644">
        <v>0.01</v>
      </c>
      <c r="Q539" s="646"/>
      <c r="R539" s="641"/>
      <c r="S539" s="642" t="s">
        <v>1158</v>
      </c>
      <c r="T539" s="643"/>
      <c r="U539" s="644">
        <v>0.01</v>
      </c>
      <c r="V539" s="709"/>
      <c r="W539" s="709"/>
      <c r="X539" s="715"/>
      <c r="Y539" s="705"/>
      <c r="Z539" s="711"/>
      <c r="AA539" s="572"/>
      <c r="AB539" s="560"/>
    </row>
    <row r="540" ht="60.0" customHeight="1">
      <c r="A540" s="556"/>
      <c r="B540" s="577"/>
      <c r="C540" s="680" t="s">
        <v>1173</v>
      </c>
      <c r="Z540" s="588"/>
      <c r="AA540" s="648"/>
      <c r="AB540" s="560"/>
    </row>
    <row r="541" ht="37.5" customHeight="1">
      <c r="A541" s="556"/>
      <c r="B541" s="577"/>
      <c r="C541" s="703"/>
      <c r="D541" s="704"/>
      <c r="E541" s="705"/>
      <c r="F541" s="706"/>
      <c r="G541" s="593"/>
      <c r="H541" s="590" t="s">
        <v>527</v>
      </c>
      <c r="I541" s="168"/>
      <c r="J541" s="591"/>
      <c r="K541" s="592" t="str">
        <f t="array" ref="K541">IFERROR(VLOOKUP(H541,Dex!$B$3:$N689,2,FALSE),"")</f>
        <v/>
      </c>
      <c r="L541" s="594"/>
      <c r="M541" s="590" t="s">
        <v>511</v>
      </c>
      <c r="N541" s="168"/>
      <c r="O541" s="591"/>
      <c r="P541" s="592" t="str">
        <f t="array" ref="P541">IFERROR(VLOOKUP(M541,Dex!$B$3:$N689,2,FALSE),"")</f>
        <v/>
      </c>
      <c r="Q541" s="594"/>
      <c r="R541" s="590" t="s">
        <v>988</v>
      </c>
      <c r="S541" s="168"/>
      <c r="T541" s="591"/>
      <c r="U541" s="592" t="str">
        <f t="array" ref="U541">IFERROR(VLOOKUP(R541,Dex!$B$3:$N689,2,FALSE),"")</f>
        <v/>
      </c>
      <c r="V541" s="594"/>
      <c r="W541" s="703"/>
      <c r="X541" s="704"/>
      <c r="Y541" s="705"/>
      <c r="Z541" s="706"/>
      <c r="AA541" s="572"/>
      <c r="AB541" s="560"/>
    </row>
    <row r="542">
      <c r="A542" s="595"/>
      <c r="B542" s="596"/>
      <c r="C542" s="703"/>
      <c r="D542" s="704"/>
      <c r="E542" s="705"/>
      <c r="F542" s="706"/>
      <c r="G542" s="601"/>
      <c r="H542" s="597" t="s">
        <v>1056</v>
      </c>
      <c r="I542" s="598"/>
      <c r="J542" s="599"/>
      <c r="K542" s="600" t="s">
        <v>1057</v>
      </c>
      <c r="L542" s="602"/>
      <c r="M542" s="597" t="s">
        <v>1056</v>
      </c>
      <c r="N542" s="598"/>
      <c r="O542" s="599"/>
      <c r="P542" s="600" t="s">
        <v>1057</v>
      </c>
      <c r="Q542" s="602"/>
      <c r="R542" s="597" t="s">
        <v>1056</v>
      </c>
      <c r="S542" s="598"/>
      <c r="T542" s="599"/>
      <c r="U542" s="600" t="s">
        <v>1057</v>
      </c>
      <c r="V542" s="602"/>
      <c r="W542" s="703"/>
      <c r="X542" s="704"/>
      <c r="Y542" s="705"/>
      <c r="Z542" s="706"/>
      <c r="AA542" s="603"/>
      <c r="AB542" s="604"/>
    </row>
    <row r="543" ht="24.0" customHeight="1">
      <c r="A543" s="556"/>
      <c r="B543" s="577"/>
      <c r="C543" s="703"/>
      <c r="D543" s="704"/>
      <c r="E543" s="705"/>
      <c r="F543" s="706"/>
      <c r="G543" s="609"/>
      <c r="H543" s="605" t="str">
        <f>IMAGE("https://raw.githubusercontent.com/msikma/pokesprite/master/items-outline/valuable-item/nugget.png",1)</f>
        <v/>
      </c>
      <c r="I543" s="606" t="s">
        <v>1084</v>
      </c>
      <c r="J543" s="607"/>
      <c r="K543" s="608">
        <v>1.0</v>
      </c>
      <c r="L543" s="610"/>
      <c r="M543" s="605" t="str">
        <f>IMAGE("https://raw.githubusercontent.com/msikma/pokesprite/master/items-outline/valuable-item/nugget.png",1)</f>
        <v/>
      </c>
      <c r="N543" s="606" t="s">
        <v>1084</v>
      </c>
      <c r="O543" s="607"/>
      <c r="P543" s="608">
        <v>1.0</v>
      </c>
      <c r="Q543" s="610"/>
      <c r="R543" s="605" t="str">
        <f>IMAGE("https://raw.githubusercontent.com/msikma/pokesprite/master/items-outline/valuable-item/star-piece.png",1)</f>
        <v/>
      </c>
      <c r="S543" s="606" t="s">
        <v>1108</v>
      </c>
      <c r="T543" s="607"/>
      <c r="U543" s="608">
        <v>1.0</v>
      </c>
      <c r="V543" s="716"/>
      <c r="W543" s="703"/>
      <c r="X543" s="704"/>
      <c r="Y543" s="705"/>
      <c r="Z543" s="706"/>
      <c r="AA543" s="572"/>
      <c r="AB543" s="560"/>
    </row>
    <row r="544" ht="24.0" customHeight="1">
      <c r="A544" s="556"/>
      <c r="B544" s="577"/>
      <c r="C544" s="707"/>
      <c r="D544" s="704"/>
      <c r="E544" s="705"/>
      <c r="F544" s="708"/>
      <c r="G544" s="609"/>
      <c r="H544" s="611" t="str">
        <f>IMAGE("https://raw.githubusercontent.com/msikma/pokesprite/master/items-outline/medicine/protein.png",1)</f>
        <v/>
      </c>
      <c r="I544" s="612" t="s">
        <v>1069</v>
      </c>
      <c r="J544" s="613"/>
      <c r="K544" s="614">
        <v>0.8</v>
      </c>
      <c r="L544" s="610"/>
      <c r="M544" s="611" t="str">
        <f>IMAGE("https://raw.githubusercontent.com/msikma/pokesprite/master/items-outline/medicine/protein.png",1)</f>
        <v/>
      </c>
      <c r="N544" s="612" t="s">
        <v>1069</v>
      </c>
      <c r="O544" s="613"/>
      <c r="P544" s="614">
        <v>0.8</v>
      </c>
      <c r="Q544" s="610"/>
      <c r="R544" s="611" t="str">
        <f>IMAGE("https://raw.githubusercontent.com/msikma/pokesprite/master/items-outline/valuable-item/nugget.png",1)</f>
        <v/>
      </c>
      <c r="S544" s="612" t="s">
        <v>1084</v>
      </c>
      <c r="T544" s="613"/>
      <c r="U544" s="614">
        <v>0.8</v>
      </c>
      <c r="V544" s="610"/>
      <c r="W544" s="707"/>
      <c r="X544" s="704"/>
      <c r="Y544" s="705"/>
      <c r="Z544" s="708"/>
      <c r="AA544" s="572"/>
      <c r="AB544" s="560"/>
    </row>
    <row r="545" ht="24.0" customHeight="1">
      <c r="A545" s="556"/>
      <c r="B545" s="577"/>
      <c r="C545" s="709"/>
      <c r="D545" s="710"/>
      <c r="E545" s="705"/>
      <c r="F545" s="711"/>
      <c r="G545" s="609"/>
      <c r="H545" s="615" t="str">
        <f>IMAGE("https://raw.githubusercontent.com/msikma/pokesprite/master/items-outline/valuable-item/big-nugget.png",1)</f>
        <v/>
      </c>
      <c r="I545" s="616" t="s">
        <v>1131</v>
      </c>
      <c r="J545" s="617"/>
      <c r="K545" s="618">
        <v>0.8</v>
      </c>
      <c r="L545" s="610"/>
      <c r="M545" s="615" t="str">
        <f>IMAGE("https://raw.githubusercontent.com/msikma/pokesprite/master/items-outline/valuable-item/big-nugget.png",1)</f>
        <v/>
      </c>
      <c r="N545" s="616" t="s">
        <v>1131</v>
      </c>
      <c r="O545" s="617"/>
      <c r="P545" s="618">
        <v>0.8</v>
      </c>
      <c r="Q545" s="610"/>
      <c r="R545" s="615" t="str">
        <f>IMAGE("https://raw.githubusercontent.com/msikma/pokesprite/master/items-outline/valuable-item/big-nugget.png",1)</f>
        <v/>
      </c>
      <c r="S545" s="616" t="s">
        <v>1131</v>
      </c>
      <c r="T545" s="617"/>
      <c r="U545" s="618">
        <v>0.8</v>
      </c>
      <c r="V545" s="610"/>
      <c r="W545" s="709"/>
      <c r="X545" s="710"/>
      <c r="Y545" s="705"/>
      <c r="Z545" s="711"/>
      <c r="AA545" s="572"/>
      <c r="AB545" s="560"/>
    </row>
    <row r="546" ht="24.0" customHeight="1">
      <c r="A546" s="556"/>
      <c r="B546" s="577"/>
      <c r="C546" s="709"/>
      <c r="D546" s="710"/>
      <c r="E546" s="705"/>
      <c r="F546" s="712"/>
      <c r="G546" s="609"/>
      <c r="H546" s="619" t="str">
        <f>IMAGE("https://raw.githubusercontent.com/msikma/pokesprite/master/items-outline/medicine/calcium.png",1)</f>
        <v/>
      </c>
      <c r="I546" s="620" t="s">
        <v>1075</v>
      </c>
      <c r="J546" s="621"/>
      <c r="K546" s="622">
        <v>0.5</v>
      </c>
      <c r="L546" s="610"/>
      <c r="M546" s="619" t="str">
        <f>IMAGE("https://raw.githubusercontent.com/msikma/pokesprite/master/items-outline/medicine/calcium.png",1)</f>
        <v/>
      </c>
      <c r="N546" s="620" t="s">
        <v>1075</v>
      </c>
      <c r="O546" s="621"/>
      <c r="P546" s="622">
        <v>0.5</v>
      </c>
      <c r="Q546" s="610"/>
      <c r="R546" s="619" t="str">
        <f>IMAGE("https://raw.githubusercontent.com/msikma/pokesprite/master/items-outline/medicine/protein.png",1)</f>
        <v/>
      </c>
      <c r="S546" s="620" t="s">
        <v>1069</v>
      </c>
      <c r="T546" s="621"/>
      <c r="U546" s="622">
        <v>0.5</v>
      </c>
      <c r="V546" s="610"/>
      <c r="W546" s="709"/>
      <c r="X546" s="710"/>
      <c r="Y546" s="705"/>
      <c r="Z546" s="712"/>
      <c r="AA546" s="572"/>
      <c r="AB546" s="560"/>
    </row>
    <row r="547" ht="24.0" customHeight="1">
      <c r="A547" s="556"/>
      <c r="B547" s="577"/>
      <c r="C547" s="709"/>
      <c r="D547" s="710"/>
      <c r="E547" s="705"/>
      <c r="F547" s="712"/>
      <c r="G547" s="609"/>
      <c r="H547" s="623" t="str">
        <f>IMAGE("https://raw.githubusercontent.com/msikma/pokesprite/master/items-outline/medicine/carbos.png",1)</f>
        <v/>
      </c>
      <c r="I547" s="624" t="s">
        <v>1080</v>
      </c>
      <c r="J547" s="625"/>
      <c r="K547" s="626">
        <v>0.5</v>
      </c>
      <c r="L547" s="610"/>
      <c r="M547" s="623" t="str">
        <f>IMAGE("https://raw.githubusercontent.com/msikma/pokesprite/master/items-outline/medicine/carbos.png",1)</f>
        <v/>
      </c>
      <c r="N547" s="624" t="s">
        <v>1080</v>
      </c>
      <c r="O547" s="625"/>
      <c r="P547" s="626">
        <v>0.5</v>
      </c>
      <c r="Q547" s="610"/>
      <c r="R547" s="623" t="str">
        <f>IMAGE("https://raw.githubusercontent.com/msikma/pokesprite/master/items-outline/medicine/calcium.png",1)</f>
        <v/>
      </c>
      <c r="S547" s="624" t="s">
        <v>1075</v>
      </c>
      <c r="T547" s="625"/>
      <c r="U547" s="626">
        <v>0.5</v>
      </c>
      <c r="V547" s="610"/>
      <c r="W547" s="709"/>
      <c r="X547" s="710"/>
      <c r="Y547" s="705"/>
      <c r="Z547" s="712"/>
      <c r="AA547" s="572"/>
      <c r="AB547" s="560"/>
    </row>
    <row r="548" ht="24.0" customHeight="1">
      <c r="A548" s="556"/>
      <c r="B548" s="577"/>
      <c r="C548" s="709"/>
      <c r="D548" s="710"/>
      <c r="E548" s="705"/>
      <c r="F548" s="712"/>
      <c r="G548" s="609"/>
      <c r="H548" s="611" t="str">
        <f>IMAGE("https://raw.githubusercontent.com/msikma/pokesprite/master/items-outline/medicine/pp-up.png",1)</f>
        <v/>
      </c>
      <c r="I548" s="612" t="s">
        <v>1070</v>
      </c>
      <c r="J548" s="613"/>
      <c r="K548" s="627">
        <v>0.3</v>
      </c>
      <c r="L548" s="610"/>
      <c r="M548" s="611" t="str">
        <f>IMAGE("https://raw.githubusercontent.com/msikma/pokesprite/master/items-outline/medicine/pp-up.png",1)</f>
        <v/>
      </c>
      <c r="N548" s="612" t="s">
        <v>1070</v>
      </c>
      <c r="O548" s="613"/>
      <c r="P548" s="627">
        <v>0.3</v>
      </c>
      <c r="Q548" s="610"/>
      <c r="R548" s="611" t="str">
        <f>IMAGE("https://raw.githubusercontent.com/msikma/pokesprite/master/items-outline/medicine/pp-up.png",1)</f>
        <v/>
      </c>
      <c r="S548" s="612" t="s">
        <v>1070</v>
      </c>
      <c r="T548" s="613"/>
      <c r="U548" s="627">
        <v>0.3</v>
      </c>
      <c r="V548" s="610"/>
      <c r="W548" s="709"/>
      <c r="X548" s="710"/>
      <c r="Y548" s="705"/>
      <c r="Z548" s="712"/>
      <c r="AA548" s="572"/>
      <c r="AB548" s="560"/>
    </row>
    <row r="549" ht="24.0" customHeight="1">
      <c r="A549" s="556"/>
      <c r="B549" s="577"/>
      <c r="C549" s="709"/>
      <c r="D549" s="710"/>
      <c r="E549" s="705"/>
      <c r="F549" s="712"/>
      <c r="G549" s="609"/>
      <c r="H549" s="615" t="str">
        <f>IMAGE("https://raw.githubusercontent.com/msikma/pokesprite/master/items-outline/medicine/pp-max.png",1)</f>
        <v/>
      </c>
      <c r="I549" s="616" t="s">
        <v>1143</v>
      </c>
      <c r="J549" s="617"/>
      <c r="K549" s="628">
        <v>0.3</v>
      </c>
      <c r="L549" s="610"/>
      <c r="M549" s="615" t="str">
        <f>IMAGE("https://raw.githubusercontent.com/msikma/pokesprite/master/items-outline/medicine/pp-max.png",1)</f>
        <v/>
      </c>
      <c r="N549" s="616" t="s">
        <v>1143</v>
      </c>
      <c r="O549" s="617"/>
      <c r="P549" s="628">
        <v>0.3</v>
      </c>
      <c r="Q549" s="610"/>
      <c r="R549" s="615" t="str">
        <f>IMAGE("https://raw.githubusercontent.com/msikma/pokesprite/master/items-outline/medicine/pp-max.png",1)</f>
        <v/>
      </c>
      <c r="S549" s="616" t="s">
        <v>1143</v>
      </c>
      <c r="T549" s="617"/>
      <c r="U549" s="628">
        <v>0.3</v>
      </c>
      <c r="V549" s="610"/>
      <c r="W549" s="709"/>
      <c r="X549" s="710"/>
      <c r="Y549" s="705"/>
      <c r="Z549" s="712"/>
      <c r="AA549" s="572"/>
      <c r="AB549" s="560"/>
    </row>
    <row r="550" ht="24.0" customHeight="1">
      <c r="A550" s="556"/>
      <c r="B550" s="577"/>
      <c r="C550" s="709"/>
      <c r="D550" s="710"/>
      <c r="E550" s="705"/>
      <c r="F550" s="712"/>
      <c r="G550" s="609"/>
      <c r="H550" s="619" t="str">
        <f>IMAGE("https://raw.githubusercontent.com/msikma/pokesprite/master/items-outline/valuable-item/star-piece.png",1)</f>
        <v/>
      </c>
      <c r="I550" s="620" t="s">
        <v>1108</v>
      </c>
      <c r="J550" s="621"/>
      <c r="K550" s="629">
        <v>0.25</v>
      </c>
      <c r="L550" s="610"/>
      <c r="M550" s="619" t="str">
        <f>IMAGE("https://raw.githubusercontent.com/msikma/pokesprite/master/items-outline/valuable-item/star-piece.png",1)</f>
        <v/>
      </c>
      <c r="N550" s="620" t="s">
        <v>1108</v>
      </c>
      <c r="O550" s="621"/>
      <c r="P550" s="629">
        <v>0.25</v>
      </c>
      <c r="Q550" s="610"/>
      <c r="R550" s="619"/>
      <c r="S550" s="620" t="s">
        <v>1068</v>
      </c>
      <c r="T550" s="621"/>
      <c r="U550" s="629">
        <v>0.25</v>
      </c>
      <c r="V550" s="610"/>
      <c r="W550" s="709"/>
      <c r="X550" s="710"/>
      <c r="Y550" s="705"/>
      <c r="Z550" s="712"/>
      <c r="AA550" s="572"/>
      <c r="AB550" s="560"/>
    </row>
    <row r="551" ht="24.0" customHeight="1">
      <c r="A551" s="556"/>
      <c r="B551" s="577"/>
      <c r="C551" s="709"/>
      <c r="D551" s="715"/>
      <c r="E551" s="705"/>
      <c r="F551" s="712"/>
      <c r="G551" s="609"/>
      <c r="H551" s="623"/>
      <c r="I551" s="630" t="s">
        <v>1068</v>
      </c>
      <c r="J551" s="625"/>
      <c r="K551" s="631">
        <v>0.25</v>
      </c>
      <c r="L551" s="610"/>
      <c r="M551" s="623"/>
      <c r="N551" s="630" t="s">
        <v>1068</v>
      </c>
      <c r="O551" s="625"/>
      <c r="P551" s="631">
        <v>0.25</v>
      </c>
      <c r="Q551" s="610"/>
      <c r="R551" s="623"/>
      <c r="S551" s="630" t="s">
        <v>1108</v>
      </c>
      <c r="T551" s="625"/>
      <c r="U551" s="631">
        <v>0.25</v>
      </c>
      <c r="V551" s="610"/>
      <c r="W551" s="709"/>
      <c r="X551" s="715"/>
      <c r="Y551" s="705"/>
      <c r="Z551" s="712"/>
      <c r="AA551" s="572"/>
      <c r="AB551" s="560"/>
    </row>
    <row r="552" ht="24.0" customHeight="1">
      <c r="A552" s="556"/>
      <c r="B552" s="577"/>
      <c r="C552" s="709"/>
      <c r="D552" s="715"/>
      <c r="E552" s="705"/>
      <c r="F552" s="711"/>
      <c r="G552" s="636"/>
      <c r="H552" s="632" t="str">
        <f>IMAGE("https://raw.githubusercontent.com/msikma/pokesprite/master/items-outline/hold-item/lucky-egg.png",1)</f>
        <v/>
      </c>
      <c r="I552" s="633" t="s">
        <v>1071</v>
      </c>
      <c r="J552" s="634"/>
      <c r="K552" s="635">
        <v>0.05</v>
      </c>
      <c r="L552" s="610"/>
      <c r="M552" s="632" t="str">
        <f>IMAGE("https://raw.githubusercontent.com/msikma/pokesprite/master/items-outline/hold-item/lucky-egg.png",1)</f>
        <v/>
      </c>
      <c r="N552" s="633" t="s">
        <v>1071</v>
      </c>
      <c r="O552" s="634"/>
      <c r="P552" s="635">
        <v>0.05</v>
      </c>
      <c r="Q552" s="610"/>
      <c r="R552" s="632" t="str">
        <f>IMAGE("https://raw.githubusercontent.com/msikma/pokesprite/master/items-outline/hold-item/lucky-egg.png",1)</f>
        <v/>
      </c>
      <c r="S552" s="633" t="s">
        <v>1071</v>
      </c>
      <c r="T552" s="634"/>
      <c r="U552" s="635">
        <v>0.05</v>
      </c>
      <c r="V552" s="610"/>
      <c r="W552" s="709"/>
      <c r="X552" s="715"/>
      <c r="Y552" s="705"/>
      <c r="Z552" s="711"/>
      <c r="AA552" s="572"/>
      <c r="AB552" s="560"/>
    </row>
    <row r="553" ht="24.0" customHeight="1">
      <c r="A553" s="556"/>
      <c r="B553" s="577"/>
      <c r="C553" s="709"/>
      <c r="D553" s="715"/>
      <c r="E553" s="705"/>
      <c r="F553" s="711"/>
      <c r="G553" s="636"/>
      <c r="H553" s="637" t="str">
        <f>IMAGE("https://raw.githubusercontent.com/msikma/pokesprite/master/items-outline/hold-item/life-orb.png",1)</f>
        <v/>
      </c>
      <c r="I553" s="638" t="s">
        <v>1158</v>
      </c>
      <c r="J553" s="639"/>
      <c r="K553" s="640">
        <v>0.04</v>
      </c>
      <c r="L553" s="610"/>
      <c r="M553" s="637" t="str">
        <f>IMAGE("https://raw.githubusercontent.com/msikma/pokesprite/master/items-outline/medicine/pp-max.png",1)</f>
        <v/>
      </c>
      <c r="N553" s="638" t="s">
        <v>1143</v>
      </c>
      <c r="O553" s="639"/>
      <c r="P553" s="640">
        <v>0.04</v>
      </c>
      <c r="Q553" s="610"/>
      <c r="R553" s="637" t="str">
        <f>IMAGE("https://raw.githubusercontent.com/msikma/pokesprite/master/items-outline/medicine/pp-max.png",1)</f>
        <v/>
      </c>
      <c r="S553" s="638" t="s">
        <v>1143</v>
      </c>
      <c r="T553" s="639"/>
      <c r="U553" s="640">
        <v>0.04</v>
      </c>
      <c r="V553" s="610"/>
      <c r="W553" s="709"/>
      <c r="X553" s="715"/>
      <c r="Y553" s="705"/>
      <c r="Z553" s="711"/>
      <c r="AA553" s="572"/>
      <c r="AB553" s="560"/>
    </row>
    <row r="554" ht="24.75" customHeight="1">
      <c r="A554" s="556"/>
      <c r="B554" s="577"/>
      <c r="C554" s="709"/>
      <c r="D554" s="715"/>
      <c r="E554" s="705"/>
      <c r="F554" s="711"/>
      <c r="G554" s="645"/>
      <c r="H554" s="641"/>
      <c r="I554" s="642" t="s">
        <v>1158</v>
      </c>
      <c r="J554" s="643"/>
      <c r="K554" s="644">
        <v>0.01</v>
      </c>
      <c r="L554" s="646"/>
      <c r="M554" s="641"/>
      <c r="N554" s="642" t="s">
        <v>1143</v>
      </c>
      <c r="O554" s="643"/>
      <c r="P554" s="644">
        <v>0.01</v>
      </c>
      <c r="Q554" s="646"/>
      <c r="R554" s="641"/>
      <c r="S554" s="642" t="s">
        <v>1143</v>
      </c>
      <c r="T554" s="643"/>
      <c r="U554" s="644">
        <v>0.01</v>
      </c>
      <c r="V554" s="709"/>
      <c r="W554" s="709"/>
      <c r="X554" s="715"/>
      <c r="Y554" s="705"/>
      <c r="Z554" s="711"/>
      <c r="AA554" s="572"/>
      <c r="AB554" s="560"/>
    </row>
    <row r="555" ht="60.0" customHeight="1">
      <c r="A555" s="556"/>
      <c r="B555" s="577"/>
      <c r="C555" s="680" t="s">
        <v>1174</v>
      </c>
      <c r="Z555" s="588"/>
      <c r="AA555" s="648"/>
      <c r="AB555" s="560"/>
    </row>
    <row r="556" ht="37.5" customHeight="1">
      <c r="A556" s="556"/>
      <c r="B556" s="577"/>
      <c r="C556" s="590" t="s">
        <v>950</v>
      </c>
      <c r="D556" s="168"/>
      <c r="E556" s="591"/>
      <c r="F556" s="592" t="str">
        <f t="array" ref="F556">IFERROR(VLOOKUP(C556,Dex!$B$3:$N689,2,FALSE),"")</f>
        <v/>
      </c>
      <c r="G556" s="593"/>
      <c r="H556" s="590" t="s">
        <v>953</v>
      </c>
      <c r="I556" s="168"/>
      <c r="J556" s="591"/>
      <c r="K556" s="592" t="str">
        <f t="array" ref="K556">IFERROR(VLOOKUP(H556,Dex!$B$3:$N689,2,FALSE),"")</f>
        <v/>
      </c>
      <c r="L556" s="594"/>
      <c r="M556" s="590" t="s">
        <v>969</v>
      </c>
      <c r="N556" s="168"/>
      <c r="O556" s="591"/>
      <c r="P556" s="592" t="str">
        <f t="array" ref="P556">IFERROR(VLOOKUP(M556,Dex!$B$3:$N689,2,FALSE),"")</f>
        <v/>
      </c>
      <c r="Q556" s="594"/>
      <c r="R556" s="590" t="s">
        <v>956</v>
      </c>
      <c r="S556" s="168"/>
      <c r="T556" s="591"/>
      <c r="U556" s="592" t="str">
        <f t="array" ref="U556">IFERROR(VLOOKUP(R556,Dex!$B$3:$N689,2,FALSE),"")</f>
        <v/>
      </c>
      <c r="V556" s="594"/>
      <c r="W556" s="590" t="s">
        <v>948</v>
      </c>
      <c r="X556" s="168"/>
      <c r="Y556" s="591"/>
      <c r="Z556" s="592" t="str">
        <f t="array" ref="Z556">IFERROR(VLOOKUP(W556,Dex!$B$3:$N689,2,FALSE),"")</f>
        <v/>
      </c>
      <c r="AA556" s="572"/>
      <c r="AB556" s="560"/>
    </row>
    <row r="557">
      <c r="A557" s="595"/>
      <c r="B557" s="596"/>
      <c r="C557" s="597" t="s">
        <v>1056</v>
      </c>
      <c r="D557" s="598"/>
      <c r="E557" s="599"/>
      <c r="F557" s="600" t="s">
        <v>1057</v>
      </c>
      <c r="G557" s="601"/>
      <c r="H557" s="597" t="s">
        <v>1056</v>
      </c>
      <c r="I557" s="598"/>
      <c r="J557" s="599"/>
      <c r="K557" s="600" t="s">
        <v>1057</v>
      </c>
      <c r="L557" s="602"/>
      <c r="M557" s="597" t="s">
        <v>1056</v>
      </c>
      <c r="N557" s="598"/>
      <c r="O557" s="599"/>
      <c r="P557" s="600" t="s">
        <v>1057</v>
      </c>
      <c r="Q557" s="602"/>
      <c r="R557" s="597" t="s">
        <v>1056</v>
      </c>
      <c r="S557" s="598"/>
      <c r="T557" s="599"/>
      <c r="U557" s="600" t="s">
        <v>1057</v>
      </c>
      <c r="V557" s="602"/>
      <c r="W557" s="597" t="s">
        <v>1056</v>
      </c>
      <c r="X557" s="598"/>
      <c r="Y557" s="599"/>
      <c r="Z557" s="600" t="s">
        <v>1057</v>
      </c>
      <c r="AA557" s="603"/>
      <c r="AB557" s="604"/>
    </row>
    <row r="558" ht="24.0" customHeight="1">
      <c r="A558" s="556"/>
      <c r="B558" s="577"/>
      <c r="C558" s="605" t="str">
        <f>IMAGE("https://raw.githubusercontent.com/msikma/pokesprite/master/items-outline/valuable-item/nugget.png",1)</f>
        <v/>
      </c>
      <c r="D558" s="606" t="s">
        <v>1084</v>
      </c>
      <c r="E558" s="607"/>
      <c r="F558" s="608">
        <v>1.0</v>
      </c>
      <c r="G558" s="609"/>
      <c r="H558" s="605" t="str">
        <f>IMAGE("https://raw.githubusercontent.com/msikma/pokesprite/master/items-outline/valuable-item/nugget.png",1)</f>
        <v/>
      </c>
      <c r="I558" s="606" t="s">
        <v>1084</v>
      </c>
      <c r="J558" s="607"/>
      <c r="K558" s="608">
        <v>1.0</v>
      </c>
      <c r="L558" s="610"/>
      <c r="M558" s="605" t="str">
        <f>IMAGE("https://raw.githubusercontent.com/msikma/pokesprite/master/items-outline/valuable-item/nugget.png",1)</f>
        <v/>
      </c>
      <c r="N558" s="606" t="s">
        <v>1084</v>
      </c>
      <c r="O558" s="607"/>
      <c r="P558" s="608">
        <v>1.0</v>
      </c>
      <c r="Q558" s="610"/>
      <c r="R558" s="605" t="str">
        <f>IMAGE("https://raw.githubusercontent.com/msikma/pokesprite/master/items-outline/valuable-item/nugget.png",1)</f>
        <v/>
      </c>
      <c r="S558" s="606" t="s">
        <v>1084</v>
      </c>
      <c r="T558" s="607"/>
      <c r="U558" s="608">
        <v>1.0</v>
      </c>
      <c r="V558" s="610"/>
      <c r="W558" s="605" t="str">
        <f>IMAGE("https://raw.githubusercontent.com/msikma/pokesprite/master/items-outline/valuable-item/nugget.png",1)</f>
        <v/>
      </c>
      <c r="X558" s="606" t="s">
        <v>1084</v>
      </c>
      <c r="Y558" s="607"/>
      <c r="Z558" s="608">
        <v>1.0</v>
      </c>
      <c r="AA558" s="572"/>
      <c r="AB558" s="560"/>
    </row>
    <row r="559" ht="24.0" customHeight="1">
      <c r="A559" s="556"/>
      <c r="B559" s="577"/>
      <c r="C559" s="717" t="str">
        <f>IMAGE("https://raw.githubusercontent.com/msikma/pokesprite/master/items-outline/valuable-item/big-nugget.png",1)</f>
        <v/>
      </c>
      <c r="D559" s="718" t="s">
        <v>1131</v>
      </c>
      <c r="E559" s="719"/>
      <c r="F559" s="720">
        <v>0.8</v>
      </c>
      <c r="G559" s="609"/>
      <c r="H559" s="717" t="str">
        <f>IMAGE("https://raw.githubusercontent.com/msikma/pokesprite/master/items-outline/valuable-item/big-nugget.png",1)</f>
        <v/>
      </c>
      <c r="I559" s="718" t="s">
        <v>1131</v>
      </c>
      <c r="J559" s="719"/>
      <c r="K559" s="720">
        <v>0.8</v>
      </c>
      <c r="L559" s="610"/>
      <c r="M559" s="717" t="str">
        <f>IMAGE("https://raw.githubusercontent.com/msikma/pokesprite/master/items-outline/valuable-item/big-nugget.png",1)</f>
        <v/>
      </c>
      <c r="N559" s="718" t="s">
        <v>1131</v>
      </c>
      <c r="O559" s="719"/>
      <c r="P559" s="720">
        <v>0.8</v>
      </c>
      <c r="Q559" s="610"/>
      <c r="R559" s="717" t="str">
        <f>IMAGE("https://raw.githubusercontent.com/msikma/pokesprite/master/items-outline/valuable-item/big-nugget.png",1)</f>
        <v/>
      </c>
      <c r="S559" s="718" t="s">
        <v>1131</v>
      </c>
      <c r="T559" s="719"/>
      <c r="U559" s="720">
        <v>0.8</v>
      </c>
      <c r="V559" s="610"/>
      <c r="W559" s="717" t="str">
        <f>IMAGE("https://raw.githubusercontent.com/msikma/pokesprite/master/items-outline/valuable-item/big-nugget.png",1)</f>
        <v/>
      </c>
      <c r="X559" s="718" t="s">
        <v>1131</v>
      </c>
      <c r="Y559" s="719"/>
      <c r="Z559" s="720">
        <v>0.8</v>
      </c>
      <c r="AA559" s="572"/>
      <c r="AB559" s="560"/>
    </row>
    <row r="560" ht="24.0" customHeight="1">
      <c r="A560" s="556"/>
      <c r="B560" s="577"/>
      <c r="C560" s="615" t="str">
        <f>IMAGE("https://raw.githubusercontent.com/msikma/pokesprite/master/items-outline/medicine/calcium.png",1)</f>
        <v/>
      </c>
      <c r="D560" s="616" t="s">
        <v>1075</v>
      </c>
      <c r="E560" s="617"/>
      <c r="F560" s="713">
        <v>0.8</v>
      </c>
      <c r="G560" s="609"/>
      <c r="H560" s="615" t="str">
        <f>IMAGE("https://raw.githubusercontent.com/msikma/pokesprite/master/items-outline/medicine/calcium.png",1)</f>
        <v/>
      </c>
      <c r="I560" s="616" t="s">
        <v>1075</v>
      </c>
      <c r="J560" s="617"/>
      <c r="K560" s="713">
        <v>0.8</v>
      </c>
      <c r="L560" s="610"/>
      <c r="M560" s="615" t="str">
        <f>IMAGE("https://raw.githubusercontent.com/msikma/pokesprite/master/items-outline/medicine/calcium.png",1)</f>
        <v/>
      </c>
      <c r="N560" s="616" t="s">
        <v>1075</v>
      </c>
      <c r="O560" s="617"/>
      <c r="P560" s="713">
        <v>0.8</v>
      </c>
      <c r="Q560" s="610"/>
      <c r="R560" s="615" t="str">
        <f>IMAGE("https://raw.githubusercontent.com/msikma/pokesprite/master/items-outline/medicine/calcium.png",1)</f>
        <v/>
      </c>
      <c r="S560" s="616" t="s">
        <v>1075</v>
      </c>
      <c r="T560" s="617"/>
      <c r="U560" s="713">
        <v>0.8</v>
      </c>
      <c r="V560" s="610"/>
      <c r="W560" s="615" t="str">
        <f>IMAGE("https://raw.githubusercontent.com/msikma/pokesprite/master/items-outline/medicine/calcium.png",1)</f>
        <v/>
      </c>
      <c r="X560" s="616" t="s">
        <v>1075</v>
      </c>
      <c r="Y560" s="617"/>
      <c r="Z560" s="713">
        <v>0.8</v>
      </c>
      <c r="AA560" s="572"/>
      <c r="AB560" s="560"/>
    </row>
    <row r="561" ht="24.0" customHeight="1">
      <c r="A561" s="556"/>
      <c r="B561" s="577"/>
      <c r="C561" s="619" t="str">
        <f>IMAGE("https://raw.githubusercontent.com/msikma/pokesprite/master/items-outline/medicine/carbos.png",1)</f>
        <v/>
      </c>
      <c r="D561" s="620" t="s">
        <v>1080</v>
      </c>
      <c r="E561" s="621"/>
      <c r="F561" s="727">
        <v>0.5</v>
      </c>
      <c r="G561" s="609"/>
      <c r="H561" s="728" t="str">
        <f>IMAGE("https://raw.githubusercontent.com/msikma/pokesprite/master/items-outline/medicine/carbos.png",1)</f>
        <v/>
      </c>
      <c r="I561" s="729" t="s">
        <v>1080</v>
      </c>
      <c r="J561" s="730"/>
      <c r="K561" s="731">
        <v>0.5</v>
      </c>
      <c r="L561" s="610"/>
      <c r="M561" s="728" t="str">
        <f>IMAGE("https://raw.githubusercontent.com/msikma/pokesprite/master/items-outline/medicine/carbos.png",1)</f>
        <v/>
      </c>
      <c r="N561" s="729" t="s">
        <v>1080</v>
      </c>
      <c r="O561" s="730"/>
      <c r="P561" s="731">
        <v>0.5</v>
      </c>
      <c r="Q561" s="610"/>
      <c r="R561" s="728" t="str">
        <f>IMAGE("https://raw.githubusercontent.com/msikma/pokesprite/master/items-outline/medicine/carbos.png",1)</f>
        <v/>
      </c>
      <c r="S561" s="729" t="s">
        <v>1080</v>
      </c>
      <c r="T561" s="730"/>
      <c r="U561" s="731">
        <v>0.5</v>
      </c>
      <c r="V561" s="610"/>
      <c r="W561" s="728" t="str">
        <f>IMAGE("https://raw.githubusercontent.com/msikma/pokesprite/master/items-outline/medicine/carbos.png",1)</f>
        <v/>
      </c>
      <c r="X561" s="729" t="s">
        <v>1080</v>
      </c>
      <c r="Y561" s="730"/>
      <c r="Z561" s="731">
        <v>0.5</v>
      </c>
      <c r="AA561" s="572"/>
      <c r="AB561" s="560"/>
    </row>
    <row r="562" ht="24.0" customHeight="1">
      <c r="A562" s="556"/>
      <c r="B562" s="577"/>
      <c r="C562" s="623" t="str">
        <f>IMAGE("https://raw.githubusercontent.com/msikma/pokesprite/master/items-outline/valuable-item/stardust.png",1)</f>
        <v/>
      </c>
      <c r="D562" s="624" t="s">
        <v>1059</v>
      </c>
      <c r="E562" s="625"/>
      <c r="F562" s="732">
        <v>0.5</v>
      </c>
      <c r="G562" s="609"/>
      <c r="H562" s="623" t="str">
        <f>IMAGE("https://raw.githubusercontent.com/msikma/pokesprite/master/items-outline/valuable-item/stardust.png",1)</f>
        <v/>
      </c>
      <c r="I562" s="624" t="s">
        <v>1059</v>
      </c>
      <c r="J562" s="625"/>
      <c r="K562" s="732">
        <v>0.5</v>
      </c>
      <c r="L562" s="610"/>
      <c r="M562" s="623" t="str">
        <f>IMAGE("https://raw.githubusercontent.com/msikma/pokesprite/master/items-outline/valuable-item/stardust.png",1)</f>
        <v/>
      </c>
      <c r="N562" s="624" t="s">
        <v>1059</v>
      </c>
      <c r="O562" s="625"/>
      <c r="P562" s="732">
        <v>0.5</v>
      </c>
      <c r="Q562" s="610"/>
      <c r="R562" s="623" t="str">
        <f>IMAGE("https://raw.githubusercontent.com/msikma/pokesprite/master/items-outline/valuable-item/stardust.png",1)</f>
        <v/>
      </c>
      <c r="S562" s="624" t="s">
        <v>1059</v>
      </c>
      <c r="T562" s="625"/>
      <c r="U562" s="732">
        <v>0.5</v>
      </c>
      <c r="V562" s="610"/>
      <c r="W562" s="623" t="str">
        <f>IMAGE("https://raw.githubusercontent.com/msikma/pokesprite/master/items-outline/valuable-item/stardust.png",1)</f>
        <v/>
      </c>
      <c r="X562" s="624" t="s">
        <v>1059</v>
      </c>
      <c r="Y562" s="625"/>
      <c r="Z562" s="732">
        <v>0.5</v>
      </c>
      <c r="AA562" s="572"/>
      <c r="AB562" s="560"/>
    </row>
    <row r="563" ht="24.0" customHeight="1">
      <c r="A563" s="556"/>
      <c r="B563" s="577"/>
      <c r="C563" s="611" t="str">
        <f>IMAGE("https://raw.githubusercontent.com/msikma/pokesprite/master/items-outline/valuable-item/star-piece.png",1)</f>
        <v/>
      </c>
      <c r="D563" s="612" t="s">
        <v>1108</v>
      </c>
      <c r="E563" s="613"/>
      <c r="F563" s="714">
        <v>0.3</v>
      </c>
      <c r="G563" s="609"/>
      <c r="H563" s="611" t="str">
        <f>IMAGE("https://raw.githubusercontent.com/msikma/pokesprite/master/items-outline/valuable-item/star-piece.png",1)</f>
        <v/>
      </c>
      <c r="I563" s="612" t="s">
        <v>1108</v>
      </c>
      <c r="J563" s="613"/>
      <c r="K563" s="714">
        <v>0.3</v>
      </c>
      <c r="L563" s="610"/>
      <c r="M563" s="611" t="str">
        <f>IMAGE("https://raw.githubusercontent.com/msikma/pokesprite/master/items-outline/valuable-item/star-piece.png",1)</f>
        <v/>
      </c>
      <c r="N563" s="612" t="s">
        <v>1108</v>
      </c>
      <c r="O563" s="613"/>
      <c r="P563" s="714">
        <v>0.3</v>
      </c>
      <c r="Q563" s="610"/>
      <c r="R563" s="611" t="str">
        <f>IMAGE("https://raw.githubusercontent.com/msikma/pokesprite/master/items-outline/valuable-item/star-piece.png",1)</f>
        <v/>
      </c>
      <c r="S563" s="612" t="s">
        <v>1108</v>
      </c>
      <c r="T563" s="613"/>
      <c r="U563" s="714">
        <v>0.3</v>
      </c>
      <c r="V563" s="610"/>
      <c r="W563" s="611" t="str">
        <f>IMAGE("https://raw.githubusercontent.com/msikma/pokesprite/master/items-outline/valuable-item/star-piece.png",1)</f>
        <v/>
      </c>
      <c r="X563" s="612" t="s">
        <v>1108</v>
      </c>
      <c r="Y563" s="613"/>
      <c r="Z563" s="714">
        <v>0.3</v>
      </c>
      <c r="AA563" s="572"/>
      <c r="AB563" s="560"/>
    </row>
    <row r="564" ht="24.0" customHeight="1">
      <c r="A564" s="556"/>
      <c r="B564" s="577"/>
      <c r="C564" s="615" t="str">
        <f>IMAGE("https://raw.githubusercontent.com/msikma/pokesprite/master/items-outline/medicine/pp-max.png",1)</f>
        <v/>
      </c>
      <c r="D564" s="616" t="s">
        <v>1143</v>
      </c>
      <c r="E564" s="617"/>
      <c r="F564" s="670">
        <v>0.3</v>
      </c>
      <c r="G564" s="609"/>
      <c r="H564" s="615" t="str">
        <f>IMAGE("https://raw.githubusercontent.com/msikma/pokesprite/master/items-outline/medicine/pp-max.png",1)</f>
        <v/>
      </c>
      <c r="I564" s="616" t="s">
        <v>1143</v>
      </c>
      <c r="J564" s="617"/>
      <c r="K564" s="670">
        <v>0.3</v>
      </c>
      <c r="L564" s="610"/>
      <c r="M564" s="615" t="str">
        <f>IMAGE("https://raw.githubusercontent.com/msikma/pokesprite/master/items-outline/medicine/pp-max.png",1)</f>
        <v/>
      </c>
      <c r="N564" s="616" t="s">
        <v>1143</v>
      </c>
      <c r="O564" s="617"/>
      <c r="P564" s="670">
        <v>0.3</v>
      </c>
      <c r="Q564" s="610"/>
      <c r="R564" s="615" t="str">
        <f>IMAGE("https://raw.githubusercontent.com/msikma/pokesprite/master/items-outline/medicine/pp-max.png",1)</f>
        <v/>
      </c>
      <c r="S564" s="616" t="s">
        <v>1143</v>
      </c>
      <c r="T564" s="617"/>
      <c r="U564" s="670">
        <v>0.3</v>
      </c>
      <c r="V564" s="610"/>
      <c r="W564" s="615" t="str">
        <f>IMAGE("https://raw.githubusercontent.com/msikma/pokesprite/master/items-outline/medicine/pp-max.png",1)</f>
        <v/>
      </c>
      <c r="X564" s="616" t="s">
        <v>1143</v>
      </c>
      <c r="Y564" s="617"/>
      <c r="Z564" s="670">
        <v>0.3</v>
      </c>
      <c r="AA564" s="572"/>
      <c r="AB564" s="560"/>
    </row>
    <row r="565" ht="24.0" customHeight="1">
      <c r="A565" s="556"/>
      <c r="B565" s="577"/>
      <c r="C565" s="619" t="str">
        <f>IMAGE("https://raw.githubusercontent.com/msikma/pokesprite/master/items-outline/ball/beast.png",1)</f>
        <v/>
      </c>
      <c r="D565" s="620" t="s">
        <v>1166</v>
      </c>
      <c r="E565" s="621"/>
      <c r="F565" s="629">
        <v>0.25</v>
      </c>
      <c r="G565" s="609"/>
      <c r="H565" s="619" t="str">
        <f>IMAGE("https://raw.githubusercontent.com/msikma/pokesprite/master/items-outline/ball/beast.png",1)</f>
        <v/>
      </c>
      <c r="I565" s="620" t="s">
        <v>1166</v>
      </c>
      <c r="J565" s="621"/>
      <c r="K565" s="629">
        <v>0.25</v>
      </c>
      <c r="L565" s="610"/>
      <c r="M565" s="619" t="str">
        <f>IMAGE("https://raw.githubusercontent.com/msikma/pokesprite/master/items-outline/ball/beast.png",1)</f>
        <v/>
      </c>
      <c r="N565" s="620" t="s">
        <v>1166</v>
      </c>
      <c r="O565" s="621"/>
      <c r="P565" s="629">
        <v>0.25</v>
      </c>
      <c r="Q565" s="610"/>
      <c r="R565" s="619" t="str">
        <f>IMAGE("https://raw.githubusercontent.com/msikma/pokesprite/master/items-outline/ball/beast.png",1)</f>
        <v/>
      </c>
      <c r="S565" s="620" t="s">
        <v>1166</v>
      </c>
      <c r="T565" s="621"/>
      <c r="U565" s="629">
        <v>0.25</v>
      </c>
      <c r="V565" s="610"/>
      <c r="W565" s="619" t="str">
        <f>IMAGE("https://raw.githubusercontent.com/msikma/pokesprite/master/items-outline/ball/beast.png",1)</f>
        <v/>
      </c>
      <c r="X565" s="620" t="s">
        <v>1166</v>
      </c>
      <c r="Y565" s="621"/>
      <c r="Z565" s="629">
        <v>0.25</v>
      </c>
      <c r="AA565" s="572"/>
      <c r="AB565" s="560"/>
    </row>
    <row r="566" ht="24.0" customHeight="1">
      <c r="A566" s="556"/>
      <c r="B566" s="577"/>
      <c r="C566" s="623" t="str">
        <f>IMAGE("https://raw.githubusercontent.com/msikma/pokesprite/master/items-outline/hold-item/power-herb.png",1)</f>
        <v/>
      </c>
      <c r="D566" s="630" t="s">
        <v>1167</v>
      </c>
      <c r="E566" s="625"/>
      <c r="F566" s="733">
        <v>0.25</v>
      </c>
      <c r="G566" s="609"/>
      <c r="H566" s="623" t="str">
        <f>IMAGE("https://raw.githubusercontent.com/msikma/pokesprite/master/items-outline/hold-item/power-herb.png",1)</f>
        <v/>
      </c>
      <c r="I566" s="630" t="s">
        <v>1167</v>
      </c>
      <c r="J566" s="625"/>
      <c r="K566" s="733">
        <v>0.25</v>
      </c>
      <c r="L566" s="610"/>
      <c r="M566" s="623" t="str">
        <f>IMAGE("https://raw.githubusercontent.com/msikma/pokesprite/master/items-outline/hold-item/power-herb.png",1)</f>
        <v/>
      </c>
      <c r="N566" s="630" t="s">
        <v>1167</v>
      </c>
      <c r="O566" s="625"/>
      <c r="P566" s="733">
        <v>0.25</v>
      </c>
      <c r="Q566" s="610"/>
      <c r="R566" s="623"/>
      <c r="S566" s="630" t="s">
        <v>1068</v>
      </c>
      <c r="T566" s="625"/>
      <c r="U566" s="733">
        <v>0.25</v>
      </c>
      <c r="V566" s="610"/>
      <c r="W566" s="623"/>
      <c r="X566" s="630" t="s">
        <v>1068</v>
      </c>
      <c r="Y566" s="625"/>
      <c r="Z566" s="733">
        <v>0.25</v>
      </c>
      <c r="AA566" s="572"/>
      <c r="AB566" s="560"/>
    </row>
    <row r="567" ht="24.0" customHeight="1">
      <c r="A567" s="556"/>
      <c r="B567" s="577"/>
      <c r="C567" s="717"/>
      <c r="D567" s="734" t="s">
        <v>1068</v>
      </c>
      <c r="E567" s="719"/>
      <c r="F567" s="735">
        <v>0.05</v>
      </c>
      <c r="G567" s="636"/>
      <c r="H567" s="717"/>
      <c r="I567" s="734" t="s">
        <v>1068</v>
      </c>
      <c r="J567" s="719"/>
      <c r="K567" s="735">
        <v>0.05</v>
      </c>
      <c r="L567" s="610"/>
      <c r="M567" s="717"/>
      <c r="N567" s="734" t="s">
        <v>1068</v>
      </c>
      <c r="O567" s="719"/>
      <c r="P567" s="735">
        <v>0.05</v>
      </c>
      <c r="Q567" s="610"/>
      <c r="R567" s="717" t="str">
        <f>IMAGE("https://raw.githubusercontent.com/msikma/pokesprite/master/items-outline/hold-item/lucky-egg.png",1)</f>
        <v/>
      </c>
      <c r="S567" s="734" t="s">
        <v>1071</v>
      </c>
      <c r="T567" s="719"/>
      <c r="U567" s="735">
        <v>0.05</v>
      </c>
      <c r="V567" s="610"/>
      <c r="W567" s="632" t="str">
        <f>IMAGE("https://raw.githubusercontent.com/msikma/pokesprite/master/items-outline/hold-item/lucky-egg.png",1)</f>
        <v/>
      </c>
      <c r="X567" s="734" t="s">
        <v>1071</v>
      </c>
      <c r="Y567" s="719"/>
      <c r="Z567" s="735">
        <v>0.05</v>
      </c>
      <c r="AA567" s="572"/>
      <c r="AB567" s="560"/>
    </row>
    <row r="568" ht="24.0" customHeight="1">
      <c r="A568" s="556"/>
      <c r="B568" s="577"/>
      <c r="C568" s="658" t="str">
        <f t="shared" ref="C568:C569" si="55">IMAGE("https://raw.githubusercontent.com/msikma/pokesprite/master/items-outline/hold-item/life-orb.png",1)</f>
        <v/>
      </c>
      <c r="D568" s="659" t="s">
        <v>1158</v>
      </c>
      <c r="E568" s="634"/>
      <c r="F568" s="640">
        <v>0.04</v>
      </c>
      <c r="G568" s="636"/>
      <c r="H568" s="658" t="str">
        <f t="shared" ref="H568:H569" si="56">IMAGE("https://raw.githubusercontent.com/msikma/pokesprite/master/items-outline/hold-item/life-orb.png",1)</f>
        <v/>
      </c>
      <c r="I568" s="659" t="s">
        <v>1158</v>
      </c>
      <c r="J568" s="634"/>
      <c r="K568" s="640">
        <v>0.04</v>
      </c>
      <c r="L568" s="610"/>
      <c r="M568" s="658" t="str">
        <f t="shared" ref="M568:M569" si="57">IMAGE("https://raw.githubusercontent.com/msikma/pokesprite/master/items-outline/hold-item/life-orb.png",1)</f>
        <v/>
      </c>
      <c r="N568" s="659" t="s">
        <v>1158</v>
      </c>
      <c r="O568" s="634"/>
      <c r="P568" s="640">
        <v>0.04</v>
      </c>
      <c r="Q568" s="610"/>
      <c r="R568" s="658" t="str">
        <f t="shared" ref="R568:R569" si="58">IMAGE("https://raw.githubusercontent.com/msikma/pokesprite/master/items-outline/hold-item/life-orb.png",1)</f>
        <v/>
      </c>
      <c r="S568" s="659" t="s">
        <v>1158</v>
      </c>
      <c r="T568" s="634"/>
      <c r="U568" s="640">
        <v>0.04</v>
      </c>
      <c r="V568" s="610"/>
      <c r="W568" s="658" t="str">
        <f t="shared" ref="W568:W569" si="59">IMAGE("https://raw.githubusercontent.com/msikma/pokesprite/master/items-outline/hold-item/life-orb.png",1)</f>
        <v/>
      </c>
      <c r="X568" s="659" t="s">
        <v>1158</v>
      </c>
      <c r="Y568" s="634"/>
      <c r="Z568" s="640">
        <v>0.04</v>
      </c>
      <c r="AA568" s="572"/>
      <c r="AB568" s="560"/>
    </row>
    <row r="569" ht="24.75" customHeight="1">
      <c r="A569" s="556"/>
      <c r="B569" s="577"/>
      <c r="C569" s="641" t="str">
        <f t="shared" si="55"/>
        <v/>
      </c>
      <c r="D569" s="642" t="s">
        <v>1158</v>
      </c>
      <c r="E569" s="643"/>
      <c r="F569" s="644">
        <v>0.01</v>
      </c>
      <c r="G569" s="645"/>
      <c r="H569" s="641" t="str">
        <f t="shared" si="56"/>
        <v/>
      </c>
      <c r="I569" s="642" t="s">
        <v>1158</v>
      </c>
      <c r="J569" s="643"/>
      <c r="K569" s="644">
        <v>0.01</v>
      </c>
      <c r="L569" s="646"/>
      <c r="M569" s="641" t="str">
        <f t="shared" si="57"/>
        <v/>
      </c>
      <c r="N569" s="642" t="s">
        <v>1158</v>
      </c>
      <c r="O569" s="643"/>
      <c r="P569" s="644">
        <v>0.01</v>
      </c>
      <c r="Q569" s="646"/>
      <c r="R569" s="641" t="str">
        <f t="shared" si="58"/>
        <v/>
      </c>
      <c r="S569" s="642" t="s">
        <v>1158</v>
      </c>
      <c r="T569" s="643"/>
      <c r="U569" s="644">
        <v>0.01</v>
      </c>
      <c r="V569" s="646"/>
      <c r="W569" s="641" t="str">
        <f t="shared" si="59"/>
        <v/>
      </c>
      <c r="X569" s="642" t="s">
        <v>1158</v>
      </c>
      <c r="Y569" s="643"/>
      <c r="Z569" s="644">
        <v>0.01</v>
      </c>
      <c r="AA569" s="572"/>
      <c r="AB569" s="560"/>
    </row>
    <row r="570" ht="60.0" customHeight="1">
      <c r="A570" s="556"/>
      <c r="B570" s="577"/>
      <c r="C570" s="680" t="s">
        <v>1175</v>
      </c>
      <c r="Z570" s="588"/>
      <c r="AA570" s="648"/>
      <c r="AB570" s="560"/>
    </row>
    <row r="571" ht="37.5" customHeight="1">
      <c r="A571" s="556"/>
      <c r="B571" s="577"/>
      <c r="C571" s="703"/>
      <c r="D571" s="704"/>
      <c r="E571" s="705"/>
      <c r="F571" s="706"/>
      <c r="G571" s="593"/>
      <c r="H571" s="590" t="s">
        <v>914</v>
      </c>
      <c r="I571" s="168"/>
      <c r="J571" s="591"/>
      <c r="K571" s="592" t="str">
        <f t="array" ref="K571">IFERROR(VLOOKUP(H571,Dex!$B$3:$N689,2,FALSE),"")</f>
        <v/>
      </c>
      <c r="L571" s="594"/>
      <c r="M571" s="590" t="s">
        <v>915</v>
      </c>
      <c r="N571" s="168"/>
      <c r="O571" s="591"/>
      <c r="P571" s="592" t="str">
        <f t="array" ref="P571">IFERROR(VLOOKUP(M571,Dex!$B$3:$N689,2,FALSE),"")</f>
        <v/>
      </c>
      <c r="Q571" s="594"/>
      <c r="R571" s="590" t="s">
        <v>849</v>
      </c>
      <c r="S571" s="168"/>
      <c r="T571" s="591"/>
      <c r="U571" s="592" t="str">
        <f t="array" ref="U571">IFERROR(VLOOKUP(R571,Dex!$B$3:$N689,2,FALSE),"")</f>
        <v/>
      </c>
      <c r="V571" s="594"/>
      <c r="W571" s="703"/>
      <c r="X571" s="704"/>
      <c r="Y571" s="705"/>
      <c r="Z571" s="706"/>
      <c r="AA571" s="572"/>
      <c r="AB571" s="560"/>
    </row>
    <row r="572">
      <c r="A572" s="595"/>
      <c r="B572" s="596"/>
      <c r="C572" s="703"/>
      <c r="D572" s="704"/>
      <c r="E572" s="705"/>
      <c r="F572" s="706"/>
      <c r="G572" s="601"/>
      <c r="H572" s="597" t="s">
        <v>1056</v>
      </c>
      <c r="I572" s="598"/>
      <c r="J572" s="599"/>
      <c r="K572" s="600" t="s">
        <v>1057</v>
      </c>
      <c r="L572" s="602"/>
      <c r="M572" s="597" t="s">
        <v>1056</v>
      </c>
      <c r="N572" s="598"/>
      <c r="O572" s="599"/>
      <c r="P572" s="600" t="s">
        <v>1057</v>
      </c>
      <c r="Q572" s="602"/>
      <c r="R572" s="597" t="s">
        <v>1056</v>
      </c>
      <c r="S572" s="598"/>
      <c r="T572" s="599"/>
      <c r="U572" s="600" t="s">
        <v>1057</v>
      </c>
      <c r="V572" s="602"/>
      <c r="W572" s="703"/>
      <c r="X572" s="704"/>
      <c r="Y572" s="705"/>
      <c r="Z572" s="706"/>
      <c r="AA572" s="603"/>
      <c r="AB572" s="604"/>
    </row>
    <row r="573" ht="24.0" customHeight="1">
      <c r="A573" s="556"/>
      <c r="B573" s="577"/>
      <c r="C573" s="703"/>
      <c r="D573" s="704"/>
      <c r="E573" s="705"/>
      <c r="F573" s="706"/>
      <c r="G573" s="609"/>
      <c r="H573" s="605" t="str">
        <f>IMAGE("https://raw.githubusercontent.com/msikma/pokesprite/master/items-outline/valuable-item/star-piece.png",1)</f>
        <v/>
      </c>
      <c r="I573" s="606" t="s">
        <v>1108</v>
      </c>
      <c r="J573" s="607"/>
      <c r="K573" s="608">
        <v>1.0</v>
      </c>
      <c r="L573" s="610"/>
      <c r="M573" s="605" t="str">
        <f>IMAGE("https://raw.githubusercontent.com/msikma/pokesprite/master/items-outline/valuable-item/star-piece.png",1)</f>
        <v/>
      </c>
      <c r="N573" s="606" t="s">
        <v>1108</v>
      </c>
      <c r="O573" s="607"/>
      <c r="P573" s="608">
        <v>1.0</v>
      </c>
      <c r="Q573" s="610"/>
      <c r="R573" s="605" t="str">
        <f>IMAGE("https://raw.githubusercontent.com/msikma/pokesprite/master/items-outline/valuable-item/star-piece.png",1)</f>
        <v/>
      </c>
      <c r="S573" s="606" t="s">
        <v>1108</v>
      </c>
      <c r="T573" s="607"/>
      <c r="U573" s="608">
        <v>1.0</v>
      </c>
      <c r="V573" s="716"/>
      <c r="W573" s="703"/>
      <c r="X573" s="704"/>
      <c r="Y573" s="705"/>
      <c r="Z573" s="706"/>
      <c r="AA573" s="572"/>
      <c r="AB573" s="560"/>
    </row>
    <row r="574" ht="24.0" customHeight="1">
      <c r="A574" s="556"/>
      <c r="B574" s="577"/>
      <c r="C574" s="707"/>
      <c r="D574" s="704"/>
      <c r="E574" s="705"/>
      <c r="F574" s="708"/>
      <c r="G574" s="609"/>
      <c r="H574" s="611" t="str">
        <f>IMAGE("https://raw.githubusercontent.com/msikma/pokesprite/master/items-outline/valuable-item/nugget.png",1)</f>
        <v/>
      </c>
      <c r="I574" s="612" t="s">
        <v>1084</v>
      </c>
      <c r="J574" s="613"/>
      <c r="K574" s="614">
        <v>0.8</v>
      </c>
      <c r="L574" s="610"/>
      <c r="M574" s="611" t="str">
        <f>IMAGE("https://raw.githubusercontent.com/msikma/pokesprite/master/items-outline/valuable-item/nugget.png",1)</f>
        <v/>
      </c>
      <c r="N574" s="612" t="s">
        <v>1084</v>
      </c>
      <c r="O574" s="613"/>
      <c r="P574" s="614">
        <v>0.8</v>
      </c>
      <c r="Q574" s="610"/>
      <c r="R574" s="611" t="str">
        <f>IMAGE("https://raw.githubusercontent.com/msikma/pokesprite/master/items-outline/valuable-item/nugget.png",1)</f>
        <v/>
      </c>
      <c r="S574" s="612" t="s">
        <v>1084</v>
      </c>
      <c r="T574" s="613"/>
      <c r="U574" s="614">
        <v>0.8</v>
      </c>
      <c r="V574" s="610"/>
      <c r="W574" s="707"/>
      <c r="X574" s="704"/>
      <c r="Y574" s="705"/>
      <c r="Z574" s="708"/>
      <c r="AA574" s="572"/>
      <c r="AB574" s="560"/>
    </row>
    <row r="575" ht="24.0" customHeight="1">
      <c r="A575" s="556"/>
      <c r="B575" s="577"/>
      <c r="C575" s="709"/>
      <c r="D575" s="710"/>
      <c r="E575" s="705"/>
      <c r="F575" s="711"/>
      <c r="G575" s="609"/>
      <c r="H575" s="615" t="str">
        <f>IMAGE("https://raw.githubusercontent.com/msikma/pokesprite/master/items-outline/valuable-item/big-nugget.png",1)</f>
        <v/>
      </c>
      <c r="I575" s="616" t="s">
        <v>1131</v>
      </c>
      <c r="J575" s="617"/>
      <c r="K575" s="618">
        <v>0.8</v>
      </c>
      <c r="L575" s="610"/>
      <c r="M575" s="615" t="str">
        <f>IMAGE("https://raw.githubusercontent.com/msikma/pokesprite/master/items-outline/valuable-item/big-nugget.png",1)</f>
        <v/>
      </c>
      <c r="N575" s="616" t="s">
        <v>1131</v>
      </c>
      <c r="O575" s="617"/>
      <c r="P575" s="618">
        <v>0.8</v>
      </c>
      <c r="Q575" s="610"/>
      <c r="R575" s="615" t="str">
        <f>IMAGE("https://raw.githubusercontent.com/msikma/pokesprite/master/items-outline/valuable-item/big-nugget.png",1)</f>
        <v/>
      </c>
      <c r="S575" s="616" t="s">
        <v>1131</v>
      </c>
      <c r="T575" s="617"/>
      <c r="U575" s="618">
        <v>0.8</v>
      </c>
      <c r="V575" s="610"/>
      <c r="W575" s="709"/>
      <c r="X575" s="710"/>
      <c r="Y575" s="705"/>
      <c r="Z575" s="711"/>
      <c r="AA575" s="572"/>
      <c r="AB575" s="560"/>
    </row>
    <row r="576" ht="24.0" customHeight="1">
      <c r="A576" s="556"/>
      <c r="B576" s="577"/>
      <c r="C576" s="709"/>
      <c r="D576" s="710"/>
      <c r="E576" s="705"/>
      <c r="F576" s="712"/>
      <c r="G576" s="609"/>
      <c r="H576" s="619" t="str">
        <f>IMAGE("https://raw.githubusercontent.com/msikma/pokesprite/master/items-outline/medicine/protein.png",1)</f>
        <v/>
      </c>
      <c r="I576" s="620" t="s">
        <v>1069</v>
      </c>
      <c r="J576" s="621"/>
      <c r="K576" s="622">
        <v>0.5</v>
      </c>
      <c r="L576" s="610"/>
      <c r="M576" s="619" t="str">
        <f>IMAGE("https://raw.githubusercontent.com/msikma/pokesprite/master/items-outline/medicine/protein.png",1)</f>
        <v/>
      </c>
      <c r="N576" s="620" t="s">
        <v>1069</v>
      </c>
      <c r="O576" s="621"/>
      <c r="P576" s="622">
        <v>0.5</v>
      </c>
      <c r="Q576" s="610"/>
      <c r="R576" s="619" t="str">
        <f>IMAGE("https://raw.githubusercontent.com/msikma/pokesprite/master/items-outline/medicine/protein.png",1)</f>
        <v/>
      </c>
      <c r="S576" s="620" t="s">
        <v>1069</v>
      </c>
      <c r="T576" s="621"/>
      <c r="U576" s="622">
        <v>0.5</v>
      </c>
      <c r="V576" s="610"/>
      <c r="W576" s="709"/>
      <c r="X576" s="710"/>
      <c r="Y576" s="705"/>
      <c r="Z576" s="712"/>
      <c r="AA576" s="572"/>
      <c r="AB576" s="560"/>
    </row>
    <row r="577" ht="24.0" customHeight="1">
      <c r="A577" s="556"/>
      <c r="B577" s="577"/>
      <c r="C577" s="709"/>
      <c r="D577" s="710"/>
      <c r="E577" s="705"/>
      <c r="F577" s="712"/>
      <c r="G577" s="609"/>
      <c r="H577" s="623" t="str">
        <f>IMAGE("https://raw.githubusercontent.com/msikma/pokesprite/master/items-outline/medicine/calcium.png",1)</f>
        <v/>
      </c>
      <c r="I577" s="624" t="s">
        <v>1075</v>
      </c>
      <c r="J577" s="625"/>
      <c r="K577" s="626">
        <v>0.5</v>
      </c>
      <c r="L577" s="610"/>
      <c r="M577" s="623" t="str">
        <f>IMAGE("https://raw.githubusercontent.com/msikma/pokesprite/master/items-outline/medicine/calcium.png",1)</f>
        <v/>
      </c>
      <c r="N577" s="624" t="s">
        <v>1075</v>
      </c>
      <c r="O577" s="625"/>
      <c r="P577" s="626">
        <v>0.5</v>
      </c>
      <c r="Q577" s="610"/>
      <c r="R577" s="623" t="str">
        <f>IMAGE("https://raw.githubusercontent.com/msikma/pokesprite/master/items-outline/medicine/calcium.png",1)</f>
        <v/>
      </c>
      <c r="S577" s="624" t="s">
        <v>1075</v>
      </c>
      <c r="T577" s="625"/>
      <c r="U577" s="626">
        <v>0.5</v>
      </c>
      <c r="V577" s="610"/>
      <c r="W577" s="709"/>
      <c r="X577" s="710"/>
      <c r="Y577" s="705"/>
      <c r="Z577" s="712"/>
      <c r="AA577" s="572"/>
      <c r="AB577" s="560"/>
    </row>
    <row r="578" ht="24.0" customHeight="1">
      <c r="A578" s="556"/>
      <c r="B578" s="577"/>
      <c r="C578" s="709"/>
      <c r="D578" s="710"/>
      <c r="E578" s="705"/>
      <c r="F578" s="712"/>
      <c r="G578" s="609"/>
      <c r="H578" s="611" t="str">
        <f>IMAGE("https://raw.githubusercontent.com/msikma/pokesprite/master/items-outline/medicine/pp-up.png",1)</f>
        <v/>
      </c>
      <c r="I578" s="612" t="s">
        <v>1070</v>
      </c>
      <c r="J578" s="613"/>
      <c r="K578" s="627">
        <v>0.3</v>
      </c>
      <c r="L578" s="610"/>
      <c r="M578" s="611" t="str">
        <f>IMAGE("https://raw.githubusercontent.com/msikma/pokesprite/master/items-outline/medicine/pp-up.png",1)</f>
        <v/>
      </c>
      <c r="N578" s="612" t="s">
        <v>1070</v>
      </c>
      <c r="O578" s="613"/>
      <c r="P578" s="627">
        <v>0.3</v>
      </c>
      <c r="Q578" s="610"/>
      <c r="R578" s="611" t="str">
        <f>IMAGE("https://raw.githubusercontent.com/msikma/pokesprite/master/items-outline/medicine/pp-up.png",1)</f>
        <v/>
      </c>
      <c r="S578" s="612" t="s">
        <v>1070</v>
      </c>
      <c r="T578" s="613"/>
      <c r="U578" s="627">
        <v>0.3</v>
      </c>
      <c r="V578" s="610"/>
      <c r="W578" s="709"/>
      <c r="X578" s="710"/>
      <c r="Y578" s="705"/>
      <c r="Z578" s="712"/>
      <c r="AA578" s="572"/>
      <c r="AB578" s="560"/>
    </row>
    <row r="579" ht="24.0" customHeight="1">
      <c r="A579" s="556"/>
      <c r="B579" s="577"/>
      <c r="C579" s="709"/>
      <c r="D579" s="710"/>
      <c r="E579" s="705"/>
      <c r="F579" s="712"/>
      <c r="G579" s="609"/>
      <c r="H579" s="615" t="str">
        <f>IMAGE("https://raw.githubusercontent.com/msikma/pokesprite/master/items-outline/medicine/pp-max.png",1)</f>
        <v/>
      </c>
      <c r="I579" s="616" t="s">
        <v>1143</v>
      </c>
      <c r="J579" s="617"/>
      <c r="K579" s="628">
        <v>0.3</v>
      </c>
      <c r="L579" s="610"/>
      <c r="M579" s="615" t="str">
        <f>IMAGE("https://raw.githubusercontent.com/msikma/pokesprite/master/items-outline/medicine/pp-max.png",1)</f>
        <v/>
      </c>
      <c r="N579" s="616" t="s">
        <v>1143</v>
      </c>
      <c r="O579" s="617"/>
      <c r="P579" s="628">
        <v>0.3</v>
      </c>
      <c r="Q579" s="610"/>
      <c r="R579" s="615" t="str">
        <f>IMAGE("https://raw.githubusercontent.com/msikma/pokesprite/master/items-outline/medicine/pp-max.png",1)</f>
        <v/>
      </c>
      <c r="S579" s="616" t="s">
        <v>1143</v>
      </c>
      <c r="T579" s="617"/>
      <c r="U579" s="628">
        <v>0.3</v>
      </c>
      <c r="V579" s="610"/>
      <c r="W579" s="709"/>
      <c r="X579" s="710"/>
      <c r="Y579" s="705"/>
      <c r="Z579" s="712"/>
      <c r="AA579" s="572"/>
      <c r="AB579" s="560"/>
    </row>
    <row r="580" ht="24.0" customHeight="1">
      <c r="A580" s="556"/>
      <c r="B580" s="577"/>
      <c r="C580" s="709"/>
      <c r="D580" s="710"/>
      <c r="E580" s="705"/>
      <c r="F580" s="712"/>
      <c r="G580" s="609"/>
      <c r="H580" s="619"/>
      <c r="I580" s="620" t="s">
        <v>1068</v>
      </c>
      <c r="J580" s="621"/>
      <c r="K580" s="629">
        <v>0.25</v>
      </c>
      <c r="L580" s="610"/>
      <c r="M580" s="619"/>
      <c r="N580" s="620" t="s">
        <v>1068</v>
      </c>
      <c r="O580" s="621"/>
      <c r="P580" s="629">
        <v>0.25</v>
      </c>
      <c r="Q580" s="610"/>
      <c r="R580" s="619"/>
      <c r="S580" s="620" t="s">
        <v>1068</v>
      </c>
      <c r="T580" s="621"/>
      <c r="U580" s="629">
        <v>0.25</v>
      </c>
      <c r="V580" s="610"/>
      <c r="W580" s="709"/>
      <c r="X580" s="710"/>
      <c r="Y580" s="705"/>
      <c r="Z580" s="712"/>
      <c r="AA580" s="572"/>
      <c r="AB580" s="560"/>
    </row>
    <row r="581" ht="24.0" customHeight="1">
      <c r="A581" s="556"/>
      <c r="B581" s="577"/>
      <c r="C581" s="709"/>
      <c r="D581" s="715"/>
      <c r="E581" s="705"/>
      <c r="F581" s="712"/>
      <c r="G581" s="609"/>
      <c r="H581" s="623" t="str">
        <f>IMAGE("https://raw.githubusercontent.com/msikma/pokesprite/master/items-outline/hold-item/rocky-helmet.png",1)</f>
        <v/>
      </c>
      <c r="I581" s="630" t="s">
        <v>1176</v>
      </c>
      <c r="J581" s="625"/>
      <c r="K581" s="631">
        <v>0.25</v>
      </c>
      <c r="L581" s="610"/>
      <c r="M581" s="623" t="str">
        <f>IMAGE("https://raw.githubusercontent.com/msikma/pokesprite/master/items-outline/hold-item/rocky-helmet.png",1)</f>
        <v/>
      </c>
      <c r="N581" s="630" t="s">
        <v>1176</v>
      </c>
      <c r="O581" s="625"/>
      <c r="P581" s="631">
        <v>0.25</v>
      </c>
      <c r="Q581" s="610"/>
      <c r="R581" s="623" t="str">
        <f>IMAGE("https://raw.githubusercontent.com/msikma/pokesprite/master/items-outline/hold-item/rocky-helmet.png",1)</f>
        <v/>
      </c>
      <c r="S581" s="630" t="s">
        <v>1176</v>
      </c>
      <c r="T581" s="625"/>
      <c r="U581" s="631">
        <v>0.25</v>
      </c>
      <c r="V581" s="610"/>
      <c r="W581" s="709"/>
      <c r="X581" s="715"/>
      <c r="Y581" s="705"/>
      <c r="Z581" s="712"/>
      <c r="AA581" s="572"/>
      <c r="AB581" s="560"/>
    </row>
    <row r="582" ht="24.0" customHeight="1">
      <c r="A582" s="556"/>
      <c r="B582" s="577"/>
      <c r="C582" s="709"/>
      <c r="D582" s="715"/>
      <c r="E582" s="705"/>
      <c r="F582" s="711"/>
      <c r="G582" s="636"/>
      <c r="H582" s="632"/>
      <c r="I582" s="633" t="s">
        <v>1177</v>
      </c>
      <c r="J582" s="634"/>
      <c r="K582" s="635">
        <v>0.05</v>
      </c>
      <c r="L582" s="610"/>
      <c r="M582" s="632"/>
      <c r="N582" s="633" t="s">
        <v>1177</v>
      </c>
      <c r="O582" s="634"/>
      <c r="P582" s="635">
        <v>0.05</v>
      </c>
      <c r="Q582" s="610"/>
      <c r="R582" s="632"/>
      <c r="S582" s="633" t="s">
        <v>1177</v>
      </c>
      <c r="T582" s="634"/>
      <c r="U582" s="635">
        <v>0.05</v>
      </c>
      <c r="V582" s="610"/>
      <c r="W582" s="709"/>
      <c r="X582" s="715"/>
      <c r="Y582" s="705"/>
      <c r="Z582" s="711"/>
      <c r="AA582" s="572"/>
      <c r="AB582" s="560"/>
    </row>
    <row r="583" ht="24.0" customHeight="1">
      <c r="A583" s="556"/>
      <c r="B583" s="577"/>
      <c r="C583" s="709"/>
      <c r="D583" s="715"/>
      <c r="E583" s="705"/>
      <c r="F583" s="711"/>
      <c r="G583" s="636"/>
      <c r="H583" s="637" t="str">
        <f t="shared" ref="H583:H584" si="60">IMAGE("https://raw.githubusercontent.com/msikma/pokesprite/master/items-outline/hold-item/life-orb.png",1)</f>
        <v/>
      </c>
      <c r="I583" s="638" t="s">
        <v>1158</v>
      </c>
      <c r="J583" s="639"/>
      <c r="K583" s="640">
        <v>0.04</v>
      </c>
      <c r="L583" s="610"/>
      <c r="M583" s="637" t="str">
        <f t="shared" ref="M583:M584" si="61">IMAGE("https://raw.githubusercontent.com/msikma/pokesprite/master/items-outline/hold-item/life-orb.png",1)</f>
        <v/>
      </c>
      <c r="N583" s="638" t="s">
        <v>1158</v>
      </c>
      <c r="O583" s="639"/>
      <c r="P583" s="689">
        <v>0.04</v>
      </c>
      <c r="Q583" s="610"/>
      <c r="R583" s="637" t="str">
        <f t="shared" ref="R583:R584" si="62">IMAGE("https://raw.githubusercontent.com/msikma/pokesprite/master/items-outline/hold-item/life-orb.png",1)</f>
        <v/>
      </c>
      <c r="S583" s="638" t="s">
        <v>1158</v>
      </c>
      <c r="T583" s="639"/>
      <c r="U583" s="689">
        <v>0.04</v>
      </c>
      <c r="V583" s="610"/>
      <c r="W583" s="709"/>
      <c r="X583" s="715"/>
      <c r="Y583" s="705"/>
      <c r="Z583" s="711"/>
      <c r="AA583" s="572"/>
      <c r="AB583" s="560"/>
    </row>
    <row r="584" ht="24.75" customHeight="1">
      <c r="A584" s="556"/>
      <c r="B584" s="577"/>
      <c r="C584" s="736"/>
      <c r="D584" s="737"/>
      <c r="E584" s="738"/>
      <c r="F584" s="739"/>
      <c r="G584" s="645"/>
      <c r="H584" s="641" t="str">
        <f t="shared" si="60"/>
        <v/>
      </c>
      <c r="I584" s="642" t="s">
        <v>1158</v>
      </c>
      <c r="J584" s="643"/>
      <c r="K584" s="644">
        <v>0.01</v>
      </c>
      <c r="L584" s="646"/>
      <c r="M584" s="641" t="str">
        <f t="shared" si="61"/>
        <v/>
      </c>
      <c r="N584" s="642" t="s">
        <v>1158</v>
      </c>
      <c r="O584" s="643"/>
      <c r="P584" s="679">
        <v>0.01</v>
      </c>
      <c r="Q584" s="646"/>
      <c r="R584" s="641" t="str">
        <f t="shared" si="62"/>
        <v/>
      </c>
      <c r="S584" s="642" t="s">
        <v>1158</v>
      </c>
      <c r="T584" s="643"/>
      <c r="U584" s="679">
        <v>0.01</v>
      </c>
      <c r="V584" s="740"/>
      <c r="W584" s="736"/>
      <c r="X584" s="737"/>
      <c r="Y584" s="738"/>
      <c r="Z584" s="739"/>
      <c r="AA584" s="572"/>
      <c r="AB584" s="560"/>
    </row>
    <row r="585" ht="60.0" customHeight="1">
      <c r="A585" s="556"/>
      <c r="B585" s="577"/>
      <c r="C585" s="680" t="s">
        <v>1178</v>
      </c>
      <c r="Z585" s="588"/>
      <c r="AA585" s="648"/>
      <c r="AB585" s="560"/>
    </row>
    <row r="586" ht="37.5" customHeight="1">
      <c r="A586" s="556"/>
      <c r="B586" s="577"/>
      <c r="C586" s="703"/>
      <c r="D586" s="704"/>
      <c r="E586" s="705"/>
      <c r="F586" s="706"/>
      <c r="G586" s="593"/>
      <c r="H586" s="741"/>
      <c r="I586" s="274"/>
      <c r="J586" s="275"/>
      <c r="K586" s="742"/>
      <c r="L586" s="743"/>
      <c r="M586" s="590" t="s">
        <v>937</v>
      </c>
      <c r="N586" s="168"/>
      <c r="O586" s="591"/>
      <c r="P586" s="592" t="str">
        <f t="array" ref="P586">IFERROR(VLOOKUP(M586,Dex!$B$3:$N689,2,FALSE),"")</f>
        <v/>
      </c>
      <c r="Q586" s="594"/>
      <c r="R586" s="741"/>
      <c r="S586" s="274"/>
      <c r="T586" s="275"/>
      <c r="U586" s="742"/>
      <c r="V586" s="594"/>
      <c r="W586" s="703"/>
      <c r="X586" s="704"/>
      <c r="Y586" s="705"/>
      <c r="Z586" s="706"/>
      <c r="AA586" s="572"/>
      <c r="AB586" s="560"/>
    </row>
    <row r="587">
      <c r="A587" s="595"/>
      <c r="B587" s="596"/>
      <c r="C587" s="703"/>
      <c r="D587" s="704"/>
      <c r="E587" s="705"/>
      <c r="F587" s="706"/>
      <c r="G587" s="601"/>
      <c r="H587" s="744"/>
      <c r="I587" s="274"/>
      <c r="J587" s="275"/>
      <c r="K587" s="745"/>
      <c r="L587" s="746"/>
      <c r="M587" s="597" t="s">
        <v>1056</v>
      </c>
      <c r="N587" s="598"/>
      <c r="O587" s="599"/>
      <c r="P587" s="600" t="s">
        <v>1057</v>
      </c>
      <c r="Q587" s="602"/>
      <c r="R587" s="744"/>
      <c r="S587" s="274"/>
      <c r="T587" s="275"/>
      <c r="U587" s="745"/>
      <c r="V587" s="602"/>
      <c r="W587" s="703"/>
      <c r="X587" s="704"/>
      <c r="Y587" s="705"/>
      <c r="Z587" s="706"/>
      <c r="AA587" s="603"/>
      <c r="AB587" s="604"/>
    </row>
    <row r="588" ht="24.0" customHeight="1">
      <c r="A588" s="556"/>
      <c r="B588" s="577"/>
      <c r="C588" s="703"/>
      <c r="D588" s="704"/>
      <c r="E588" s="705"/>
      <c r="F588" s="706"/>
      <c r="G588" s="747"/>
      <c r="H588" s="748"/>
      <c r="I588" s="729"/>
      <c r="J588" s="275"/>
      <c r="K588" s="295"/>
      <c r="L588" s="636"/>
      <c r="M588" s="605" t="str">
        <f>IMAGE("https://raw.githubusercontent.com/msikma/pokesprite/master/items-outline/valuable-item/star-piece.png",1)</f>
        <v/>
      </c>
      <c r="N588" s="606" t="s">
        <v>1108</v>
      </c>
      <c r="O588" s="749"/>
      <c r="P588" s="608">
        <v>1.0</v>
      </c>
      <c r="Q588" s="610"/>
      <c r="R588" s="748"/>
      <c r="S588" s="729"/>
      <c r="T588" s="275"/>
      <c r="U588" s="295"/>
      <c r="V588" s="716"/>
      <c r="W588" s="703"/>
      <c r="X588" s="704"/>
      <c r="Y588" s="705"/>
      <c r="Z588" s="706"/>
      <c r="AA588" s="572"/>
      <c r="AB588" s="560"/>
    </row>
    <row r="589" ht="24.0" customHeight="1">
      <c r="A589" s="556"/>
      <c r="B589" s="577"/>
      <c r="C589" s="707"/>
      <c r="D589" s="704"/>
      <c r="E589" s="705"/>
      <c r="F589" s="708"/>
      <c r="G589" s="747"/>
      <c r="H589" s="748"/>
      <c r="I589" s="729"/>
      <c r="J589" s="275"/>
      <c r="K589" s="750"/>
      <c r="L589" s="636"/>
      <c r="M589" s="611" t="str">
        <f>IMAGE("https://raw.githubusercontent.com/msikma/pokesprite/master/items-outline/valuable-item/big-nugget.png",1)</f>
        <v/>
      </c>
      <c r="N589" s="612" t="s">
        <v>1131</v>
      </c>
      <c r="O589" s="665"/>
      <c r="P589" s="614">
        <v>0.8</v>
      </c>
      <c r="Q589" s="610"/>
      <c r="R589" s="748"/>
      <c r="S589" s="729"/>
      <c r="T589" s="275"/>
      <c r="U589" s="750"/>
      <c r="V589" s="610"/>
      <c r="W589" s="707"/>
      <c r="X589" s="704"/>
      <c r="Y589" s="705"/>
      <c r="Z589" s="708"/>
      <c r="AA589" s="572"/>
      <c r="AB589" s="560"/>
    </row>
    <row r="590" ht="24.0" customHeight="1">
      <c r="A590" s="556"/>
      <c r="B590" s="577"/>
      <c r="C590" s="709"/>
      <c r="D590" s="710"/>
      <c r="E590" s="705"/>
      <c r="F590" s="711"/>
      <c r="G590" s="747"/>
      <c r="H590" s="748"/>
      <c r="I590" s="729"/>
      <c r="J590" s="275"/>
      <c r="K590" s="750"/>
      <c r="L590" s="636"/>
      <c r="M590" s="615" t="str">
        <f>IMAGE("https://raw.githubusercontent.com/msikma/pokesprite/master/items-outline/ball/ultra.png",1)</f>
        <v/>
      </c>
      <c r="N590" s="616" t="s">
        <v>1091</v>
      </c>
      <c r="O590" s="666"/>
      <c r="P590" s="713">
        <v>0.8</v>
      </c>
      <c r="Q590" s="610"/>
      <c r="R590" s="748"/>
      <c r="S590" s="729"/>
      <c r="T590" s="275"/>
      <c r="U590" s="750"/>
      <c r="V590" s="610"/>
      <c r="W590" s="709"/>
      <c r="X590" s="710"/>
      <c r="Y590" s="705"/>
      <c r="Z590" s="711"/>
      <c r="AA590" s="572"/>
      <c r="AB590" s="560"/>
    </row>
    <row r="591" ht="24.0" customHeight="1">
      <c r="A591" s="556"/>
      <c r="B591" s="577"/>
      <c r="C591" s="709"/>
      <c r="D591" s="721"/>
      <c r="E591" s="722"/>
      <c r="F591" s="712"/>
      <c r="G591" s="747"/>
      <c r="H591" s="748"/>
      <c r="I591" s="729"/>
      <c r="J591" s="275"/>
      <c r="K591" s="750"/>
      <c r="L591" s="636"/>
      <c r="M591" s="660" t="str">
        <f>IMAGE("https://raw.githubusercontent.com/msikma/pokesprite/master/items/other-item/wishing-piece.png",1)</f>
        <v/>
      </c>
      <c r="N591" s="751" t="s">
        <v>1068</v>
      </c>
      <c r="O591" s="682"/>
      <c r="P591" s="752">
        <v>0.5</v>
      </c>
      <c r="Q591" s="610"/>
      <c r="R591" s="748"/>
      <c r="S591" s="729"/>
      <c r="T591" s="275"/>
      <c r="U591" s="750"/>
      <c r="V591" s="610"/>
      <c r="W591" s="709"/>
      <c r="X591" s="721"/>
      <c r="Y591" s="722"/>
      <c r="Z591" s="712"/>
      <c r="AA591" s="572"/>
      <c r="AB591" s="560"/>
    </row>
    <row r="592" ht="24.0" customHeight="1">
      <c r="A592" s="556"/>
      <c r="B592" s="577"/>
      <c r="C592" s="709"/>
      <c r="D592" s="710"/>
      <c r="E592" s="705"/>
      <c r="F592" s="712"/>
      <c r="G592" s="747"/>
      <c r="H592" s="748"/>
      <c r="I592" s="729"/>
      <c r="J592" s="275"/>
      <c r="K592" s="750"/>
      <c r="L592" s="636"/>
      <c r="M592" s="653" t="str">
        <f>IMAGE("https://raw.githubusercontent.com/msikma/pokesprite/master/items-outline/berry/salac.png",1)</f>
        <v/>
      </c>
      <c r="N592" s="654" t="s">
        <v>1142</v>
      </c>
      <c r="O592" s="667"/>
      <c r="P592" s="669">
        <v>0.3</v>
      </c>
      <c r="Q592" s="610"/>
      <c r="R592" s="748"/>
      <c r="S592" s="729"/>
      <c r="T592" s="275"/>
      <c r="U592" s="750"/>
      <c r="V592" s="610"/>
      <c r="W592" s="709"/>
      <c r="X592" s="710"/>
      <c r="Y592" s="705"/>
      <c r="Z592" s="712"/>
      <c r="AA592" s="572"/>
      <c r="AB592" s="560"/>
    </row>
    <row r="593" ht="24.0" customHeight="1">
      <c r="A593" s="556"/>
      <c r="B593" s="577"/>
      <c r="C593" s="709"/>
      <c r="D593" s="710"/>
      <c r="E593" s="705"/>
      <c r="F593" s="712"/>
      <c r="G593" s="747"/>
      <c r="H593" s="748"/>
      <c r="I593" s="729"/>
      <c r="J593" s="275"/>
      <c r="K593" s="750"/>
      <c r="L593" s="636"/>
      <c r="M593" s="651" t="str">
        <f>IMAGE("https://raw.githubusercontent.com/msikma/pokesprite/master/items-outline/ball/heal.png",1)</f>
        <v/>
      </c>
      <c r="N593" s="723" t="s">
        <v>1066</v>
      </c>
      <c r="O593" s="666"/>
      <c r="P593" s="753">
        <v>0.3</v>
      </c>
      <c r="Q593" s="610"/>
      <c r="R593" s="748"/>
      <c r="S593" s="729"/>
      <c r="T593" s="275"/>
      <c r="U593" s="750"/>
      <c r="V593" s="610"/>
      <c r="W593" s="709"/>
      <c r="X593" s="710"/>
      <c r="Y593" s="705"/>
      <c r="Z593" s="712"/>
      <c r="AA593" s="572"/>
      <c r="AB593" s="560"/>
    </row>
    <row r="594" ht="24.0" customHeight="1">
      <c r="A594" s="556"/>
      <c r="B594" s="577"/>
      <c r="C594" s="709"/>
      <c r="D594" s="710"/>
      <c r="E594" s="705"/>
      <c r="F594" s="712"/>
      <c r="G594" s="747"/>
      <c r="H594" s="748"/>
      <c r="I594" s="729"/>
      <c r="J594" s="275"/>
      <c r="K594" s="750"/>
      <c r="L594" s="636"/>
      <c r="M594" s="619" t="str">
        <f>IMAGE("https://raw.githubusercontent.com/msikma/pokesprite/master/items-outline/berry/leppa.png",1)</f>
        <v/>
      </c>
      <c r="N594" s="754" t="s">
        <v>1067</v>
      </c>
      <c r="O594" s="749"/>
      <c r="P594" s="671">
        <v>0.25</v>
      </c>
      <c r="Q594" s="610"/>
      <c r="R594" s="748"/>
      <c r="S594" s="729"/>
      <c r="T594" s="275"/>
      <c r="U594" s="750"/>
      <c r="V594" s="610"/>
      <c r="W594" s="709"/>
      <c r="X594" s="710"/>
      <c r="Y594" s="705"/>
      <c r="Z594" s="712"/>
      <c r="AA594" s="572"/>
      <c r="AB594" s="560"/>
    </row>
    <row r="595" ht="24.0" customHeight="1">
      <c r="A595" s="556"/>
      <c r="B595" s="577"/>
      <c r="C595" s="709"/>
      <c r="D595" s="715"/>
      <c r="E595" s="705"/>
      <c r="F595" s="712"/>
      <c r="G595" s="747"/>
      <c r="H595" s="748"/>
      <c r="I595" s="755"/>
      <c r="J595" s="275"/>
      <c r="K595" s="750"/>
      <c r="L595" s="636"/>
      <c r="M595" s="623" t="str">
        <f>IMAGE("https://raw.githubusercontent.com/msikma/pokesprite/master/items-outline/medicine/pp-max.png",1)</f>
        <v/>
      </c>
      <c r="N595" s="756" t="s">
        <v>1143</v>
      </c>
      <c r="O595" s="749"/>
      <c r="P595" s="631">
        <v>0.25</v>
      </c>
      <c r="Q595" s="610"/>
      <c r="R595" s="748"/>
      <c r="S595" s="755"/>
      <c r="T595" s="275"/>
      <c r="U595" s="750"/>
      <c r="V595" s="610"/>
      <c r="W595" s="709"/>
      <c r="X595" s="715"/>
      <c r="Y595" s="705"/>
      <c r="Z595" s="712"/>
      <c r="AA595" s="572"/>
      <c r="AB595" s="560"/>
    </row>
    <row r="596" ht="24.0" customHeight="1">
      <c r="A596" s="556"/>
      <c r="B596" s="577"/>
      <c r="C596" s="709"/>
      <c r="D596" s="715"/>
      <c r="E596" s="705"/>
      <c r="F596" s="711"/>
      <c r="G596" s="757"/>
      <c r="H596" s="748"/>
      <c r="I596" s="755"/>
      <c r="J596" s="275"/>
      <c r="K596" s="295"/>
      <c r="L596" s="636"/>
      <c r="M596" s="632" t="str">
        <f>IMAGE("https://raw.githubusercontent.com/msikma/pokesprite/master/items-outline/hold-item/eviolite.png",4, 40, 40)</f>
        <v/>
      </c>
      <c r="N596" s="758" t="s">
        <v>1177</v>
      </c>
      <c r="O596" s="673"/>
      <c r="P596" s="759">
        <v>0.05</v>
      </c>
      <c r="Q596" s="610"/>
      <c r="R596" s="748"/>
      <c r="S596" s="755"/>
      <c r="T596" s="275"/>
      <c r="U596" s="295"/>
      <c r="V596" s="610"/>
      <c r="W596" s="709"/>
      <c r="X596" s="715"/>
      <c r="Y596" s="705"/>
      <c r="Z596" s="711"/>
      <c r="AA596" s="572"/>
      <c r="AB596" s="560"/>
    </row>
    <row r="597" ht="24.0" customHeight="1">
      <c r="A597" s="556"/>
      <c r="B597" s="577"/>
      <c r="C597" s="709"/>
      <c r="D597" s="715"/>
      <c r="E597" s="705"/>
      <c r="F597" s="711"/>
      <c r="G597" s="757"/>
      <c r="H597" s="748"/>
      <c r="I597" s="755"/>
      <c r="J597" s="275"/>
      <c r="K597" s="295"/>
      <c r="L597" s="636"/>
      <c r="M597" s="637" t="str">
        <f t="shared" ref="M597:M598" si="63">IMAGE("https://raw.githubusercontent.com/msikma/pokesprite/master/items-outline/hold-item/choice-scarf.png",1)</f>
        <v/>
      </c>
      <c r="N597" s="681" t="s">
        <v>1179</v>
      </c>
      <c r="O597" s="682"/>
      <c r="P597" s="640">
        <v>0.04</v>
      </c>
      <c r="Q597" s="610"/>
      <c r="R597" s="748"/>
      <c r="S597" s="755"/>
      <c r="T597" s="275"/>
      <c r="U597" s="295"/>
      <c r="V597" s="610"/>
      <c r="W597" s="709"/>
      <c r="X597" s="715"/>
      <c r="Y597" s="705"/>
      <c r="Z597" s="711"/>
      <c r="AA597" s="572"/>
      <c r="AB597" s="560"/>
    </row>
    <row r="598" ht="24.75" customHeight="1">
      <c r="A598" s="556"/>
      <c r="B598" s="577"/>
      <c r="C598" s="736"/>
      <c r="D598" s="737"/>
      <c r="E598" s="738"/>
      <c r="F598" s="739"/>
      <c r="G598" s="760"/>
      <c r="H598" s="748"/>
      <c r="I598" s="755"/>
      <c r="J598" s="275"/>
      <c r="K598" s="295"/>
      <c r="L598" s="645"/>
      <c r="M598" s="690" t="str">
        <f t="shared" si="63"/>
        <v/>
      </c>
      <c r="N598" s="761" t="s">
        <v>1179</v>
      </c>
      <c r="O598" s="762"/>
      <c r="P598" s="763">
        <v>0.01</v>
      </c>
      <c r="Q598" s="646"/>
      <c r="R598" s="764"/>
      <c r="S598" s="274"/>
      <c r="T598" s="274"/>
      <c r="U598" s="274"/>
      <c r="V598" s="274"/>
      <c r="W598" s="274"/>
      <c r="X598" s="274"/>
      <c r="Y598" s="274"/>
      <c r="Z598" s="765"/>
      <c r="AA598" s="572"/>
      <c r="AB598" s="560"/>
    </row>
    <row r="599" ht="60.0" customHeight="1">
      <c r="A599" s="556"/>
      <c r="B599" s="577"/>
      <c r="C599" s="680" t="s">
        <v>1180</v>
      </c>
      <c r="Z599" s="588"/>
      <c r="AA599" s="648"/>
      <c r="AB599" s="560"/>
    </row>
    <row r="600" ht="37.5" customHeight="1">
      <c r="A600" s="556"/>
      <c r="B600" s="577"/>
      <c r="C600" s="703"/>
      <c r="D600" s="704"/>
      <c r="E600" s="705"/>
      <c r="F600" s="706"/>
      <c r="G600" s="593"/>
      <c r="H600" s="741"/>
      <c r="I600" s="274"/>
      <c r="J600" s="275"/>
      <c r="K600" s="742"/>
      <c r="L600" s="743"/>
      <c r="M600" s="590" t="s">
        <v>873</v>
      </c>
      <c r="N600" s="168"/>
      <c r="O600" s="591"/>
      <c r="P600" s="592" t="str">
        <f t="array" ref="P600">IFERROR(VLOOKUP(M600,Dex!$B$3:$N689,2,FALSE),"")</f>
        <v/>
      </c>
      <c r="Q600" s="594"/>
      <c r="R600" s="741"/>
      <c r="S600" s="274"/>
      <c r="T600" s="275"/>
      <c r="U600" s="742"/>
      <c r="V600" s="594"/>
      <c r="W600" s="703"/>
      <c r="X600" s="704"/>
      <c r="Y600" s="705"/>
      <c r="Z600" s="706"/>
      <c r="AA600" s="572"/>
      <c r="AB600" s="560"/>
    </row>
    <row r="601">
      <c r="A601" s="595"/>
      <c r="B601" s="596"/>
      <c r="C601" s="703"/>
      <c r="D601" s="704"/>
      <c r="E601" s="705"/>
      <c r="F601" s="706"/>
      <c r="G601" s="601"/>
      <c r="H601" s="744"/>
      <c r="I601" s="274"/>
      <c r="J601" s="275"/>
      <c r="K601" s="745"/>
      <c r="L601" s="746"/>
      <c r="M601" s="597" t="s">
        <v>1056</v>
      </c>
      <c r="N601" s="598"/>
      <c r="O601" s="599"/>
      <c r="P601" s="600" t="s">
        <v>1057</v>
      </c>
      <c r="Q601" s="602"/>
      <c r="R601" s="744"/>
      <c r="S601" s="274"/>
      <c r="T601" s="275"/>
      <c r="U601" s="745"/>
      <c r="V601" s="602"/>
      <c r="W601" s="703"/>
      <c r="X601" s="704"/>
      <c r="Y601" s="705"/>
      <c r="Z601" s="706"/>
      <c r="AA601" s="603"/>
      <c r="AB601" s="604"/>
    </row>
    <row r="602" ht="24.0" customHeight="1">
      <c r="A602" s="556"/>
      <c r="B602" s="577"/>
      <c r="C602" s="703"/>
      <c r="D602" s="704"/>
      <c r="E602" s="705"/>
      <c r="F602" s="706"/>
      <c r="G602" s="747"/>
      <c r="H602" s="748"/>
      <c r="I602" s="729"/>
      <c r="J602" s="275"/>
      <c r="K602" s="295"/>
      <c r="L602" s="636"/>
      <c r="M602" s="605" t="str">
        <f>IMAGE("https://raw.githubusercontent.com/msikma/pokesprite/master/items-outline/valuable-item/star-piece.png",1)</f>
        <v/>
      </c>
      <c r="N602" s="606" t="s">
        <v>1108</v>
      </c>
      <c r="O602" s="607"/>
      <c r="P602" s="608">
        <v>1.0</v>
      </c>
      <c r="Q602" s="610"/>
      <c r="R602" s="748"/>
      <c r="S602" s="729"/>
      <c r="T602" s="275"/>
      <c r="U602" s="295"/>
      <c r="V602" s="716"/>
      <c r="W602" s="703"/>
      <c r="X602" s="704"/>
      <c r="Y602" s="705"/>
      <c r="Z602" s="706"/>
      <c r="AA602" s="572"/>
      <c r="AB602" s="560"/>
    </row>
    <row r="603" ht="24.0" customHeight="1">
      <c r="A603" s="556"/>
      <c r="B603" s="577"/>
      <c r="C603" s="707"/>
      <c r="D603" s="704"/>
      <c r="E603" s="705"/>
      <c r="F603" s="708"/>
      <c r="G603" s="747"/>
      <c r="H603" s="748"/>
      <c r="I603" s="729"/>
      <c r="J603" s="275"/>
      <c r="K603" s="750"/>
      <c r="L603" s="636"/>
      <c r="M603" s="611" t="str">
        <f>IMAGE("https://raw.githubusercontent.com/msikma/pokesprite/master/items-outline/valuable-item/nugget.png",1)</f>
        <v/>
      </c>
      <c r="N603" s="612" t="s">
        <v>1084</v>
      </c>
      <c r="O603" s="613"/>
      <c r="P603" s="614">
        <v>0.8</v>
      </c>
      <c r="Q603" s="610"/>
      <c r="R603" s="748"/>
      <c r="S603" s="729"/>
      <c r="T603" s="275"/>
      <c r="U603" s="750"/>
      <c r="V603" s="610"/>
      <c r="W603" s="707"/>
      <c r="X603" s="704"/>
      <c r="Y603" s="705"/>
      <c r="Z603" s="708"/>
      <c r="AA603" s="572"/>
      <c r="AB603" s="560"/>
    </row>
    <row r="604" ht="24.0" customHeight="1">
      <c r="A604" s="556"/>
      <c r="B604" s="577"/>
      <c r="C604" s="709"/>
      <c r="D604" s="710"/>
      <c r="E604" s="705"/>
      <c r="F604" s="711"/>
      <c r="G604" s="747"/>
      <c r="H604" s="748"/>
      <c r="I604" s="729"/>
      <c r="J604" s="275"/>
      <c r="K604" s="750"/>
      <c r="L604" s="636"/>
      <c r="M604" s="615" t="str">
        <f>IMAGE("https://raw.githubusercontent.com/msikma/pokesprite/master/items-outline/valuable-item/big-nugget.png",1)</f>
        <v/>
      </c>
      <c r="N604" s="616" t="s">
        <v>1131</v>
      </c>
      <c r="O604" s="617"/>
      <c r="P604" s="618">
        <v>0.8</v>
      </c>
      <c r="Q604" s="610"/>
      <c r="R604" s="748"/>
      <c r="S604" s="729"/>
      <c r="T604" s="275"/>
      <c r="U604" s="750"/>
      <c r="V604" s="610"/>
      <c r="W604" s="709"/>
      <c r="X604" s="710"/>
      <c r="Y604" s="705"/>
      <c r="Z604" s="711"/>
      <c r="AA604" s="572"/>
      <c r="AB604" s="560"/>
    </row>
    <row r="605" ht="24.0" customHeight="1">
      <c r="A605" s="556"/>
      <c r="B605" s="577"/>
      <c r="C605" s="709"/>
      <c r="D605" s="721"/>
      <c r="E605" s="722"/>
      <c r="F605" s="712"/>
      <c r="G605" s="747"/>
      <c r="H605" s="748"/>
      <c r="I605" s="729"/>
      <c r="J605" s="275"/>
      <c r="K605" s="750"/>
      <c r="L605" s="636"/>
      <c r="M605" s="619" t="str">
        <f>IMAGE("https://raw.githubusercontent.com/msikma/pokesprite/master/items-outline/medicine/protein.png",1)</f>
        <v/>
      </c>
      <c r="N605" s="620" t="s">
        <v>1069</v>
      </c>
      <c r="O605" s="621"/>
      <c r="P605" s="622">
        <v>0.5</v>
      </c>
      <c r="Q605" s="610"/>
      <c r="R605" s="748"/>
      <c r="S605" s="729"/>
      <c r="T605" s="275"/>
      <c r="U605" s="750"/>
      <c r="V605" s="610"/>
      <c r="W605" s="709"/>
      <c r="X605" s="721"/>
      <c r="Y605" s="722"/>
      <c r="Z605" s="712"/>
      <c r="AA605" s="572"/>
      <c r="AB605" s="560"/>
    </row>
    <row r="606" ht="24.0" customHeight="1">
      <c r="A606" s="556"/>
      <c r="B606" s="577"/>
      <c r="C606" s="709"/>
      <c r="D606" s="766"/>
      <c r="E606" s="766"/>
      <c r="F606" s="712"/>
      <c r="G606" s="747"/>
      <c r="H606" s="748"/>
      <c r="I606" s="767"/>
      <c r="J606" s="767"/>
      <c r="K606" s="750"/>
      <c r="L606" s="636"/>
      <c r="M606" s="623" t="str">
        <f>IMAGE("https://raw.githubusercontent.com/msikma/pokesprite/master/items-outline/medicine/calcium.png",1)</f>
        <v/>
      </c>
      <c r="N606" s="624" t="s">
        <v>1075</v>
      </c>
      <c r="O606" s="625"/>
      <c r="P606" s="626">
        <v>0.5</v>
      </c>
      <c r="Q606" s="610"/>
      <c r="R606" s="748"/>
      <c r="S606" s="767"/>
      <c r="T606" s="767"/>
      <c r="U606" s="750"/>
      <c r="V606" s="610"/>
      <c r="W606" s="709"/>
      <c r="X606" s="766"/>
      <c r="Y606" s="766"/>
      <c r="Z606" s="712"/>
      <c r="AA606" s="572"/>
      <c r="AB606" s="560"/>
    </row>
    <row r="607" ht="24.0" customHeight="1">
      <c r="A607" s="556"/>
      <c r="B607" s="577"/>
      <c r="C607" s="709"/>
      <c r="D607" s="710"/>
      <c r="E607" s="705"/>
      <c r="F607" s="712"/>
      <c r="G607" s="747"/>
      <c r="H607" s="748"/>
      <c r="I607" s="729"/>
      <c r="J607" s="275"/>
      <c r="K607" s="750"/>
      <c r="L607" s="636"/>
      <c r="M607" s="611" t="str">
        <f>IMAGE("https://raw.githubusercontent.com/msikma/pokesprite/master/items-outline/medicine/pp-up.png",1)</f>
        <v/>
      </c>
      <c r="N607" s="612" t="s">
        <v>1070</v>
      </c>
      <c r="O607" s="613"/>
      <c r="P607" s="627">
        <v>0.3</v>
      </c>
      <c r="Q607" s="610"/>
      <c r="R607" s="748"/>
      <c r="S607" s="729"/>
      <c r="T607" s="275"/>
      <c r="U607" s="750"/>
      <c r="V607" s="610"/>
      <c r="W607" s="709"/>
      <c r="X607" s="710"/>
      <c r="Y607" s="705"/>
      <c r="Z607" s="712"/>
      <c r="AA607" s="572"/>
      <c r="AB607" s="560"/>
    </row>
    <row r="608" ht="24.0" customHeight="1">
      <c r="A608" s="556"/>
      <c r="B608" s="577"/>
      <c r="C608" s="709"/>
      <c r="D608" s="710"/>
      <c r="E608" s="705"/>
      <c r="F608" s="712"/>
      <c r="G608" s="747"/>
      <c r="H608" s="748"/>
      <c r="I608" s="729"/>
      <c r="J608" s="275"/>
      <c r="K608" s="750"/>
      <c r="L608" s="636"/>
      <c r="M608" s="615" t="str">
        <f>IMAGE("https://raw.githubusercontent.com/msikma/pokesprite/master/items-outline/medicine/pp-max.png",1)</f>
        <v/>
      </c>
      <c r="N608" s="616" t="s">
        <v>1143</v>
      </c>
      <c r="O608" s="617"/>
      <c r="P608" s="628">
        <v>0.3</v>
      </c>
      <c r="Q608" s="610"/>
      <c r="R608" s="748"/>
      <c r="S608" s="729"/>
      <c r="T608" s="275"/>
      <c r="U608" s="750"/>
      <c r="V608" s="610"/>
      <c r="W608" s="709"/>
      <c r="X608" s="710"/>
      <c r="Y608" s="705"/>
      <c r="Z608" s="712"/>
      <c r="AA608" s="572"/>
      <c r="AB608" s="560"/>
    </row>
    <row r="609" ht="24.0" customHeight="1">
      <c r="A609" s="556"/>
      <c r="B609" s="577"/>
      <c r="C609" s="709"/>
      <c r="D609" s="710"/>
      <c r="E609" s="705"/>
      <c r="F609" s="712"/>
      <c r="G609" s="747"/>
      <c r="H609" s="748"/>
      <c r="I609" s="729"/>
      <c r="J609" s="275"/>
      <c r="K609" s="750"/>
      <c r="L609" s="636"/>
      <c r="M609" s="619"/>
      <c r="N609" s="620" t="s">
        <v>1068</v>
      </c>
      <c r="O609" s="621"/>
      <c r="P609" s="629">
        <v>0.25</v>
      </c>
      <c r="Q609" s="610"/>
      <c r="R609" s="748"/>
      <c r="S609" s="729"/>
      <c r="T609" s="275"/>
      <c r="U609" s="750"/>
      <c r="V609" s="610"/>
      <c r="W609" s="709"/>
      <c r="X609" s="710"/>
      <c r="Y609" s="705"/>
      <c r="Z609" s="712"/>
      <c r="AA609" s="572"/>
      <c r="AB609" s="560"/>
    </row>
    <row r="610" ht="24.0" customHeight="1">
      <c r="A610" s="556"/>
      <c r="B610" s="577"/>
      <c r="C610" s="709"/>
      <c r="D610" s="715"/>
      <c r="E610" s="705"/>
      <c r="F610" s="712"/>
      <c r="G610" s="747"/>
      <c r="H610" s="748"/>
      <c r="I610" s="755"/>
      <c r="J610" s="275"/>
      <c r="K610" s="750"/>
      <c r="L610" s="636"/>
      <c r="M610" s="623" t="str">
        <f>IMAGE("https://raw.githubusercontent.com/msikma/pokesprite/master/items-outline/hold-item/rocky-helmet.png",1)</f>
        <v/>
      </c>
      <c r="N610" s="630" t="s">
        <v>1176</v>
      </c>
      <c r="O610" s="625"/>
      <c r="P610" s="631">
        <v>0.25</v>
      </c>
      <c r="Q610" s="610"/>
      <c r="R610" s="748"/>
      <c r="S610" s="755"/>
      <c r="T610" s="275"/>
      <c r="U610" s="750"/>
      <c r="V610" s="610"/>
      <c r="W610" s="709"/>
      <c r="X610" s="715"/>
      <c r="Y610" s="705"/>
      <c r="Z610" s="712"/>
      <c r="AA610" s="572"/>
      <c r="AB610" s="560"/>
    </row>
    <row r="611" ht="24.0" customHeight="1">
      <c r="A611" s="556"/>
      <c r="B611" s="577"/>
      <c r="C611" s="709"/>
      <c r="D611" s="715"/>
      <c r="E611" s="705"/>
      <c r="F611" s="711"/>
      <c r="G611" s="757"/>
      <c r="H611" s="748"/>
      <c r="I611" s="755"/>
      <c r="J611" s="275"/>
      <c r="K611" s="295"/>
      <c r="L611" s="636"/>
      <c r="M611" s="632"/>
      <c r="N611" s="633" t="s">
        <v>1177</v>
      </c>
      <c r="O611" s="634"/>
      <c r="P611" s="635">
        <v>0.05</v>
      </c>
      <c r="Q611" s="610"/>
      <c r="R611" s="748"/>
      <c r="S611" s="755"/>
      <c r="T611" s="275"/>
      <c r="U611" s="295"/>
      <c r="V611" s="610"/>
      <c r="W611" s="709"/>
      <c r="X611" s="715"/>
      <c r="Y611" s="705"/>
      <c r="Z611" s="711"/>
      <c r="AA611" s="572"/>
      <c r="AB611" s="560"/>
    </row>
    <row r="612" ht="24.0" customHeight="1">
      <c r="A612" s="556"/>
      <c r="B612" s="577"/>
      <c r="C612" s="709"/>
      <c r="D612" s="715"/>
      <c r="E612" s="705"/>
      <c r="F612" s="711"/>
      <c r="G612" s="757"/>
      <c r="H612" s="748"/>
      <c r="I612" s="755"/>
      <c r="J612" s="275"/>
      <c r="K612" s="295"/>
      <c r="L612" s="636"/>
      <c r="M612" s="637" t="str">
        <f t="shared" ref="M612:M613" si="64">IMAGE("https://raw.githubusercontent.com/msikma/pokesprite/master/items-outline/hold-item/choice-band.png",1)</f>
        <v/>
      </c>
      <c r="N612" s="638" t="s">
        <v>1181</v>
      </c>
      <c r="O612" s="639"/>
      <c r="P612" s="640">
        <v>0.04</v>
      </c>
      <c r="Q612" s="610"/>
      <c r="R612" s="748"/>
      <c r="S612" s="755"/>
      <c r="T612" s="275"/>
      <c r="U612" s="295"/>
      <c r="V612" s="646"/>
      <c r="W612" s="740"/>
      <c r="X612" s="768"/>
      <c r="Y612" s="722"/>
      <c r="Z612" s="769"/>
      <c r="AA612" s="572"/>
      <c r="AB612" s="560"/>
    </row>
    <row r="613" ht="24.75" customHeight="1">
      <c r="A613" s="556"/>
      <c r="B613" s="577"/>
      <c r="C613" s="736"/>
      <c r="D613" s="737"/>
      <c r="E613" s="738"/>
      <c r="F613" s="739"/>
      <c r="G613" s="760"/>
      <c r="H613" s="748"/>
      <c r="I613" s="755"/>
      <c r="J613" s="275"/>
      <c r="K613" s="295"/>
      <c r="L613" s="645"/>
      <c r="M613" s="641" t="str">
        <f t="shared" si="64"/>
        <v/>
      </c>
      <c r="N613" s="642" t="s">
        <v>1181</v>
      </c>
      <c r="O613" s="643"/>
      <c r="P613" s="644">
        <v>0.01</v>
      </c>
      <c r="Q613" s="646"/>
      <c r="R613" s="764"/>
      <c r="S613" s="274"/>
      <c r="T613" s="274"/>
      <c r="U613" s="274"/>
      <c r="V613" s="274"/>
      <c r="W613" s="274"/>
      <c r="X613" s="274"/>
      <c r="Y613" s="274"/>
      <c r="Z613" s="765"/>
      <c r="AA613" s="648"/>
      <c r="AB613" s="560"/>
    </row>
    <row r="614" ht="60.0" customHeight="1">
      <c r="A614" s="556"/>
      <c r="B614" s="577"/>
      <c r="C614" s="680" t="s">
        <v>1182</v>
      </c>
      <c r="Z614" s="588"/>
      <c r="AA614" s="648"/>
      <c r="AB614" s="560"/>
    </row>
    <row r="615" ht="37.5" customHeight="1">
      <c r="A615" s="556"/>
      <c r="B615" s="577"/>
      <c r="C615" s="703"/>
      <c r="D615" s="704"/>
      <c r="E615" s="705"/>
      <c r="F615" s="706"/>
      <c r="G615" s="593"/>
      <c r="H615" s="741"/>
      <c r="I615" s="274"/>
      <c r="J615" s="275"/>
      <c r="K615" s="742"/>
      <c r="L615" s="594"/>
      <c r="M615" s="590" t="s">
        <v>935</v>
      </c>
      <c r="N615" s="168"/>
      <c r="O615" s="591"/>
      <c r="P615" s="592" t="str">
        <f t="array" ref="P615">IFERROR(VLOOKUP(M615,Dex!$B$3:$N689,2,FALSE),"")</f>
        <v/>
      </c>
      <c r="Q615" s="594"/>
      <c r="R615" s="741"/>
      <c r="S615" s="274"/>
      <c r="T615" s="275"/>
      <c r="U615" s="742"/>
      <c r="V615" s="594"/>
      <c r="W615" s="703"/>
      <c r="X615" s="704"/>
      <c r="Y615" s="705"/>
      <c r="Z615" s="706"/>
      <c r="AA615" s="572"/>
      <c r="AB615" s="560"/>
    </row>
    <row r="616">
      <c r="A616" s="595"/>
      <c r="B616" s="596"/>
      <c r="C616" s="703"/>
      <c r="D616" s="704"/>
      <c r="E616" s="705"/>
      <c r="F616" s="706"/>
      <c r="G616" s="593"/>
      <c r="H616" s="741"/>
      <c r="I616" s="274"/>
      <c r="J616" s="275"/>
      <c r="K616" s="742"/>
      <c r="L616" s="602"/>
      <c r="M616" s="597" t="s">
        <v>1056</v>
      </c>
      <c r="N616" s="598"/>
      <c r="O616" s="599"/>
      <c r="P616" s="600" t="s">
        <v>1057</v>
      </c>
      <c r="Q616" s="602"/>
      <c r="R616" s="703"/>
      <c r="S616" s="704"/>
      <c r="T616" s="705"/>
      <c r="U616" s="706"/>
      <c r="V616" s="593"/>
      <c r="W616" s="741"/>
      <c r="X616" s="274"/>
      <c r="Y616" s="275"/>
      <c r="Z616" s="742"/>
      <c r="AA616" s="603"/>
      <c r="AB616" s="604"/>
    </row>
    <row r="617" ht="24.0" customHeight="1">
      <c r="A617" s="556"/>
      <c r="B617" s="577"/>
      <c r="C617" s="703"/>
      <c r="D617" s="704"/>
      <c r="E617" s="705"/>
      <c r="F617" s="706"/>
      <c r="G617" s="601"/>
      <c r="H617" s="744"/>
      <c r="I617" s="274"/>
      <c r="J617" s="275"/>
      <c r="K617" s="745"/>
      <c r="L617" s="610"/>
      <c r="M617" s="605" t="str">
        <f>IMAGE("https://raw.githubusercontent.com/msikma/pokesprite/master/items-outline/valuable-item/star-piece.png",1)</f>
        <v/>
      </c>
      <c r="N617" s="606" t="s">
        <v>1108</v>
      </c>
      <c r="O617" s="607"/>
      <c r="P617" s="608">
        <v>1.0</v>
      </c>
      <c r="Q617" s="610"/>
      <c r="R617" s="703"/>
      <c r="S617" s="704"/>
      <c r="T617" s="705"/>
      <c r="U617" s="706"/>
      <c r="V617" s="601"/>
      <c r="W617" s="744"/>
      <c r="X617" s="274"/>
      <c r="Y617" s="275"/>
      <c r="Z617" s="745"/>
      <c r="AA617" s="572"/>
      <c r="AB617" s="560"/>
    </row>
    <row r="618" ht="24.0" customHeight="1">
      <c r="A618" s="556"/>
      <c r="B618" s="577"/>
      <c r="C618" s="703"/>
      <c r="D618" s="704"/>
      <c r="E618" s="705"/>
      <c r="F618" s="706"/>
      <c r="G618" s="747"/>
      <c r="H618" s="748"/>
      <c r="I618" s="729"/>
      <c r="J618" s="275"/>
      <c r="K618" s="295"/>
      <c r="L618" s="610"/>
      <c r="M618" s="611" t="str">
        <f>IMAGE("https://raw.githubusercontent.com/msikma/pokesprite/master/items-outline/valuable-item/nugget.png",1)</f>
        <v/>
      </c>
      <c r="N618" s="612" t="s">
        <v>1084</v>
      </c>
      <c r="O618" s="613"/>
      <c r="P618" s="614">
        <v>0.8</v>
      </c>
      <c r="Q618" s="610"/>
      <c r="R618" s="703"/>
      <c r="S618" s="704"/>
      <c r="T618" s="705"/>
      <c r="U618" s="706"/>
      <c r="V618" s="747"/>
      <c r="W618" s="748"/>
      <c r="X618" s="729"/>
      <c r="Y618" s="275"/>
      <c r="Z618" s="295"/>
      <c r="AA618" s="572"/>
      <c r="AB618" s="560"/>
    </row>
    <row r="619" ht="24.0" customHeight="1">
      <c r="A619" s="556"/>
      <c r="B619" s="577"/>
      <c r="C619" s="707"/>
      <c r="D619" s="704"/>
      <c r="E619" s="705"/>
      <c r="F619" s="708"/>
      <c r="G619" s="747"/>
      <c r="H619" s="748"/>
      <c r="I619" s="729"/>
      <c r="J619" s="275"/>
      <c r="K619" s="750"/>
      <c r="L619" s="610"/>
      <c r="M619" s="615" t="str">
        <f>IMAGE("https://raw.githubusercontent.com/msikma/pokesprite/master/items-outline/valuable-item/big-nugget.png",1)</f>
        <v/>
      </c>
      <c r="N619" s="616" t="s">
        <v>1131</v>
      </c>
      <c r="O619" s="617"/>
      <c r="P619" s="618">
        <v>0.8</v>
      </c>
      <c r="Q619" s="610"/>
      <c r="R619" s="707"/>
      <c r="S619" s="704"/>
      <c r="T619" s="705"/>
      <c r="U619" s="708"/>
      <c r="V619" s="747"/>
      <c r="W619" s="748"/>
      <c r="X619" s="729"/>
      <c r="Y619" s="275"/>
      <c r="Z619" s="750"/>
      <c r="AA619" s="572"/>
      <c r="AB619" s="560"/>
    </row>
    <row r="620" ht="24.0" customHeight="1">
      <c r="A620" s="556"/>
      <c r="B620" s="577"/>
      <c r="C620" s="709"/>
      <c r="D620" s="710"/>
      <c r="E620" s="705"/>
      <c r="F620" s="711"/>
      <c r="G620" s="747"/>
      <c r="H620" s="748"/>
      <c r="I620" s="729"/>
      <c r="J620" s="275"/>
      <c r="K620" s="750"/>
      <c r="L620" s="610"/>
      <c r="M620" s="619" t="str">
        <f>IMAGE("https://raw.githubusercontent.com/msikma/pokesprite/master/items-outline/berry/occa.png",1)</f>
        <v/>
      </c>
      <c r="N620" s="620" t="s">
        <v>1156</v>
      </c>
      <c r="O620" s="621"/>
      <c r="P620" s="622">
        <v>0.5</v>
      </c>
      <c r="Q620" s="610"/>
      <c r="R620" s="709"/>
      <c r="S620" s="710"/>
      <c r="T620" s="705"/>
      <c r="U620" s="711"/>
      <c r="V620" s="747"/>
      <c r="W620" s="748"/>
      <c r="X620" s="729"/>
      <c r="Y620" s="275"/>
      <c r="Z620" s="750"/>
      <c r="AA620" s="572"/>
      <c r="AB620" s="560"/>
    </row>
    <row r="621" ht="24.0" customHeight="1">
      <c r="A621" s="556"/>
      <c r="B621" s="577"/>
      <c r="C621" s="709"/>
      <c r="D621" s="721"/>
      <c r="E621" s="722"/>
      <c r="F621" s="712"/>
      <c r="G621" s="747"/>
      <c r="H621" s="748"/>
      <c r="I621" s="729"/>
      <c r="J621" s="275"/>
      <c r="K621" s="750"/>
      <c r="L621" s="610"/>
      <c r="M621" s="623" t="str">
        <f>IMAGE("https://raw.githubusercontent.com/msikma/pokesprite/master/items-outline/other-item/ability-patch.png",1)</f>
        <v/>
      </c>
      <c r="N621" s="630" t="s">
        <v>1101</v>
      </c>
      <c r="O621" s="625"/>
      <c r="P621" s="626">
        <v>0.5</v>
      </c>
      <c r="Q621" s="610"/>
      <c r="R621" s="709"/>
      <c r="S621" s="721"/>
      <c r="T621" s="722"/>
      <c r="U621" s="712"/>
      <c r="V621" s="747"/>
      <c r="W621" s="748"/>
      <c r="X621" s="729"/>
      <c r="Y621" s="275"/>
      <c r="Z621" s="750"/>
      <c r="AA621" s="572"/>
      <c r="AB621" s="560"/>
    </row>
    <row r="622" ht="24.0" customHeight="1">
      <c r="A622" s="556"/>
      <c r="B622" s="577"/>
      <c r="C622" s="709"/>
      <c r="D622" s="710"/>
      <c r="E622" s="705"/>
      <c r="F622" s="712"/>
      <c r="G622" s="747"/>
      <c r="H622" s="748"/>
      <c r="I622" s="729"/>
      <c r="J622" s="275"/>
      <c r="K622" s="750"/>
      <c r="L622" s="610"/>
      <c r="M622" s="611" t="str">
        <f>IMAGE("https://raw.githubusercontent.com/msikma/pokesprite/master/items-outline/medicine/pp-up.png",1)</f>
        <v/>
      </c>
      <c r="N622" s="612" t="s">
        <v>1070</v>
      </c>
      <c r="O622" s="613"/>
      <c r="P622" s="627">
        <v>0.3</v>
      </c>
      <c r="Q622" s="610"/>
      <c r="R622" s="709"/>
      <c r="S622" s="710"/>
      <c r="T622" s="705"/>
      <c r="U622" s="712"/>
      <c r="V622" s="747"/>
      <c r="W622" s="748"/>
      <c r="X622" s="729"/>
      <c r="Y622" s="275"/>
      <c r="Z622" s="750"/>
      <c r="AA622" s="572"/>
      <c r="AB622" s="560"/>
    </row>
    <row r="623" ht="24.0" customHeight="1">
      <c r="A623" s="556"/>
      <c r="B623" s="577"/>
      <c r="C623" s="709"/>
      <c r="D623" s="710"/>
      <c r="E623" s="705"/>
      <c r="F623" s="712"/>
      <c r="G623" s="747"/>
      <c r="H623" s="748"/>
      <c r="I623" s="729"/>
      <c r="J623" s="275"/>
      <c r="K623" s="750"/>
      <c r="L623" s="610"/>
      <c r="M623" s="615" t="str">
        <f>IMAGE("https://raw.githubusercontent.com/msikma/pokesprite/master/items-outline/medicine/pp-max.png",1)</f>
        <v/>
      </c>
      <c r="N623" s="616" t="s">
        <v>1143</v>
      </c>
      <c r="O623" s="617"/>
      <c r="P623" s="628">
        <v>0.3</v>
      </c>
      <c r="Q623" s="610"/>
      <c r="R623" s="709"/>
      <c r="S623" s="710"/>
      <c r="T623" s="705"/>
      <c r="U623" s="712"/>
      <c r="V623" s="747"/>
      <c r="W623" s="748"/>
      <c r="X623" s="729"/>
      <c r="Y623" s="275"/>
      <c r="Z623" s="750"/>
      <c r="AA623" s="572"/>
      <c r="AB623" s="560"/>
    </row>
    <row r="624" ht="24.0" customHeight="1">
      <c r="A624" s="556"/>
      <c r="B624" s="577"/>
      <c r="C624" s="709"/>
      <c r="D624" s="710"/>
      <c r="E624" s="705"/>
      <c r="F624" s="712"/>
      <c r="G624" s="747"/>
      <c r="H624" s="748"/>
      <c r="I624" s="729"/>
      <c r="J624" s="275"/>
      <c r="K624" s="750"/>
      <c r="L624" s="610"/>
      <c r="M624" s="619" t="str">
        <f>IMAGE("https://raw.githubusercontent.com/msikma/pokesprite/master/items-outline/berry/liechi.png",1)</f>
        <v/>
      </c>
      <c r="N624" s="620" t="s">
        <v>1147</v>
      </c>
      <c r="O624" s="621"/>
      <c r="P624" s="629">
        <v>0.25</v>
      </c>
      <c r="Q624" s="610"/>
      <c r="R624" s="709"/>
      <c r="S624" s="710"/>
      <c r="T624" s="705"/>
      <c r="U624" s="712"/>
      <c r="V624" s="747"/>
      <c r="W624" s="748"/>
      <c r="X624" s="729"/>
      <c r="Y624" s="275"/>
      <c r="Z624" s="750"/>
      <c r="AA624" s="572"/>
      <c r="AB624" s="560"/>
    </row>
    <row r="625" ht="24.0" customHeight="1">
      <c r="A625" s="556"/>
      <c r="B625" s="577"/>
      <c r="C625" s="709"/>
      <c r="D625" s="715"/>
      <c r="E625" s="705"/>
      <c r="F625" s="712"/>
      <c r="G625" s="747"/>
      <c r="H625" s="748"/>
      <c r="I625" s="755"/>
      <c r="J625" s="275"/>
      <c r="K625" s="750"/>
      <c r="L625" s="610"/>
      <c r="M625" s="623"/>
      <c r="N625" s="630" t="s">
        <v>1068</v>
      </c>
      <c r="O625" s="625"/>
      <c r="P625" s="631">
        <v>0.25</v>
      </c>
      <c r="Q625" s="610"/>
      <c r="R625" s="709"/>
      <c r="S625" s="715"/>
      <c r="T625" s="705"/>
      <c r="U625" s="712"/>
      <c r="V625" s="747"/>
      <c r="W625" s="748"/>
      <c r="X625" s="755"/>
      <c r="Y625" s="275"/>
      <c r="Z625" s="750"/>
      <c r="AA625" s="572"/>
      <c r="AB625" s="560"/>
    </row>
    <row r="626" ht="24.0" customHeight="1">
      <c r="A626" s="556"/>
      <c r="B626" s="577"/>
      <c r="C626" s="709"/>
      <c r="D626" s="715"/>
      <c r="E626" s="705"/>
      <c r="F626" s="711"/>
      <c r="G626" s="757"/>
      <c r="H626" s="748"/>
      <c r="I626" s="755"/>
      <c r="J626" s="275"/>
      <c r="K626" s="295"/>
      <c r="L626" s="610"/>
      <c r="M626" s="632" t="str">
        <f>IMAGE("https://raw.githubusercontent.com/msikma/pokesprite/master/items-outline/hold-item/eviolite.png",1)</f>
        <v/>
      </c>
      <c r="N626" s="633" t="s">
        <v>1177</v>
      </c>
      <c r="O626" s="634"/>
      <c r="P626" s="635">
        <v>0.05</v>
      </c>
      <c r="Q626" s="610"/>
      <c r="R626" s="709"/>
      <c r="S626" s="715"/>
      <c r="T626" s="705"/>
      <c r="U626" s="711"/>
      <c r="V626" s="757"/>
      <c r="W626" s="748"/>
      <c r="X626" s="755"/>
      <c r="Y626" s="275"/>
      <c r="Z626" s="295"/>
      <c r="AA626" s="572"/>
      <c r="AB626" s="560"/>
    </row>
    <row r="627" ht="24.0" customHeight="1">
      <c r="A627" s="556"/>
      <c r="B627" s="577"/>
      <c r="C627" s="709"/>
      <c r="D627" s="715"/>
      <c r="E627" s="705"/>
      <c r="F627" s="711"/>
      <c r="G627" s="757"/>
      <c r="H627" s="748"/>
      <c r="I627" s="755"/>
      <c r="J627" s="275"/>
      <c r="K627" s="295"/>
      <c r="L627" s="610"/>
      <c r="M627" s="637" t="str">
        <f t="shared" ref="M627:M628" si="65">IMAGE("https://raw.githubusercontent.com/msikma/pokesprite/master/items-outline/hold-item/choice-band.png",1)</f>
        <v/>
      </c>
      <c r="N627" s="638" t="s">
        <v>1181</v>
      </c>
      <c r="O627" s="639"/>
      <c r="P627" s="640">
        <v>0.04</v>
      </c>
      <c r="Q627" s="610"/>
      <c r="R627" s="709"/>
      <c r="S627" s="715"/>
      <c r="T627" s="705"/>
      <c r="U627" s="711"/>
      <c r="V627" s="757"/>
      <c r="W627" s="748"/>
      <c r="X627" s="755"/>
      <c r="Y627" s="275"/>
      <c r="Z627" s="295"/>
      <c r="AA627" s="572"/>
      <c r="AB627" s="560"/>
    </row>
    <row r="628" ht="24.75" customHeight="1">
      <c r="A628" s="556"/>
      <c r="B628" s="577"/>
      <c r="C628" s="770"/>
      <c r="D628" s="771"/>
      <c r="E628" s="738"/>
      <c r="F628" s="772"/>
      <c r="G628" s="773"/>
      <c r="H628" s="774"/>
      <c r="I628" s="775"/>
      <c r="J628" s="275"/>
      <c r="K628" s="776"/>
      <c r="L628" s="777"/>
      <c r="M628" s="778" t="str">
        <f t="shared" si="65"/>
        <v/>
      </c>
      <c r="N628" s="779" t="s">
        <v>1181</v>
      </c>
      <c r="O628" s="643"/>
      <c r="P628" s="780">
        <v>0.01</v>
      </c>
      <c r="Q628" s="781"/>
      <c r="R628" s="782"/>
      <c r="S628" s="274"/>
      <c r="T628" s="274"/>
      <c r="U628" s="274"/>
      <c r="V628" s="274"/>
      <c r="W628" s="274"/>
      <c r="X628" s="274"/>
      <c r="Y628" s="274"/>
      <c r="Z628" s="275"/>
      <c r="AA628" s="572"/>
      <c r="AB628" s="560"/>
    </row>
    <row r="629" ht="60.0" customHeight="1">
      <c r="A629" s="556"/>
      <c r="B629" s="577"/>
      <c r="C629" s="680" t="s">
        <v>1183</v>
      </c>
      <c r="Z629" s="588"/>
      <c r="AA629" s="648"/>
      <c r="AB629" s="560"/>
    </row>
    <row r="630" ht="37.5" customHeight="1">
      <c r="A630" s="556"/>
      <c r="B630" s="577"/>
      <c r="C630" s="703"/>
      <c r="D630" s="704"/>
      <c r="E630" s="705"/>
      <c r="F630" s="706"/>
      <c r="G630" s="593"/>
      <c r="H630" s="741"/>
      <c r="I630" s="274"/>
      <c r="J630" s="275"/>
      <c r="K630" s="742"/>
      <c r="L630" s="594"/>
      <c r="M630" s="590" t="s">
        <v>933</v>
      </c>
      <c r="N630" s="168"/>
      <c r="O630" s="591"/>
      <c r="P630" s="592" t="str">
        <f t="array" ref="P630">IFERROR(VLOOKUP(M630,Dex!$B$3:$N689,2,FALSE),"")</f>
        <v/>
      </c>
      <c r="Q630" s="594"/>
      <c r="R630" s="783"/>
      <c r="S630" s="331"/>
      <c r="T630" s="332"/>
      <c r="U630" s="742"/>
      <c r="V630" s="594"/>
      <c r="W630" s="784"/>
      <c r="X630" s="785"/>
      <c r="Y630" s="722"/>
      <c r="Z630" s="706"/>
      <c r="AA630" s="572"/>
      <c r="AB630" s="560"/>
    </row>
    <row r="631">
      <c r="A631" s="595"/>
      <c r="B631" s="596"/>
      <c r="C631" s="703"/>
      <c r="D631" s="704"/>
      <c r="E631" s="705"/>
      <c r="F631" s="706"/>
      <c r="G631" s="593"/>
      <c r="H631" s="741"/>
      <c r="I631" s="274"/>
      <c r="J631" s="275"/>
      <c r="K631" s="742"/>
      <c r="L631" s="602"/>
      <c r="M631" s="597" t="s">
        <v>1056</v>
      </c>
      <c r="N631" s="598"/>
      <c r="O631" s="599"/>
      <c r="P631" s="600" t="s">
        <v>1057</v>
      </c>
      <c r="Q631" s="602"/>
      <c r="R631" s="703"/>
      <c r="S631" s="704"/>
      <c r="T631" s="705"/>
      <c r="U631" s="706"/>
      <c r="V631" s="593"/>
      <c r="W631" s="741"/>
      <c r="X631" s="274"/>
      <c r="Y631" s="275"/>
      <c r="Z631" s="742"/>
      <c r="AA631" s="603"/>
      <c r="AB631" s="604"/>
    </row>
    <row r="632" ht="24.0" customHeight="1">
      <c r="A632" s="556"/>
      <c r="B632" s="577"/>
      <c r="C632" s="703"/>
      <c r="D632" s="704"/>
      <c r="E632" s="705"/>
      <c r="F632" s="706"/>
      <c r="G632" s="601"/>
      <c r="H632" s="744"/>
      <c r="I632" s="274"/>
      <c r="J632" s="275"/>
      <c r="K632" s="745"/>
      <c r="L632" s="610"/>
      <c r="M632" s="605" t="str">
        <f>IMAGE("https://raw.githubusercontent.com/msikma/pokesprite/master/items-outline/valuable-item/nugget.png",1)</f>
        <v/>
      </c>
      <c r="N632" s="606" t="s">
        <v>1084</v>
      </c>
      <c r="O632" s="607"/>
      <c r="P632" s="608">
        <v>1.0</v>
      </c>
      <c r="Q632" s="610"/>
      <c r="R632" s="703"/>
      <c r="S632" s="704"/>
      <c r="T632" s="705"/>
      <c r="U632" s="706"/>
      <c r="V632" s="601"/>
      <c r="W632" s="744"/>
      <c r="X632" s="274"/>
      <c r="Y632" s="275"/>
      <c r="Z632" s="745"/>
      <c r="AA632" s="572"/>
      <c r="AB632" s="560"/>
    </row>
    <row r="633" ht="24.0" customHeight="1">
      <c r="A633" s="556"/>
      <c r="B633" s="577"/>
      <c r="C633" s="703"/>
      <c r="D633" s="704"/>
      <c r="E633" s="705"/>
      <c r="F633" s="706"/>
      <c r="G633" s="747"/>
      <c r="H633" s="748"/>
      <c r="I633" s="729"/>
      <c r="J633" s="275"/>
      <c r="K633" s="295"/>
      <c r="L633" s="610"/>
      <c r="M633" s="611" t="str">
        <f>IMAGE("https://raw.githubusercontent.com/msikma/pokesprite/master/items-outline/medicine/protein.png",1)</f>
        <v/>
      </c>
      <c r="N633" s="612" t="s">
        <v>1069</v>
      </c>
      <c r="O633" s="613"/>
      <c r="P633" s="614">
        <v>0.8</v>
      </c>
      <c r="Q633" s="610"/>
      <c r="R633" s="703"/>
      <c r="S633" s="704"/>
      <c r="T633" s="705"/>
      <c r="U633" s="706"/>
      <c r="V633" s="747"/>
      <c r="W633" s="748"/>
      <c r="X633" s="729"/>
      <c r="Y633" s="275"/>
      <c r="Z633" s="295"/>
      <c r="AA633" s="572"/>
      <c r="AB633" s="560"/>
    </row>
    <row r="634" ht="24.0" customHeight="1">
      <c r="A634" s="556"/>
      <c r="B634" s="577"/>
      <c r="C634" s="707"/>
      <c r="D634" s="704"/>
      <c r="E634" s="705"/>
      <c r="F634" s="708"/>
      <c r="G634" s="747"/>
      <c r="H634" s="748"/>
      <c r="I634" s="729"/>
      <c r="J634" s="275"/>
      <c r="K634" s="750"/>
      <c r="L634" s="610"/>
      <c r="M634" s="615" t="str">
        <f>IMAGE("https://raw.githubusercontent.com/msikma/pokesprite/master/items-outline/valuable-item/big-nugget.png",1)</f>
        <v/>
      </c>
      <c r="N634" s="616" t="s">
        <v>1131</v>
      </c>
      <c r="O634" s="617"/>
      <c r="P634" s="618">
        <v>0.8</v>
      </c>
      <c r="Q634" s="610"/>
      <c r="R634" s="707"/>
      <c r="S634" s="704"/>
      <c r="T634" s="705"/>
      <c r="U634" s="708"/>
      <c r="V634" s="747"/>
      <c r="W634" s="748"/>
      <c r="X634" s="729"/>
      <c r="Y634" s="275"/>
      <c r="Z634" s="750"/>
      <c r="AA634" s="572"/>
      <c r="AB634" s="560"/>
    </row>
    <row r="635" ht="24.0" customHeight="1">
      <c r="A635" s="556"/>
      <c r="B635" s="577"/>
      <c r="C635" s="709"/>
      <c r="D635" s="710"/>
      <c r="E635" s="705"/>
      <c r="F635" s="711"/>
      <c r="G635" s="747"/>
      <c r="H635" s="748"/>
      <c r="I635" s="729"/>
      <c r="J635" s="275"/>
      <c r="K635" s="750"/>
      <c r="L635" s="610"/>
      <c r="M635" s="619" t="str">
        <f>IMAGE("https://raw.githubusercontent.com/msikma/pokesprite/master/items-outline/medicine/calcium.png",1)</f>
        <v/>
      </c>
      <c r="N635" s="620" t="s">
        <v>1075</v>
      </c>
      <c r="O635" s="621"/>
      <c r="P635" s="622">
        <v>0.5</v>
      </c>
      <c r="Q635" s="610"/>
      <c r="R635" s="709"/>
      <c r="S635" s="710"/>
      <c r="T635" s="705"/>
      <c r="U635" s="711"/>
      <c r="V635" s="747"/>
      <c r="W635" s="748"/>
      <c r="X635" s="729"/>
      <c r="Y635" s="275"/>
      <c r="Z635" s="750"/>
      <c r="AA635" s="572"/>
      <c r="AB635" s="560"/>
    </row>
    <row r="636" ht="24.0" customHeight="1">
      <c r="A636" s="556"/>
      <c r="B636" s="577"/>
      <c r="C636" s="709"/>
      <c r="D636" s="721"/>
      <c r="E636" s="722"/>
      <c r="F636" s="712"/>
      <c r="G636" s="747"/>
      <c r="H636" s="748"/>
      <c r="I636" s="729"/>
      <c r="J636" s="275"/>
      <c r="K636" s="750"/>
      <c r="L636" s="610"/>
      <c r="M636" s="623" t="str">
        <f>IMAGE("https://raw.githubusercontent.com/msikma/pokesprite/master/items-outline/medicine/carbos.png",1)</f>
        <v/>
      </c>
      <c r="N636" s="624" t="s">
        <v>1080</v>
      </c>
      <c r="O636" s="625"/>
      <c r="P636" s="626">
        <v>0.5</v>
      </c>
      <c r="Q636" s="610"/>
      <c r="R636" s="709"/>
      <c r="S636" s="721"/>
      <c r="T636" s="722"/>
      <c r="U636" s="712"/>
      <c r="V636" s="747"/>
      <c r="W636" s="748"/>
      <c r="X636" s="729"/>
      <c r="Y636" s="275"/>
      <c r="Z636" s="750"/>
      <c r="AA636" s="572"/>
      <c r="AB636" s="560"/>
    </row>
    <row r="637" ht="24.0" customHeight="1">
      <c r="A637" s="556"/>
      <c r="B637" s="577"/>
      <c r="C637" s="709"/>
      <c r="D637" s="710"/>
      <c r="E637" s="705"/>
      <c r="F637" s="712"/>
      <c r="G637" s="747"/>
      <c r="H637" s="748"/>
      <c r="I637" s="729"/>
      <c r="J637" s="275"/>
      <c r="K637" s="750"/>
      <c r="L637" s="610"/>
      <c r="M637" s="611" t="str">
        <f>IMAGE("https://raw.githubusercontent.com/msikma/pokesprite/master/items-outline/medicine/pp-up.png",1)</f>
        <v/>
      </c>
      <c r="N637" s="612" t="s">
        <v>1070</v>
      </c>
      <c r="O637" s="613"/>
      <c r="P637" s="627">
        <v>0.3</v>
      </c>
      <c r="Q637" s="610"/>
      <c r="R637" s="709"/>
      <c r="S637" s="710"/>
      <c r="T637" s="705"/>
      <c r="U637" s="712"/>
      <c r="V637" s="747"/>
      <c r="W637" s="748"/>
      <c r="X637" s="729"/>
      <c r="Y637" s="275"/>
      <c r="Z637" s="750"/>
      <c r="AA637" s="572"/>
      <c r="AB637" s="560"/>
    </row>
    <row r="638" ht="24.0" customHeight="1">
      <c r="A638" s="556"/>
      <c r="B638" s="577"/>
      <c r="C638" s="709"/>
      <c r="D638" s="710"/>
      <c r="E638" s="705"/>
      <c r="F638" s="712"/>
      <c r="G638" s="747"/>
      <c r="H638" s="748"/>
      <c r="I638" s="729"/>
      <c r="J638" s="275"/>
      <c r="K638" s="750"/>
      <c r="L638" s="610"/>
      <c r="M638" s="615" t="str">
        <f>IMAGE("https://raw.githubusercontent.com/msikma/pokesprite/master/items-outline/medicine/pp-max.png",1)</f>
        <v/>
      </c>
      <c r="N638" s="616" t="s">
        <v>1143</v>
      </c>
      <c r="O638" s="617"/>
      <c r="P638" s="628">
        <v>0.3</v>
      </c>
      <c r="Q638" s="610"/>
      <c r="R638" s="709"/>
      <c r="S638" s="710"/>
      <c r="T638" s="705"/>
      <c r="U638" s="712"/>
      <c r="V638" s="747"/>
      <c r="W638" s="748"/>
      <c r="X638" s="729"/>
      <c r="Y638" s="275"/>
      <c r="Z638" s="750"/>
      <c r="AA638" s="572"/>
      <c r="AB638" s="560"/>
    </row>
    <row r="639" ht="24.0" customHeight="1">
      <c r="A639" s="556"/>
      <c r="B639" s="577"/>
      <c r="C639" s="709"/>
      <c r="D639" s="710"/>
      <c r="E639" s="705"/>
      <c r="F639" s="712"/>
      <c r="G639" s="747"/>
      <c r="H639" s="748"/>
      <c r="I639" s="729"/>
      <c r="J639" s="275"/>
      <c r="K639" s="750"/>
      <c r="L639" s="610"/>
      <c r="M639" s="619" t="str">
        <f>IMAGE("https://raw.githubusercontent.com/msikma/pokesprite/master/items-outline/valuable-item/star-piece.png",1)</f>
        <v/>
      </c>
      <c r="N639" s="620" t="s">
        <v>1108</v>
      </c>
      <c r="O639" s="621"/>
      <c r="P639" s="629">
        <v>0.25</v>
      </c>
      <c r="Q639" s="610"/>
      <c r="R639" s="709"/>
      <c r="S639" s="710"/>
      <c r="T639" s="705"/>
      <c r="U639" s="712"/>
      <c r="V639" s="747"/>
      <c r="W639" s="748"/>
      <c r="X639" s="729"/>
      <c r="Y639" s="275"/>
      <c r="Z639" s="750"/>
      <c r="AA639" s="572"/>
      <c r="AB639" s="560"/>
    </row>
    <row r="640" ht="24.0" customHeight="1">
      <c r="A640" s="556"/>
      <c r="B640" s="577"/>
      <c r="C640" s="709"/>
      <c r="D640" s="715"/>
      <c r="E640" s="705"/>
      <c r="F640" s="712"/>
      <c r="G640" s="747"/>
      <c r="H640" s="748"/>
      <c r="I640" s="755"/>
      <c r="J640" s="275"/>
      <c r="K640" s="750"/>
      <c r="L640" s="610"/>
      <c r="M640" s="623"/>
      <c r="N640" s="630" t="s">
        <v>1068</v>
      </c>
      <c r="O640" s="625"/>
      <c r="P640" s="631">
        <v>0.25</v>
      </c>
      <c r="Q640" s="610"/>
      <c r="R640" s="709"/>
      <c r="S640" s="715"/>
      <c r="T640" s="705"/>
      <c r="U640" s="712"/>
      <c r="V640" s="747"/>
      <c r="W640" s="748"/>
      <c r="X640" s="755"/>
      <c r="Y640" s="275"/>
      <c r="Z640" s="750"/>
      <c r="AA640" s="572"/>
      <c r="AB640" s="560"/>
    </row>
    <row r="641" ht="24.0" customHeight="1">
      <c r="A641" s="556"/>
      <c r="B641" s="577"/>
      <c r="C641" s="709"/>
      <c r="D641" s="715"/>
      <c r="E641" s="705"/>
      <c r="F641" s="711"/>
      <c r="G641" s="757"/>
      <c r="H641" s="748"/>
      <c r="I641" s="755"/>
      <c r="J641" s="275"/>
      <c r="K641" s="295"/>
      <c r="L641" s="610"/>
      <c r="M641" s="632" t="str">
        <f>IMAGE("https://raw.githubusercontent.com/msikma/pokesprite/master/items-outline/hold-item/eviolite.png",1)</f>
        <v/>
      </c>
      <c r="N641" s="633" t="s">
        <v>1177</v>
      </c>
      <c r="O641" s="634"/>
      <c r="P641" s="635">
        <v>0.05</v>
      </c>
      <c r="Q641" s="610"/>
      <c r="R641" s="709"/>
      <c r="S641" s="715"/>
      <c r="T641" s="705"/>
      <c r="U641" s="711"/>
      <c r="V641" s="757"/>
      <c r="W641" s="748"/>
      <c r="X641" s="755"/>
      <c r="Y641" s="275"/>
      <c r="Z641" s="295"/>
      <c r="AA641" s="572"/>
      <c r="AB641" s="560"/>
    </row>
    <row r="642" ht="24.0" customHeight="1">
      <c r="A642" s="556"/>
      <c r="B642" s="577"/>
      <c r="C642" s="709"/>
      <c r="D642" s="715"/>
      <c r="E642" s="705"/>
      <c r="F642" s="711"/>
      <c r="G642" s="757"/>
      <c r="H642" s="748"/>
      <c r="I642" s="755"/>
      <c r="J642" s="275"/>
      <c r="K642" s="295"/>
      <c r="L642" s="610"/>
      <c r="M642" s="637" t="str">
        <f t="shared" ref="M642:M643" si="66">IMAGE("https://raw.githubusercontent.com/msikma/pokesprite/master/items-outline/hold-item/choice-specs.png",1)</f>
        <v/>
      </c>
      <c r="N642" s="638" t="s">
        <v>1184</v>
      </c>
      <c r="O642" s="639"/>
      <c r="P642" s="640">
        <v>0.04</v>
      </c>
      <c r="Q642" s="610"/>
      <c r="R642" s="709"/>
      <c r="S642" s="715"/>
      <c r="T642" s="705"/>
      <c r="U642" s="711"/>
      <c r="V642" s="757"/>
      <c r="W642" s="748"/>
      <c r="X642" s="755"/>
      <c r="Y642" s="275"/>
      <c r="Z642" s="295"/>
      <c r="AA642" s="572"/>
      <c r="AB642" s="560"/>
    </row>
    <row r="643" ht="24.75" customHeight="1">
      <c r="A643" s="556"/>
      <c r="B643" s="577"/>
      <c r="C643" s="770"/>
      <c r="D643" s="771"/>
      <c r="E643" s="738"/>
      <c r="F643" s="772"/>
      <c r="G643" s="773"/>
      <c r="H643" s="774"/>
      <c r="I643" s="775"/>
      <c r="J643" s="275"/>
      <c r="K643" s="776"/>
      <c r="L643" s="777"/>
      <c r="M643" s="778" t="str">
        <f t="shared" si="66"/>
        <v/>
      </c>
      <c r="N643" s="779" t="s">
        <v>1184</v>
      </c>
      <c r="O643" s="643"/>
      <c r="P643" s="780">
        <v>0.01</v>
      </c>
      <c r="Q643" s="781"/>
      <c r="R643" s="782"/>
      <c r="S643" s="274"/>
      <c r="T643" s="274"/>
      <c r="U643" s="274"/>
      <c r="V643" s="274"/>
      <c r="W643" s="274"/>
      <c r="X643" s="274"/>
      <c r="Y643" s="274"/>
      <c r="Z643" s="275"/>
      <c r="AA643" s="572"/>
      <c r="AB643" s="560"/>
    </row>
    <row r="644" ht="60.0" customHeight="1">
      <c r="A644" s="556"/>
      <c r="B644" s="577"/>
      <c r="C644" s="680" t="s">
        <v>1185</v>
      </c>
      <c r="Z644" s="588"/>
      <c r="AA644" s="648"/>
      <c r="AB644" s="560"/>
    </row>
    <row r="645" ht="37.5" customHeight="1">
      <c r="A645" s="556"/>
      <c r="B645" s="577"/>
      <c r="C645" s="703"/>
      <c r="D645" s="704"/>
      <c r="E645" s="705"/>
      <c r="F645" s="706"/>
      <c r="G645" s="593"/>
      <c r="H645" s="590" t="s">
        <v>908</v>
      </c>
      <c r="I645" s="168"/>
      <c r="J645" s="591"/>
      <c r="K645" s="592" t="str">
        <f t="array" ref="K645">IFERROR(VLOOKUP(H645,Dex!$B$3:$N689,2,FALSE),"")</f>
        <v/>
      </c>
      <c r="L645" s="594"/>
      <c r="M645" s="590" t="s">
        <v>939</v>
      </c>
      <c r="N645" s="168"/>
      <c r="O645" s="591"/>
      <c r="P645" s="592" t="str">
        <f t="array" ref="P645">IFERROR(VLOOKUP(M645,Dex!$B$3:$N689,2,FALSE),"")</f>
        <v/>
      </c>
      <c r="Q645" s="594"/>
      <c r="R645" s="590" t="s">
        <v>882</v>
      </c>
      <c r="S645" s="168"/>
      <c r="T645" s="591"/>
      <c r="U645" s="592" t="str">
        <f t="array" ref="U645">IFERROR(VLOOKUP(R645,Dex!$B$3:$N689,2,FALSE),"")</f>
        <v/>
      </c>
      <c r="V645" s="594"/>
      <c r="W645" s="703"/>
      <c r="X645" s="704"/>
      <c r="Y645" s="705"/>
      <c r="Z645" s="706"/>
      <c r="AA645" s="572"/>
      <c r="AB645" s="560"/>
    </row>
    <row r="646">
      <c r="A646" s="595"/>
      <c r="B646" s="596"/>
      <c r="C646" s="703"/>
      <c r="D646" s="704"/>
      <c r="E646" s="705"/>
      <c r="F646" s="706"/>
      <c r="G646" s="601"/>
      <c r="H646" s="597" t="s">
        <v>1056</v>
      </c>
      <c r="I646" s="598"/>
      <c r="J646" s="599"/>
      <c r="K646" s="600" t="s">
        <v>1057</v>
      </c>
      <c r="L646" s="602"/>
      <c r="M646" s="597" t="s">
        <v>1056</v>
      </c>
      <c r="N646" s="598"/>
      <c r="O646" s="599"/>
      <c r="P646" s="600" t="s">
        <v>1057</v>
      </c>
      <c r="Q646" s="602"/>
      <c r="R646" s="597" t="s">
        <v>1056</v>
      </c>
      <c r="S646" s="598"/>
      <c r="T646" s="599"/>
      <c r="U646" s="600" t="s">
        <v>1057</v>
      </c>
      <c r="V646" s="602"/>
      <c r="W646" s="703"/>
      <c r="X646" s="704"/>
      <c r="Y646" s="705"/>
      <c r="Z646" s="706"/>
      <c r="AA646" s="603"/>
      <c r="AB646" s="604"/>
    </row>
    <row r="647" ht="24.0" customHeight="1">
      <c r="A647" s="556"/>
      <c r="B647" s="577"/>
      <c r="C647" s="703"/>
      <c r="D647" s="704"/>
      <c r="E647" s="705"/>
      <c r="F647" s="706"/>
      <c r="G647" s="609"/>
      <c r="H647" s="605" t="str">
        <f>IMAGE("https://raw.githubusercontent.com/msikma/pokesprite/master/items-outline/valuable-item/nugget.png",1)</f>
        <v/>
      </c>
      <c r="I647" s="606" t="s">
        <v>1084</v>
      </c>
      <c r="J647" s="607"/>
      <c r="K647" s="608">
        <v>1.0</v>
      </c>
      <c r="L647" s="610"/>
      <c r="M647" s="605" t="str">
        <f>IMAGE("https://raw.githubusercontent.com/msikma/pokesprite/master/items-outline/valuable-item/nugget.png",1)</f>
        <v/>
      </c>
      <c r="N647" s="606" t="s">
        <v>1084</v>
      </c>
      <c r="O647" s="607"/>
      <c r="P647" s="608">
        <v>1.0</v>
      </c>
      <c r="Q647" s="610"/>
      <c r="R647" s="605" t="str">
        <f>IMAGE("https://raw.githubusercontent.com/msikma/pokesprite/master/items-outline/valuable-item/star-piece.png",1)</f>
        <v/>
      </c>
      <c r="S647" s="606" t="s">
        <v>1108</v>
      </c>
      <c r="T647" s="607"/>
      <c r="U647" s="608">
        <v>1.0</v>
      </c>
      <c r="V647" s="716"/>
      <c r="W647" s="703"/>
      <c r="X647" s="704"/>
      <c r="Y647" s="705"/>
      <c r="Z647" s="706"/>
      <c r="AA647" s="572"/>
      <c r="AB647" s="560"/>
    </row>
    <row r="648" ht="24.0" customHeight="1">
      <c r="A648" s="556"/>
      <c r="B648" s="577"/>
      <c r="C648" s="707"/>
      <c r="D648" s="704"/>
      <c r="E648" s="705"/>
      <c r="F648" s="708"/>
      <c r="G648" s="609"/>
      <c r="H648" s="611" t="str">
        <f>IMAGE("https://raw.githubusercontent.com/msikma/pokesprite/master/items-outline/medicine/protein.png",1)</f>
        <v/>
      </c>
      <c r="I648" s="612" t="s">
        <v>1069</v>
      </c>
      <c r="J648" s="613"/>
      <c r="K648" s="614">
        <v>0.8</v>
      </c>
      <c r="L648" s="610"/>
      <c r="M648" s="611" t="str">
        <f>IMAGE("https://raw.githubusercontent.com/msikma/pokesprite/master/items-outline/medicine/protein.png",1)</f>
        <v/>
      </c>
      <c r="N648" s="612" t="s">
        <v>1069</v>
      </c>
      <c r="O648" s="613"/>
      <c r="P648" s="614">
        <v>0.8</v>
      </c>
      <c r="Q648" s="610"/>
      <c r="R648" s="611" t="str">
        <f>IMAGE("https://raw.githubusercontent.com/msikma/pokesprite/master/items-outline/valuable-item/nugget.png",1)</f>
        <v/>
      </c>
      <c r="S648" s="612" t="s">
        <v>1084</v>
      </c>
      <c r="T648" s="613"/>
      <c r="U648" s="614">
        <v>0.8</v>
      </c>
      <c r="V648" s="610"/>
      <c r="W648" s="707"/>
      <c r="X648" s="704"/>
      <c r="Y648" s="705"/>
      <c r="Z648" s="708"/>
      <c r="AA648" s="572"/>
      <c r="AB648" s="560"/>
    </row>
    <row r="649" ht="24.0" customHeight="1">
      <c r="A649" s="556"/>
      <c r="B649" s="577"/>
      <c r="C649" s="709"/>
      <c r="D649" s="710"/>
      <c r="E649" s="705"/>
      <c r="F649" s="711"/>
      <c r="G649" s="609"/>
      <c r="H649" s="615" t="str">
        <f>IMAGE("https://raw.githubusercontent.com/msikma/pokesprite/master/items-outline/valuable-item/big-nugget.png",1)</f>
        <v/>
      </c>
      <c r="I649" s="616" t="s">
        <v>1131</v>
      </c>
      <c r="J649" s="617"/>
      <c r="K649" s="618">
        <v>0.8</v>
      </c>
      <c r="L649" s="610"/>
      <c r="M649" s="615" t="str">
        <f>IMAGE("https://raw.githubusercontent.com/msikma/pokesprite/master/items-outline/valuable-item/big-nugget.png",1)</f>
        <v/>
      </c>
      <c r="N649" s="616" t="s">
        <v>1131</v>
      </c>
      <c r="O649" s="617"/>
      <c r="P649" s="618">
        <v>0.8</v>
      </c>
      <c r="Q649" s="610"/>
      <c r="R649" s="615" t="str">
        <f>IMAGE("https://raw.githubusercontent.com/msikma/pokesprite/master/items-outline/valuable-item/big-nugget.png",1)</f>
        <v/>
      </c>
      <c r="S649" s="616" t="s">
        <v>1131</v>
      </c>
      <c r="T649" s="617"/>
      <c r="U649" s="618">
        <v>0.8</v>
      </c>
      <c r="V649" s="610"/>
      <c r="W649" s="709"/>
      <c r="X649" s="710"/>
      <c r="Y649" s="705"/>
      <c r="Z649" s="711"/>
      <c r="AA649" s="572"/>
      <c r="AB649" s="560"/>
    </row>
    <row r="650" ht="24.0" customHeight="1">
      <c r="A650" s="556"/>
      <c r="B650" s="577"/>
      <c r="C650" s="709"/>
      <c r="D650" s="710"/>
      <c r="E650" s="705"/>
      <c r="F650" s="712"/>
      <c r="G650" s="609"/>
      <c r="H650" s="619" t="str">
        <f>IMAGE("https://raw.githubusercontent.com/msikma/pokesprite/master/items-outline/medicine/calcium.png",1)</f>
        <v/>
      </c>
      <c r="I650" s="620" t="s">
        <v>1075</v>
      </c>
      <c r="J650" s="621"/>
      <c r="K650" s="622">
        <v>0.5</v>
      </c>
      <c r="L650" s="610"/>
      <c r="M650" s="619" t="str">
        <f>IMAGE("https://raw.githubusercontent.com/msikma/pokesprite/master/items-outline/medicine/calcium.png",1)</f>
        <v/>
      </c>
      <c r="N650" s="620" t="s">
        <v>1075</v>
      </c>
      <c r="O650" s="621"/>
      <c r="P650" s="622">
        <v>0.5</v>
      </c>
      <c r="Q650" s="610"/>
      <c r="R650" s="619" t="str">
        <f>IMAGE("https://raw.githubusercontent.com/msikma/pokesprite/master/items-outline/medicine/protein.png",1)</f>
        <v/>
      </c>
      <c r="S650" s="620" t="s">
        <v>1069</v>
      </c>
      <c r="T650" s="621"/>
      <c r="U650" s="622">
        <v>0.5</v>
      </c>
      <c r="V650" s="610"/>
      <c r="W650" s="709"/>
      <c r="X650" s="710"/>
      <c r="Y650" s="705"/>
      <c r="Z650" s="712"/>
      <c r="AA650" s="572"/>
      <c r="AB650" s="560"/>
    </row>
    <row r="651" ht="24.0" customHeight="1">
      <c r="A651" s="556"/>
      <c r="B651" s="577"/>
      <c r="C651" s="709"/>
      <c r="D651" s="710"/>
      <c r="E651" s="705"/>
      <c r="F651" s="712"/>
      <c r="G651" s="609"/>
      <c r="H651" s="623" t="str">
        <f>IMAGE("https://raw.githubusercontent.com/msikma/pokesprite/master/items-outline/medicine/carbos.png",1)</f>
        <v/>
      </c>
      <c r="I651" s="624" t="s">
        <v>1080</v>
      </c>
      <c r="J651" s="625"/>
      <c r="K651" s="626">
        <v>0.5</v>
      </c>
      <c r="L651" s="610"/>
      <c r="M651" s="623" t="str">
        <f>IMAGE("https://raw.githubusercontent.com/msikma/pokesprite/master/items-outline/medicine/carbos.png",1)</f>
        <v/>
      </c>
      <c r="N651" s="624" t="s">
        <v>1080</v>
      </c>
      <c r="O651" s="625"/>
      <c r="P651" s="626">
        <v>0.5</v>
      </c>
      <c r="Q651" s="610"/>
      <c r="R651" s="623" t="str">
        <f>IMAGE("https://raw.githubusercontent.com/msikma/pokesprite/master/items-outline/medicine/calcium.png",1)</f>
        <v/>
      </c>
      <c r="S651" s="624" t="s">
        <v>1075</v>
      </c>
      <c r="T651" s="625"/>
      <c r="U651" s="626">
        <v>0.5</v>
      </c>
      <c r="V651" s="610"/>
      <c r="W651" s="709"/>
      <c r="X651" s="710"/>
      <c r="Y651" s="705"/>
      <c r="Z651" s="712"/>
      <c r="AA651" s="572"/>
      <c r="AB651" s="560"/>
    </row>
    <row r="652" ht="24.0" customHeight="1">
      <c r="A652" s="556"/>
      <c r="B652" s="577"/>
      <c r="C652" s="709"/>
      <c r="D652" s="710"/>
      <c r="E652" s="705"/>
      <c r="F652" s="712"/>
      <c r="G652" s="609"/>
      <c r="H652" s="611" t="str">
        <f>IMAGE("https://raw.githubusercontent.com/msikma/pokesprite/master/items-outline/medicine/pp-up.png",1)</f>
        <v/>
      </c>
      <c r="I652" s="612" t="s">
        <v>1070</v>
      </c>
      <c r="J652" s="613"/>
      <c r="K652" s="627">
        <v>0.3</v>
      </c>
      <c r="L652" s="610"/>
      <c r="M652" s="611" t="str">
        <f>IMAGE("https://raw.githubusercontent.com/msikma/pokesprite/master/items-outline/medicine/pp-up.png",1)</f>
        <v/>
      </c>
      <c r="N652" s="612" t="s">
        <v>1070</v>
      </c>
      <c r="O652" s="613"/>
      <c r="P652" s="627">
        <v>0.3</v>
      </c>
      <c r="Q652" s="610"/>
      <c r="R652" s="611" t="str">
        <f>IMAGE("https://raw.githubusercontent.com/msikma/pokesprite/master/items-outline/medicine/pp-up.png",1)</f>
        <v/>
      </c>
      <c r="S652" s="612" t="s">
        <v>1070</v>
      </c>
      <c r="T652" s="613"/>
      <c r="U652" s="627">
        <v>0.3</v>
      </c>
      <c r="V652" s="610"/>
      <c r="W652" s="709"/>
      <c r="X652" s="710"/>
      <c r="Y652" s="705"/>
      <c r="Z652" s="712"/>
      <c r="AA652" s="572"/>
      <c r="AB652" s="560"/>
    </row>
    <row r="653" ht="24.0" customHeight="1">
      <c r="A653" s="556"/>
      <c r="B653" s="577"/>
      <c r="C653" s="709"/>
      <c r="D653" s="710"/>
      <c r="E653" s="705"/>
      <c r="F653" s="712"/>
      <c r="G653" s="609"/>
      <c r="H653" s="615" t="str">
        <f>IMAGE("https://raw.githubusercontent.com/msikma/pokesprite/master/items-outline/medicine/pp-max.png",1)</f>
        <v/>
      </c>
      <c r="I653" s="616" t="s">
        <v>1143</v>
      </c>
      <c r="J653" s="617"/>
      <c r="K653" s="628">
        <v>0.3</v>
      </c>
      <c r="L653" s="610"/>
      <c r="M653" s="615" t="str">
        <f>IMAGE("https://raw.githubusercontent.com/msikma/pokesprite/master/items-outline/medicine/pp-max.png",1)</f>
        <v/>
      </c>
      <c r="N653" s="616" t="s">
        <v>1143</v>
      </c>
      <c r="O653" s="617"/>
      <c r="P653" s="628">
        <v>0.3</v>
      </c>
      <c r="Q653" s="610"/>
      <c r="R653" s="615" t="str">
        <f>IMAGE("https://raw.githubusercontent.com/msikma/pokesprite/master/items-outline/medicine/pp-max.png",1)</f>
        <v/>
      </c>
      <c r="S653" s="616" t="s">
        <v>1143</v>
      </c>
      <c r="T653" s="617"/>
      <c r="U653" s="628">
        <v>0.3</v>
      </c>
      <c r="V653" s="610"/>
      <c r="W653" s="709"/>
      <c r="X653" s="710"/>
      <c r="Y653" s="705"/>
      <c r="Z653" s="712"/>
      <c r="AA653" s="572"/>
      <c r="AB653" s="560"/>
    </row>
    <row r="654" ht="24.0" customHeight="1">
      <c r="A654" s="556"/>
      <c r="B654" s="577"/>
      <c r="C654" s="709"/>
      <c r="D654" s="710"/>
      <c r="E654" s="705"/>
      <c r="F654" s="712"/>
      <c r="G654" s="609"/>
      <c r="H654" s="619" t="str">
        <f>IMAGE("https://raw.githubusercontent.com/msikma/pokesprite/master/items-outline/valuable-item/star-piece.png",1)</f>
        <v/>
      </c>
      <c r="I654" s="620" t="s">
        <v>1108</v>
      </c>
      <c r="J654" s="621"/>
      <c r="K654" s="629">
        <v>0.25</v>
      </c>
      <c r="L654" s="610"/>
      <c r="M654" s="619" t="str">
        <f>IMAGE("https://raw.githubusercontent.com/msikma/pokesprite/master/items-outline/valuable-item/star-piece.png",1)</f>
        <v/>
      </c>
      <c r="N654" s="620" t="s">
        <v>1108</v>
      </c>
      <c r="O654" s="621"/>
      <c r="P654" s="629">
        <v>0.25</v>
      </c>
      <c r="Q654" s="610"/>
      <c r="R654" s="619"/>
      <c r="S654" s="620" t="s">
        <v>1068</v>
      </c>
      <c r="T654" s="621"/>
      <c r="U654" s="629">
        <v>0.25</v>
      </c>
      <c r="V654" s="610"/>
      <c r="W654" s="709"/>
      <c r="X654" s="710"/>
      <c r="Y654" s="705"/>
      <c r="Z654" s="712"/>
      <c r="AA654" s="572"/>
      <c r="AB654" s="560"/>
    </row>
    <row r="655" ht="24.0" customHeight="1">
      <c r="A655" s="556"/>
      <c r="B655" s="577"/>
      <c r="C655" s="709"/>
      <c r="D655" s="715"/>
      <c r="E655" s="705"/>
      <c r="F655" s="712"/>
      <c r="G655" s="609"/>
      <c r="H655" s="623"/>
      <c r="I655" s="630" t="s">
        <v>1068</v>
      </c>
      <c r="J655" s="625"/>
      <c r="K655" s="631">
        <v>0.25</v>
      </c>
      <c r="L655" s="610"/>
      <c r="M655" s="623"/>
      <c r="N655" s="630" t="s">
        <v>1068</v>
      </c>
      <c r="O655" s="625"/>
      <c r="P655" s="631">
        <v>0.25</v>
      </c>
      <c r="Q655" s="610"/>
      <c r="R655" s="623" t="str">
        <f>IMAGE("https://raw.githubusercontent.com/msikma/pokesprite/master/items-outline/hold-item/rocky-helmet.png",1)</f>
        <v/>
      </c>
      <c r="S655" s="630" t="s">
        <v>1176</v>
      </c>
      <c r="T655" s="625"/>
      <c r="U655" s="631">
        <v>0.25</v>
      </c>
      <c r="V655" s="610"/>
      <c r="W655" s="709"/>
      <c r="X655" s="715"/>
      <c r="Y655" s="705"/>
      <c r="Z655" s="712"/>
      <c r="AA655" s="572"/>
      <c r="AB655" s="560"/>
    </row>
    <row r="656" ht="24.0" customHeight="1">
      <c r="A656" s="556"/>
      <c r="B656" s="577"/>
      <c r="C656" s="709"/>
      <c r="D656" s="715"/>
      <c r="E656" s="705"/>
      <c r="F656" s="711"/>
      <c r="G656" s="636"/>
      <c r="H656" s="632" t="str">
        <f>IMAGE("https://raw.githubusercontent.com/msikma/pokesprite/master/items-outline/hold-item/eviolite.png",1)</f>
        <v/>
      </c>
      <c r="I656" s="633" t="s">
        <v>1177</v>
      </c>
      <c r="J656" s="634"/>
      <c r="K656" s="635">
        <v>0.05</v>
      </c>
      <c r="L656" s="610"/>
      <c r="M656" s="632" t="str">
        <f>IMAGE("https://raw.githubusercontent.com/msikma/pokesprite/master/items-outline/hold-item/eviolite.png",1)</f>
        <v/>
      </c>
      <c r="N656" s="633" t="s">
        <v>1177</v>
      </c>
      <c r="O656" s="634"/>
      <c r="P656" s="635">
        <v>0.05</v>
      </c>
      <c r="Q656" s="610"/>
      <c r="R656" s="632" t="str">
        <f>IMAGE("https://raw.githubusercontent.com/msikma/pokesprite/master/items-outline/hold-item/eviolite.png",1)</f>
        <v/>
      </c>
      <c r="S656" s="633" t="s">
        <v>1177</v>
      </c>
      <c r="T656" s="634"/>
      <c r="U656" s="635">
        <v>0.05</v>
      </c>
      <c r="V656" s="610"/>
      <c r="W656" s="709"/>
      <c r="X656" s="715"/>
      <c r="Y656" s="705"/>
      <c r="Z656" s="711"/>
      <c r="AA656" s="572"/>
      <c r="AB656" s="560"/>
    </row>
    <row r="657" ht="24.0" customHeight="1">
      <c r="A657" s="556"/>
      <c r="B657" s="577"/>
      <c r="C657" s="709"/>
      <c r="D657" s="715"/>
      <c r="E657" s="705"/>
      <c r="F657" s="711"/>
      <c r="G657" s="636"/>
      <c r="H657" s="637" t="str">
        <f t="shared" ref="H657:H658" si="67">IMAGE("https://raw.githubusercontent.com/msikma/pokesprite/master/items-outline/hold-item/choice-scarf.png",1)</f>
        <v/>
      </c>
      <c r="I657" s="638" t="s">
        <v>1179</v>
      </c>
      <c r="J657" s="639"/>
      <c r="K657" s="640">
        <v>0.04</v>
      </c>
      <c r="L657" s="610"/>
      <c r="M657" s="637" t="str">
        <f t="shared" ref="M657:M658" si="68">IMAGE("https://raw.githubusercontent.com/msikma/pokesprite/master/items-outline/hold-item/choice-band.png",1)</f>
        <v/>
      </c>
      <c r="N657" s="638" t="s">
        <v>1181</v>
      </c>
      <c r="O657" s="639"/>
      <c r="P657" s="640">
        <v>0.04</v>
      </c>
      <c r="Q657" s="610"/>
      <c r="R657" s="637" t="str">
        <f t="shared" ref="R657:R658" si="69">IMAGE("https://raw.githubusercontent.com/msikma/pokesprite/master/items-outline/hold-item/choice-scarf.png",1)</f>
        <v/>
      </c>
      <c r="S657" s="638" t="s">
        <v>1179</v>
      </c>
      <c r="T657" s="639"/>
      <c r="U657" s="640">
        <v>0.04</v>
      </c>
      <c r="V657" s="610"/>
      <c r="W657" s="709"/>
      <c r="X657" s="715"/>
      <c r="Y657" s="705"/>
      <c r="Z657" s="711"/>
      <c r="AA657" s="572"/>
      <c r="AB657" s="560"/>
    </row>
    <row r="658" ht="24.75" customHeight="1">
      <c r="A658" s="556"/>
      <c r="B658" s="577"/>
      <c r="C658" s="736"/>
      <c r="D658" s="737"/>
      <c r="E658" s="738"/>
      <c r="F658" s="739"/>
      <c r="G658" s="645"/>
      <c r="H658" s="641" t="str">
        <f t="shared" si="67"/>
        <v/>
      </c>
      <c r="I658" s="642" t="s">
        <v>1179</v>
      </c>
      <c r="J658" s="643"/>
      <c r="K658" s="644">
        <v>0.01</v>
      </c>
      <c r="L658" s="646"/>
      <c r="M658" s="641" t="str">
        <f t="shared" si="68"/>
        <v/>
      </c>
      <c r="N658" s="642" t="s">
        <v>1181</v>
      </c>
      <c r="O658" s="643"/>
      <c r="P658" s="644">
        <v>0.01</v>
      </c>
      <c r="Q658" s="646"/>
      <c r="R658" s="641" t="str">
        <f t="shared" si="69"/>
        <v/>
      </c>
      <c r="S658" s="642" t="s">
        <v>1179</v>
      </c>
      <c r="T658" s="643"/>
      <c r="U658" s="644">
        <v>0.01</v>
      </c>
      <c r="V658" s="740"/>
      <c r="W658" s="736"/>
      <c r="X658" s="737"/>
      <c r="Y658" s="738"/>
      <c r="Z658" s="739"/>
      <c r="AA658" s="572"/>
      <c r="AB658" s="560"/>
    </row>
    <row r="659" ht="60.0" customHeight="1">
      <c r="A659" s="556"/>
      <c r="B659" s="577"/>
      <c r="C659" s="680" t="s">
        <v>1186</v>
      </c>
      <c r="Z659" s="588"/>
      <c r="AA659" s="648"/>
      <c r="AB659" s="560"/>
    </row>
    <row r="660" ht="37.5" customHeight="1">
      <c r="A660" s="556"/>
      <c r="B660" s="577"/>
      <c r="C660" s="590" t="s">
        <v>970</v>
      </c>
      <c r="D660" s="168"/>
      <c r="E660" s="591"/>
      <c r="F660" s="592" t="str">
        <f t="array" ref="F660">IFERROR(VLOOKUP(C660,Dex!$B$3:$N689,2,FALSE),"")</f>
        <v/>
      </c>
      <c r="G660" s="593"/>
      <c r="H660" s="590" t="s">
        <v>955</v>
      </c>
      <c r="I660" s="168"/>
      <c r="J660" s="591"/>
      <c r="K660" s="592" t="str">
        <f t="array" ref="K660">IFERROR(VLOOKUP(H660,Dex!$B$3:$N689,2,FALSE),"")</f>
        <v/>
      </c>
      <c r="L660" s="594"/>
      <c r="M660" s="590" t="s">
        <v>966</v>
      </c>
      <c r="N660" s="168"/>
      <c r="O660" s="591"/>
      <c r="P660" s="592" t="str">
        <f t="array" ref="P660">IFERROR(VLOOKUP(M660,Dex!$B$3:$N689,2,FALSE),"")</f>
        <v/>
      </c>
      <c r="Q660" s="594"/>
      <c r="R660" s="590" t="s">
        <v>951</v>
      </c>
      <c r="S660" s="168"/>
      <c r="T660" s="591"/>
      <c r="U660" s="592" t="str">
        <f t="array" ref="U660">IFERROR(VLOOKUP(R660,Dex!$B$3:$N689,2,FALSE),"")</f>
        <v/>
      </c>
      <c r="V660" s="594"/>
      <c r="W660" s="590" t="s">
        <v>954</v>
      </c>
      <c r="X660" s="168"/>
      <c r="Y660" s="591"/>
      <c r="Z660" s="592" t="str">
        <f t="array" ref="Z660">IFERROR(VLOOKUP(W660,Dex!$B$3:$N689,2,FALSE),"")</f>
        <v/>
      </c>
      <c r="AA660" s="572"/>
      <c r="AB660" s="560"/>
    </row>
    <row r="661">
      <c r="A661" s="595"/>
      <c r="B661" s="596"/>
      <c r="C661" s="597" t="s">
        <v>1056</v>
      </c>
      <c r="D661" s="598"/>
      <c r="E661" s="599"/>
      <c r="F661" s="600" t="s">
        <v>1057</v>
      </c>
      <c r="G661" s="601"/>
      <c r="H661" s="597" t="s">
        <v>1056</v>
      </c>
      <c r="I661" s="598"/>
      <c r="J661" s="599"/>
      <c r="K661" s="600" t="s">
        <v>1057</v>
      </c>
      <c r="L661" s="602"/>
      <c r="M661" s="597" t="s">
        <v>1056</v>
      </c>
      <c r="N661" s="598"/>
      <c r="O661" s="599"/>
      <c r="P661" s="600" t="s">
        <v>1057</v>
      </c>
      <c r="Q661" s="602"/>
      <c r="R661" s="597" t="s">
        <v>1056</v>
      </c>
      <c r="S661" s="598"/>
      <c r="T661" s="599"/>
      <c r="U661" s="600" t="s">
        <v>1057</v>
      </c>
      <c r="V661" s="602"/>
      <c r="W661" s="597" t="s">
        <v>1056</v>
      </c>
      <c r="X661" s="598"/>
      <c r="Y661" s="599"/>
      <c r="Z661" s="600" t="s">
        <v>1057</v>
      </c>
      <c r="AA661" s="603"/>
      <c r="AB661" s="604"/>
    </row>
    <row r="662" ht="24.0" customHeight="1">
      <c r="A662" s="556"/>
      <c r="B662" s="577"/>
      <c r="C662" s="605" t="str">
        <f>IMAGE("https://raw.githubusercontent.com/msikma/pokesprite/master/items-outline/valuable-item/nugget.png",1)</f>
        <v/>
      </c>
      <c r="D662" s="606" t="s">
        <v>1084</v>
      </c>
      <c r="E662" s="607"/>
      <c r="F662" s="608">
        <v>1.0</v>
      </c>
      <c r="G662" s="609"/>
      <c r="H662" s="605" t="str">
        <f>IMAGE("https://raw.githubusercontent.com/msikma/pokesprite/master/items-outline/valuable-item/nugget.png",1)</f>
        <v/>
      </c>
      <c r="I662" s="606" t="s">
        <v>1084</v>
      </c>
      <c r="J662" s="607"/>
      <c r="K662" s="608">
        <v>1.0</v>
      </c>
      <c r="L662" s="610"/>
      <c r="M662" s="605" t="str">
        <f>IMAGE("https://raw.githubusercontent.com/msikma/pokesprite/master/items-outline/valuable-item/nugget.png",1)</f>
        <v/>
      </c>
      <c r="N662" s="606" t="s">
        <v>1084</v>
      </c>
      <c r="O662" s="607"/>
      <c r="P662" s="608">
        <v>1.0</v>
      </c>
      <c r="Q662" s="610"/>
      <c r="R662" s="605" t="str">
        <f>IMAGE("https://raw.githubusercontent.com/msikma/pokesprite/master/items-outline/valuable-item/nugget.png",1)</f>
        <v/>
      </c>
      <c r="S662" s="606" t="s">
        <v>1084</v>
      </c>
      <c r="T662" s="607"/>
      <c r="U662" s="608">
        <v>1.0</v>
      </c>
      <c r="V662" s="610"/>
      <c r="W662" s="605" t="str">
        <f>IMAGE("https://raw.githubusercontent.com/msikma/pokesprite/master/items-outline/valuable-item/nugget.png",1)</f>
        <v/>
      </c>
      <c r="X662" s="606" t="s">
        <v>1084</v>
      </c>
      <c r="Y662" s="607"/>
      <c r="Z662" s="608">
        <v>1.0</v>
      </c>
      <c r="AA662" s="572"/>
      <c r="AB662" s="560"/>
    </row>
    <row r="663" ht="24.0" customHeight="1">
      <c r="A663" s="556"/>
      <c r="B663" s="577"/>
      <c r="C663" s="611" t="str">
        <f t="shared" ref="C663:C664" si="70">IMAGE("https://raw.githubusercontent.com/msikma/pokesprite/master/items-outline/valuable-item/big-nugget.png",1)</f>
        <v/>
      </c>
      <c r="D663" s="612" t="s">
        <v>1131</v>
      </c>
      <c r="E663" s="613"/>
      <c r="F663" s="614">
        <v>0.8</v>
      </c>
      <c r="G663" s="609"/>
      <c r="H663" s="611" t="str">
        <f t="shared" ref="H663:H664" si="71">IMAGE("https://raw.githubusercontent.com/msikma/pokesprite/master/items-outline/valuable-item/big-nugget.png",1)</f>
        <v/>
      </c>
      <c r="I663" s="612" t="s">
        <v>1131</v>
      </c>
      <c r="J663" s="613"/>
      <c r="K663" s="614">
        <v>0.8</v>
      </c>
      <c r="L663" s="610"/>
      <c r="M663" s="611" t="str">
        <f t="shared" ref="M663:M665" si="72">IMAGE("https://raw.githubusercontent.com/msikma/pokesprite/master/items-outline/valuable-item/big-nugget.png",1)</f>
        <v/>
      </c>
      <c r="N663" s="612" t="s">
        <v>1131</v>
      </c>
      <c r="O663" s="613"/>
      <c r="P663" s="614">
        <v>0.8</v>
      </c>
      <c r="Q663" s="610"/>
      <c r="R663" s="611" t="str">
        <f t="shared" ref="R663:R664" si="73">IMAGE("https://raw.githubusercontent.com/msikma/pokesprite/master/items-outline/valuable-item/big-nugget.png",1)</f>
        <v/>
      </c>
      <c r="S663" s="612" t="s">
        <v>1131</v>
      </c>
      <c r="T663" s="613"/>
      <c r="U663" s="614">
        <v>0.8</v>
      </c>
      <c r="V663" s="610"/>
      <c r="W663" s="611" t="str">
        <f t="shared" ref="W663:W664" si="74">IMAGE("https://raw.githubusercontent.com/msikma/pokesprite/master/items-outline/valuable-item/big-nugget.png",1)</f>
        <v/>
      </c>
      <c r="X663" s="612" t="s">
        <v>1131</v>
      </c>
      <c r="Y663" s="613"/>
      <c r="Z663" s="614">
        <v>0.8</v>
      </c>
      <c r="AA663" s="572"/>
      <c r="AB663" s="560"/>
    </row>
    <row r="664" ht="24.0" customHeight="1">
      <c r="A664" s="556"/>
      <c r="B664" s="577"/>
      <c r="C664" s="623" t="str">
        <f t="shared" si="70"/>
        <v/>
      </c>
      <c r="D664" s="624" t="s">
        <v>1131</v>
      </c>
      <c r="E664" s="625"/>
      <c r="F664" s="618">
        <v>0.8</v>
      </c>
      <c r="G664" s="609"/>
      <c r="H664" s="786" t="str">
        <f t="shared" si="71"/>
        <v/>
      </c>
      <c r="I664" s="787" t="s">
        <v>1131</v>
      </c>
      <c r="J664" s="730"/>
      <c r="K664" s="788">
        <v>0.8</v>
      </c>
      <c r="L664" s="610"/>
      <c r="M664" s="615" t="str">
        <f t="shared" si="72"/>
        <v/>
      </c>
      <c r="N664" s="616" t="s">
        <v>1131</v>
      </c>
      <c r="O664" s="617"/>
      <c r="P664" s="713">
        <v>0.8</v>
      </c>
      <c r="Q664" s="610"/>
      <c r="R664" s="786" t="str">
        <f t="shared" si="73"/>
        <v/>
      </c>
      <c r="S664" s="787" t="s">
        <v>1131</v>
      </c>
      <c r="T664" s="730"/>
      <c r="U664" s="788">
        <v>0.8</v>
      </c>
      <c r="V664" s="610"/>
      <c r="W664" s="786" t="str">
        <f t="shared" si="74"/>
        <v/>
      </c>
      <c r="X664" s="787" t="s">
        <v>1131</v>
      </c>
      <c r="Y664" s="730"/>
      <c r="Z664" s="788">
        <v>0.8</v>
      </c>
      <c r="AA664" s="572"/>
      <c r="AB664" s="560"/>
    </row>
    <row r="665" ht="24.0" customHeight="1">
      <c r="A665" s="556"/>
      <c r="B665" s="577"/>
      <c r="C665" s="611" t="s">
        <v>1187</v>
      </c>
      <c r="D665" s="718" t="s">
        <v>1187</v>
      </c>
      <c r="E665" s="719"/>
      <c r="F665" s="789" t="s">
        <v>1187</v>
      </c>
      <c r="G665" s="609"/>
      <c r="H665" s="611" t="s">
        <v>1187</v>
      </c>
      <c r="I665" s="718" t="s">
        <v>1187</v>
      </c>
      <c r="J665" s="719"/>
      <c r="K665" s="789" t="s">
        <v>1187</v>
      </c>
      <c r="L665" s="610"/>
      <c r="M665" s="619" t="str">
        <f t="shared" si="72"/>
        <v/>
      </c>
      <c r="N665" s="754" t="s">
        <v>1131</v>
      </c>
      <c r="O665" s="607"/>
      <c r="P665" s="790">
        <v>0.5</v>
      </c>
      <c r="Q665" s="610"/>
      <c r="R665" s="611" t="s">
        <v>1187</v>
      </c>
      <c r="S665" s="718" t="s">
        <v>1187</v>
      </c>
      <c r="T665" s="719"/>
      <c r="U665" s="789" t="s">
        <v>1187</v>
      </c>
      <c r="V665" s="610"/>
      <c r="W665" s="611" t="s">
        <v>1187</v>
      </c>
      <c r="X665" s="718" t="s">
        <v>1187</v>
      </c>
      <c r="Y665" s="719"/>
      <c r="Z665" s="789" t="s">
        <v>1187</v>
      </c>
      <c r="AA665" s="572"/>
      <c r="AB665" s="560"/>
    </row>
    <row r="666" ht="24.0" customHeight="1">
      <c r="A666" s="556"/>
      <c r="B666" s="577"/>
      <c r="C666" s="611" t="str">
        <f>IMAGE("https://raw.githubusercontent.com/msikma/pokesprite/master/items-outline/medicine/pp-up.png",1)</f>
        <v/>
      </c>
      <c r="D666" s="612" t="s">
        <v>1070</v>
      </c>
      <c r="E666" s="613"/>
      <c r="F666" s="714">
        <v>0.3</v>
      </c>
      <c r="G666" s="609"/>
      <c r="H666" s="611" t="str">
        <f>IMAGE("https://raw.githubusercontent.com/msikma/pokesprite/master/items-outline/medicine/pp-up.png",1)</f>
        <v/>
      </c>
      <c r="I666" s="612" t="s">
        <v>1070</v>
      </c>
      <c r="J666" s="613"/>
      <c r="K666" s="714">
        <v>0.3</v>
      </c>
      <c r="L666" s="610"/>
      <c r="M666" s="611" t="str">
        <f>IMAGE("https://raw.githubusercontent.com/msikma/pokesprite/master/items-outline/medicine/pp-up.png",1)</f>
        <v/>
      </c>
      <c r="N666" s="612" t="s">
        <v>1070</v>
      </c>
      <c r="O666" s="613"/>
      <c r="P666" s="714">
        <v>0.3</v>
      </c>
      <c r="Q666" s="610"/>
      <c r="R666" s="611" t="str">
        <f>IMAGE("https://raw.githubusercontent.com/msikma/pokesprite/master/items-outline/medicine/pp-up.png",1)</f>
        <v/>
      </c>
      <c r="S666" s="612" t="s">
        <v>1070</v>
      </c>
      <c r="T666" s="613"/>
      <c r="U666" s="714">
        <v>0.3</v>
      </c>
      <c r="V666" s="610"/>
      <c r="W666" s="611" t="str">
        <f>IMAGE("https://raw.githubusercontent.com/msikma/pokesprite/master/items-outline/medicine/pp-up.png",1)</f>
        <v/>
      </c>
      <c r="X666" s="612" t="s">
        <v>1070</v>
      </c>
      <c r="Y666" s="613"/>
      <c r="Z666" s="714">
        <v>0.3</v>
      </c>
      <c r="AA666" s="572"/>
      <c r="AB666" s="560"/>
    </row>
    <row r="667" ht="24.0" customHeight="1">
      <c r="A667" s="556"/>
      <c r="B667" s="577"/>
      <c r="C667" s="615" t="str">
        <f>IMAGE("https://raw.githubusercontent.com/msikma/pokesprite/master/items-outline/medicine/pp-max.png",1)</f>
        <v/>
      </c>
      <c r="D667" s="616" t="s">
        <v>1143</v>
      </c>
      <c r="E667" s="617"/>
      <c r="F667" s="670">
        <v>0.3</v>
      </c>
      <c r="G667" s="609"/>
      <c r="H667" s="615" t="str">
        <f>IMAGE("https://raw.githubusercontent.com/msikma/pokesprite/master/items-outline/medicine/pp-max.png",1)</f>
        <v/>
      </c>
      <c r="I667" s="616" t="s">
        <v>1143</v>
      </c>
      <c r="J667" s="617"/>
      <c r="K667" s="670">
        <v>0.3</v>
      </c>
      <c r="L667" s="610"/>
      <c r="M667" s="615" t="str">
        <f>IMAGE("https://raw.githubusercontent.com/msikma/pokesprite/master/items-outline/medicine/pp-max.png",1)</f>
        <v/>
      </c>
      <c r="N667" s="616" t="s">
        <v>1143</v>
      </c>
      <c r="O667" s="617"/>
      <c r="P667" s="670">
        <v>0.3</v>
      </c>
      <c r="Q667" s="610"/>
      <c r="R667" s="615" t="str">
        <f>IMAGE("https://raw.githubusercontent.com/msikma/pokesprite/master/items-outline/valuable-item/nugget.png",1)</f>
        <v/>
      </c>
      <c r="S667" s="616" t="s">
        <v>1084</v>
      </c>
      <c r="T667" s="617"/>
      <c r="U667" s="670">
        <v>0.3</v>
      </c>
      <c r="V667" s="610"/>
      <c r="W667" s="615" t="str">
        <f>IMAGE("https://raw.githubusercontent.com/msikma/pokesprite/master/items-outline/medicine/pp-max.png",1)</f>
        <v/>
      </c>
      <c r="X667" s="616" t="s">
        <v>1143</v>
      </c>
      <c r="Y667" s="617"/>
      <c r="Z667" s="670">
        <v>0.3</v>
      </c>
      <c r="AA667" s="572"/>
      <c r="AB667" s="560"/>
    </row>
    <row r="668" ht="24.0" customHeight="1">
      <c r="A668" s="556"/>
      <c r="B668" s="577"/>
      <c r="C668" s="619"/>
      <c r="D668" s="620" t="s">
        <v>1068</v>
      </c>
      <c r="E668" s="621"/>
      <c r="F668" s="629">
        <v>0.25</v>
      </c>
      <c r="G668" s="609"/>
      <c r="H668" s="619"/>
      <c r="I668" s="620" t="s">
        <v>1068</v>
      </c>
      <c r="J668" s="621"/>
      <c r="K668" s="629">
        <v>0.25</v>
      </c>
      <c r="L668" s="610"/>
      <c r="M668" s="619" t="str">
        <f>IMAGE("https://raw.githubusercontent.com/msikma/pokesprite/master/items-outline/medicine/pp-up.png",1)</f>
        <v/>
      </c>
      <c r="N668" s="620" t="s">
        <v>1070</v>
      </c>
      <c r="O668" s="621"/>
      <c r="P668" s="629">
        <v>0.25</v>
      </c>
      <c r="Q668" s="610"/>
      <c r="R668" s="619" t="str">
        <f>IMAGE("https://raw.githubusercontent.com/msikma/pokesprite/master/items-outline/medicine/pp-max.png",1)</f>
        <v/>
      </c>
      <c r="S668" s="620" t="s">
        <v>1143</v>
      </c>
      <c r="T668" s="621"/>
      <c r="U668" s="629">
        <v>0.25</v>
      </c>
      <c r="V668" s="610"/>
      <c r="W668" s="619"/>
      <c r="X668" s="620" t="s">
        <v>1068</v>
      </c>
      <c r="Y668" s="621"/>
      <c r="Z668" s="629">
        <v>0.25</v>
      </c>
      <c r="AA668" s="572"/>
      <c r="AB668" s="560"/>
    </row>
    <row r="669" ht="24.0" customHeight="1">
      <c r="A669" s="556"/>
      <c r="B669" s="577"/>
      <c r="C669" s="623" t="str">
        <f>IMAGE("https://raw.githubusercontent.com/msikma/pokesprite/master/items-outline/hold-item/power-herb.png",1)</f>
        <v/>
      </c>
      <c r="D669" s="630" t="s">
        <v>1167</v>
      </c>
      <c r="E669" s="625"/>
      <c r="F669" s="733">
        <v>0.25</v>
      </c>
      <c r="G669" s="609"/>
      <c r="H669" s="623" t="str">
        <f>IMAGE("https://raw.githubusercontent.com/msikma/pokesprite/master/items-outline/hold-item/power-herb.png",1)</f>
        <v/>
      </c>
      <c r="I669" s="630" t="s">
        <v>1167</v>
      </c>
      <c r="J669" s="625"/>
      <c r="K669" s="733">
        <v>0.25</v>
      </c>
      <c r="L669" s="610"/>
      <c r="M669" s="623" t="str">
        <f>IMAGE("https://raw.githubusercontent.com/msikma/pokesprite/master/items-outline/hold-item/power-herb.png",1)</f>
        <v/>
      </c>
      <c r="N669" s="630" t="s">
        <v>1167</v>
      </c>
      <c r="O669" s="625"/>
      <c r="P669" s="733">
        <v>0.25</v>
      </c>
      <c r="Q669" s="610"/>
      <c r="R669" s="623" t="str">
        <f>IMAGE("https://raw.githubusercontent.com/msikma/pokesprite/master/items-outline/hold-item/white-herb.png",1)</f>
        <v/>
      </c>
      <c r="S669" s="630" t="s">
        <v>1188</v>
      </c>
      <c r="T669" s="625"/>
      <c r="U669" s="733">
        <v>0.25</v>
      </c>
      <c r="V669" s="610"/>
      <c r="W669" s="623" t="str">
        <f>IMAGE("https://raw.githubusercontent.com/msikma/pokesprite/master/items-outline/hold-item/white-herb.png",1)</f>
        <v/>
      </c>
      <c r="X669" s="630" t="s">
        <v>1188</v>
      </c>
      <c r="Y669" s="625"/>
      <c r="Z669" s="733">
        <v>0.25</v>
      </c>
      <c r="AA669" s="572"/>
      <c r="AB669" s="560"/>
    </row>
    <row r="670" ht="24.0" customHeight="1">
      <c r="A670" s="556"/>
      <c r="B670" s="577"/>
      <c r="C670" s="717"/>
      <c r="D670" s="734" t="s">
        <v>1177</v>
      </c>
      <c r="E670" s="719"/>
      <c r="F670" s="735">
        <v>0.05</v>
      </c>
      <c r="G670" s="636"/>
      <c r="H670" s="717"/>
      <c r="I670" s="734" t="s">
        <v>1177</v>
      </c>
      <c r="J670" s="719"/>
      <c r="K670" s="735">
        <v>0.05</v>
      </c>
      <c r="L670" s="610"/>
      <c r="M670" s="717"/>
      <c r="N670" s="734" t="s">
        <v>1177</v>
      </c>
      <c r="O670" s="719"/>
      <c r="P670" s="735">
        <v>0.05</v>
      </c>
      <c r="Q670" s="610"/>
      <c r="R670" s="717"/>
      <c r="S670" s="734" t="s">
        <v>1177</v>
      </c>
      <c r="T670" s="719"/>
      <c r="U670" s="735">
        <v>0.05</v>
      </c>
      <c r="V670" s="610"/>
      <c r="W670" s="717"/>
      <c r="X670" s="734" t="s">
        <v>1177</v>
      </c>
      <c r="Y670" s="719"/>
      <c r="Z670" s="735">
        <v>0.05</v>
      </c>
      <c r="AA670" s="572"/>
      <c r="AB670" s="560"/>
    </row>
    <row r="671" ht="24.0" customHeight="1">
      <c r="A671" s="556"/>
      <c r="B671" s="577"/>
      <c r="C671" s="658" t="str">
        <f t="shared" ref="C671:C672" si="75">IMAGE("https://raw.githubusercontent.com/msikma/pokesprite/master/items-outline/hold-item/choice-scarf.png",1)</f>
        <v/>
      </c>
      <c r="D671" s="659" t="s">
        <v>1179</v>
      </c>
      <c r="E671" s="634"/>
      <c r="F671" s="640">
        <v>0.04</v>
      </c>
      <c r="G671" s="636"/>
      <c r="H671" s="658" t="str">
        <f t="shared" ref="H671:H672" si="76">IMAGE("https://raw.githubusercontent.com/msikma/pokesprite/master/items-outline/hold-item/choice-band.png",1)</f>
        <v/>
      </c>
      <c r="I671" s="659" t="s">
        <v>1181</v>
      </c>
      <c r="J671" s="634"/>
      <c r="K671" s="640">
        <v>0.04</v>
      </c>
      <c r="L671" s="610"/>
      <c r="M671" s="658" t="str">
        <f t="shared" ref="M671:M672" si="77">IMAGE("https://raw.githubusercontent.com/msikma/pokesprite/master/items-outline/hold-item/life-orb.png",1)</f>
        <v/>
      </c>
      <c r="N671" s="659" t="s">
        <v>1158</v>
      </c>
      <c r="O671" s="634"/>
      <c r="P671" s="640">
        <v>0.04</v>
      </c>
      <c r="Q671" s="610"/>
      <c r="R671" s="658" t="str">
        <f t="shared" ref="R671:R672" si="78">IMAGE("https://raw.githubusercontent.com/msikma/pokesprite/master/items-outline/hold-item/choice-scarf.png",1)</f>
        <v/>
      </c>
      <c r="S671" s="659" t="s">
        <v>1179</v>
      </c>
      <c r="T671" s="634"/>
      <c r="U671" s="640">
        <v>0.04</v>
      </c>
      <c r="V671" s="610"/>
      <c r="W671" s="658" t="str">
        <f t="shared" ref="W671:W672" si="79">IMAGE("https://raw.githubusercontent.com/msikma/pokesprite/master/items-outline/hold-item/choice-specs.png",1)</f>
        <v/>
      </c>
      <c r="X671" s="659" t="s">
        <v>1184</v>
      </c>
      <c r="Y671" s="634"/>
      <c r="Z671" s="640">
        <v>0.04</v>
      </c>
      <c r="AA671" s="572"/>
      <c r="AB671" s="560"/>
    </row>
    <row r="672" ht="24.75" customHeight="1">
      <c r="A672" s="556"/>
      <c r="B672" s="577"/>
      <c r="C672" s="641" t="str">
        <f t="shared" si="75"/>
        <v/>
      </c>
      <c r="D672" s="642" t="s">
        <v>1179</v>
      </c>
      <c r="E672" s="643"/>
      <c r="F672" s="644">
        <v>0.01</v>
      </c>
      <c r="G672" s="645"/>
      <c r="H672" s="641" t="str">
        <f t="shared" si="76"/>
        <v/>
      </c>
      <c r="I672" s="642" t="s">
        <v>1181</v>
      </c>
      <c r="J672" s="643"/>
      <c r="K672" s="644">
        <v>0.01</v>
      </c>
      <c r="L672" s="646"/>
      <c r="M672" s="641" t="str">
        <f t="shared" si="77"/>
        <v/>
      </c>
      <c r="N672" s="642" t="s">
        <v>1158</v>
      </c>
      <c r="O672" s="643"/>
      <c r="P672" s="644">
        <v>0.01</v>
      </c>
      <c r="Q672" s="646"/>
      <c r="R672" s="641" t="str">
        <f t="shared" si="78"/>
        <v/>
      </c>
      <c r="S672" s="642" t="s">
        <v>1179</v>
      </c>
      <c r="T672" s="643"/>
      <c r="U672" s="644">
        <v>0.01</v>
      </c>
      <c r="V672" s="646"/>
      <c r="W672" s="641" t="str">
        <f t="shared" si="79"/>
        <v/>
      </c>
      <c r="X672" s="642" t="s">
        <v>1184</v>
      </c>
      <c r="Y672" s="643"/>
      <c r="Z672" s="644">
        <v>0.01</v>
      </c>
      <c r="AA672" s="572"/>
      <c r="AB672" s="560"/>
    </row>
    <row r="673" ht="60.0" customHeight="1">
      <c r="A673" s="556"/>
      <c r="B673" s="577"/>
      <c r="C673" s="680" t="s">
        <v>1189</v>
      </c>
      <c r="Z673" s="588"/>
      <c r="AA673" s="648"/>
      <c r="AB673" s="560"/>
    </row>
    <row r="674" ht="37.5" customHeight="1">
      <c r="A674" s="556"/>
      <c r="B674" s="577"/>
      <c r="C674" s="703"/>
      <c r="D674" s="704"/>
      <c r="E674" s="705"/>
      <c r="F674" s="706"/>
      <c r="G674" s="593"/>
      <c r="H674" s="741"/>
      <c r="I674" s="274"/>
      <c r="J674" s="275"/>
      <c r="K674" s="742"/>
      <c r="L674" s="594"/>
      <c r="M674" s="590" t="s">
        <v>922</v>
      </c>
      <c r="N674" s="168"/>
      <c r="O674" s="591"/>
      <c r="P674" s="592" t="str">
        <f t="array" ref="P674">IFERROR(VLOOKUP(M674,Dex!$B$3:$N689,2,FALSE),"")</f>
        <v/>
      </c>
      <c r="Q674" s="594"/>
      <c r="R674" s="783"/>
      <c r="S674" s="331"/>
      <c r="T674" s="332"/>
      <c r="U674" s="742"/>
      <c r="V674" s="594"/>
      <c r="W674" s="784"/>
      <c r="X674" s="785"/>
      <c r="Y674" s="722"/>
      <c r="Z674" s="706"/>
      <c r="AA674" s="572"/>
      <c r="AB674" s="560"/>
    </row>
    <row r="675">
      <c r="A675" s="595"/>
      <c r="B675" s="596"/>
      <c r="C675" s="703"/>
      <c r="D675" s="704"/>
      <c r="E675" s="705"/>
      <c r="F675" s="706"/>
      <c r="G675" s="593"/>
      <c r="H675" s="741"/>
      <c r="I675" s="274"/>
      <c r="J675" s="275"/>
      <c r="K675" s="742"/>
      <c r="L675" s="602"/>
      <c r="M675" s="597" t="s">
        <v>1056</v>
      </c>
      <c r="N675" s="598"/>
      <c r="O675" s="599"/>
      <c r="P675" s="600" t="s">
        <v>1057</v>
      </c>
      <c r="Q675" s="602"/>
      <c r="R675" s="703"/>
      <c r="S675" s="704"/>
      <c r="T675" s="705"/>
      <c r="U675" s="706"/>
      <c r="V675" s="593"/>
      <c r="W675" s="741"/>
      <c r="X675" s="274"/>
      <c r="Y675" s="275"/>
      <c r="Z675" s="742"/>
      <c r="AA675" s="603"/>
      <c r="AB675" s="604"/>
    </row>
    <row r="676" ht="24.0" customHeight="1">
      <c r="A676" s="556"/>
      <c r="B676" s="577"/>
      <c r="C676" s="703"/>
      <c r="D676" s="704"/>
      <c r="E676" s="705"/>
      <c r="F676" s="706"/>
      <c r="G676" s="601"/>
      <c r="H676" s="744"/>
      <c r="I676" s="274"/>
      <c r="J676" s="275"/>
      <c r="K676" s="745"/>
      <c r="L676" s="610"/>
      <c r="M676" s="605" t="str">
        <f>IMAGE("https://raw.githubusercontent.com/msikma/pokesprite/master/items-outline/valuable-item/star-piece.png",1)</f>
        <v/>
      </c>
      <c r="N676" s="606" t="s">
        <v>1108</v>
      </c>
      <c r="O676" s="607"/>
      <c r="P676" s="608">
        <v>1.0</v>
      </c>
      <c r="Q676" s="610"/>
      <c r="R676" s="703"/>
      <c r="S676" s="704"/>
      <c r="T676" s="705"/>
      <c r="U676" s="706"/>
      <c r="V676" s="601"/>
      <c r="W676" s="744"/>
      <c r="X676" s="274"/>
      <c r="Y676" s="275"/>
      <c r="Z676" s="745"/>
      <c r="AA676" s="572"/>
      <c r="AB676" s="560"/>
    </row>
    <row r="677" ht="24.0" customHeight="1">
      <c r="A677" s="556"/>
      <c r="B677" s="577"/>
      <c r="C677" s="703"/>
      <c r="D677" s="704"/>
      <c r="E677" s="705"/>
      <c r="F677" s="706"/>
      <c r="G677" s="747"/>
      <c r="H677" s="748"/>
      <c r="I677" s="729"/>
      <c r="J677" s="275"/>
      <c r="K677" s="295"/>
      <c r="L677" s="610"/>
      <c r="M677" s="611" t="str">
        <f>IMAGE("https://raw.githubusercontent.com/msikma/pokesprite/master/items-outline/valuable-item/nugget.png",1)</f>
        <v/>
      </c>
      <c r="N677" s="612" t="s">
        <v>1084</v>
      </c>
      <c r="O677" s="613"/>
      <c r="P677" s="614">
        <v>0.8</v>
      </c>
      <c r="Q677" s="610"/>
      <c r="R677" s="703"/>
      <c r="S677" s="704"/>
      <c r="T677" s="705"/>
      <c r="U677" s="706"/>
      <c r="V677" s="747"/>
      <c r="W677" s="748"/>
      <c r="X677" s="729"/>
      <c r="Y677" s="275"/>
      <c r="Z677" s="295"/>
      <c r="AA677" s="572"/>
      <c r="AB677" s="560"/>
    </row>
    <row r="678" ht="24.0" customHeight="1">
      <c r="A678" s="556"/>
      <c r="B678" s="577"/>
      <c r="C678" s="707"/>
      <c r="D678" s="704"/>
      <c r="E678" s="705"/>
      <c r="F678" s="708"/>
      <c r="G678" s="747"/>
      <c r="H678" s="748"/>
      <c r="I678" s="729"/>
      <c r="J678" s="275"/>
      <c r="K678" s="750"/>
      <c r="L678" s="610"/>
      <c r="M678" s="615" t="str">
        <f>IMAGE("https://raw.githubusercontent.com/msikma/pokesprite/master/items-outline/valuable-item/big-nugget.png",1)</f>
        <v/>
      </c>
      <c r="N678" s="616" t="s">
        <v>1131</v>
      </c>
      <c r="O678" s="617"/>
      <c r="P678" s="618">
        <v>0.8</v>
      </c>
      <c r="Q678" s="610"/>
      <c r="R678" s="707"/>
      <c r="S678" s="704"/>
      <c r="T678" s="705"/>
      <c r="U678" s="708"/>
      <c r="V678" s="747"/>
      <c r="W678" s="748"/>
      <c r="X678" s="729"/>
      <c r="Y678" s="275"/>
      <c r="Z678" s="750"/>
      <c r="AA678" s="572"/>
      <c r="AB678" s="560"/>
    </row>
    <row r="679" ht="24.0" customHeight="1">
      <c r="A679" s="556"/>
      <c r="B679" s="577"/>
      <c r="C679" s="709"/>
      <c r="D679" s="710"/>
      <c r="E679" s="705"/>
      <c r="F679" s="711"/>
      <c r="G679" s="747"/>
      <c r="H679" s="748"/>
      <c r="I679" s="729"/>
      <c r="J679" s="275"/>
      <c r="K679" s="750"/>
      <c r="L679" s="610"/>
      <c r="M679" s="619" t="str">
        <f>IMAGE("https://raw.githubusercontent.com/msikma/pokesprite/master/items-outline/medicine/protein.png",1)</f>
        <v/>
      </c>
      <c r="N679" s="620" t="s">
        <v>1069</v>
      </c>
      <c r="O679" s="621"/>
      <c r="P679" s="622">
        <v>0.5</v>
      </c>
      <c r="Q679" s="610"/>
      <c r="R679" s="709"/>
      <c r="S679" s="710"/>
      <c r="T679" s="705"/>
      <c r="U679" s="711"/>
      <c r="V679" s="747"/>
      <c r="W679" s="748"/>
      <c r="X679" s="729"/>
      <c r="Y679" s="275"/>
      <c r="Z679" s="750"/>
      <c r="AA679" s="572"/>
      <c r="AB679" s="560"/>
    </row>
    <row r="680" ht="24.0" customHeight="1">
      <c r="A680" s="556"/>
      <c r="B680" s="577"/>
      <c r="C680" s="709"/>
      <c r="D680" s="721"/>
      <c r="E680" s="722"/>
      <c r="F680" s="712"/>
      <c r="G680" s="747"/>
      <c r="H680" s="748"/>
      <c r="I680" s="729"/>
      <c r="J680" s="275"/>
      <c r="K680" s="750"/>
      <c r="L680" s="610"/>
      <c r="M680" s="623" t="str">
        <f>IMAGE("https://raw.githubusercontent.com/msikma/pokesprite/master/items-outline/medicine/calcium.png",1)</f>
        <v/>
      </c>
      <c r="N680" s="624" t="s">
        <v>1075</v>
      </c>
      <c r="O680" s="625"/>
      <c r="P680" s="626">
        <v>0.5</v>
      </c>
      <c r="Q680" s="610"/>
      <c r="R680" s="709"/>
      <c r="S680" s="721"/>
      <c r="T680" s="722"/>
      <c r="U680" s="712"/>
      <c r="V680" s="747"/>
      <c r="W680" s="748"/>
      <c r="X680" s="729"/>
      <c r="Y680" s="275"/>
      <c r="Z680" s="750"/>
      <c r="AA680" s="572"/>
      <c r="AB680" s="560"/>
    </row>
    <row r="681" ht="24.0" customHeight="1">
      <c r="A681" s="556"/>
      <c r="B681" s="577"/>
      <c r="C681" s="709"/>
      <c r="D681" s="710"/>
      <c r="E681" s="705"/>
      <c r="F681" s="712"/>
      <c r="G681" s="747"/>
      <c r="H681" s="748"/>
      <c r="I681" s="729"/>
      <c r="J681" s="275"/>
      <c r="K681" s="750"/>
      <c r="L681" s="610"/>
      <c r="M681" s="611" t="str">
        <f>IMAGE("https://raw.githubusercontent.com/msikma/pokesprite/master/items-outline/medicine/pp-up.png",1)</f>
        <v/>
      </c>
      <c r="N681" s="612" t="s">
        <v>1070</v>
      </c>
      <c r="O681" s="613"/>
      <c r="P681" s="627">
        <v>0.3</v>
      </c>
      <c r="Q681" s="610"/>
      <c r="R681" s="709"/>
      <c r="S681" s="710"/>
      <c r="T681" s="705"/>
      <c r="U681" s="712"/>
      <c r="V681" s="747"/>
      <c r="W681" s="748"/>
      <c r="X681" s="729"/>
      <c r="Y681" s="275"/>
      <c r="Z681" s="750"/>
      <c r="AA681" s="572"/>
      <c r="AB681" s="560"/>
    </row>
    <row r="682" ht="24.0" customHeight="1">
      <c r="A682" s="556"/>
      <c r="B682" s="577"/>
      <c r="C682" s="709"/>
      <c r="D682" s="710"/>
      <c r="E682" s="705"/>
      <c r="F682" s="712"/>
      <c r="G682" s="747"/>
      <c r="H682" s="748"/>
      <c r="I682" s="729"/>
      <c r="J682" s="275"/>
      <c r="K682" s="750"/>
      <c r="L682" s="610"/>
      <c r="M682" s="615" t="str">
        <f>IMAGE("https://raw.githubusercontent.com/msikma/pokesprite/master/items-outline/medicine/pp-max.png",1)</f>
        <v/>
      </c>
      <c r="N682" s="616" t="s">
        <v>1143</v>
      </c>
      <c r="O682" s="617"/>
      <c r="P682" s="628">
        <v>0.3</v>
      </c>
      <c r="Q682" s="610"/>
      <c r="R682" s="709"/>
      <c r="S682" s="710"/>
      <c r="T682" s="705"/>
      <c r="U682" s="712"/>
      <c r="V682" s="747"/>
      <c r="W682" s="748"/>
      <c r="X682" s="729"/>
      <c r="Y682" s="275"/>
      <c r="Z682" s="750"/>
      <c r="AA682" s="572"/>
      <c r="AB682" s="560"/>
    </row>
    <row r="683" ht="24.0" customHeight="1">
      <c r="A683" s="556"/>
      <c r="B683" s="577"/>
      <c r="C683" s="709"/>
      <c r="D683" s="710"/>
      <c r="E683" s="705"/>
      <c r="F683" s="712"/>
      <c r="G683" s="747"/>
      <c r="H683" s="748"/>
      <c r="I683" s="729"/>
      <c r="J683" s="275"/>
      <c r="K683" s="750"/>
      <c r="L683" s="610"/>
      <c r="M683" s="619"/>
      <c r="N683" s="620" t="s">
        <v>1068</v>
      </c>
      <c r="O683" s="621"/>
      <c r="P683" s="629">
        <v>0.25</v>
      </c>
      <c r="Q683" s="610"/>
      <c r="R683" s="709"/>
      <c r="S683" s="710"/>
      <c r="T683" s="705"/>
      <c r="U683" s="712"/>
      <c r="V683" s="747"/>
      <c r="W683" s="748"/>
      <c r="X683" s="729"/>
      <c r="Y683" s="275"/>
      <c r="Z683" s="750"/>
      <c r="AA683" s="572"/>
      <c r="AB683" s="560"/>
    </row>
    <row r="684" ht="24.0" customHeight="1">
      <c r="A684" s="556"/>
      <c r="B684" s="577"/>
      <c r="C684" s="709"/>
      <c r="D684" s="715"/>
      <c r="E684" s="705"/>
      <c r="F684" s="712"/>
      <c r="G684" s="747"/>
      <c r="H684" s="748"/>
      <c r="I684" s="755"/>
      <c r="J684" s="275"/>
      <c r="K684" s="750"/>
      <c r="L684" s="610"/>
      <c r="M684" s="623" t="str">
        <f>IMAGE("https://raw.githubusercontent.com/msikma/pokesprite/master/items-outline/hold-item/rocky-helmet.png",1)</f>
        <v/>
      </c>
      <c r="N684" s="630" t="s">
        <v>1176</v>
      </c>
      <c r="O684" s="625"/>
      <c r="P684" s="631">
        <v>0.25</v>
      </c>
      <c r="Q684" s="610"/>
      <c r="R684" s="709"/>
      <c r="S684" s="715"/>
      <c r="T684" s="705"/>
      <c r="U684" s="712"/>
      <c r="V684" s="747"/>
      <c r="W684" s="748"/>
      <c r="X684" s="755"/>
      <c r="Y684" s="275"/>
      <c r="Z684" s="750"/>
      <c r="AA684" s="572"/>
      <c r="AB684" s="560"/>
    </row>
    <row r="685" ht="24.0" customHeight="1">
      <c r="A685" s="556"/>
      <c r="B685" s="577"/>
      <c r="C685" s="709"/>
      <c r="D685" s="715"/>
      <c r="E685" s="705"/>
      <c r="F685" s="711"/>
      <c r="G685" s="757"/>
      <c r="H685" s="748"/>
      <c r="I685" s="755"/>
      <c r="J685" s="275"/>
      <c r="K685" s="295"/>
      <c r="L685" s="610"/>
      <c r="M685" s="632"/>
      <c r="N685" s="633" t="s">
        <v>1177</v>
      </c>
      <c r="O685" s="634"/>
      <c r="P685" s="635">
        <v>0.05</v>
      </c>
      <c r="Q685" s="610"/>
      <c r="R685" s="709"/>
      <c r="S685" s="715"/>
      <c r="T685" s="705"/>
      <c r="U685" s="711"/>
      <c r="V685" s="757"/>
      <c r="W685" s="748"/>
      <c r="X685" s="755"/>
      <c r="Y685" s="275"/>
      <c r="Z685" s="295"/>
      <c r="AA685" s="572"/>
      <c r="AB685" s="560"/>
    </row>
    <row r="686" ht="24.0" customHeight="1">
      <c r="A686" s="556"/>
      <c r="B686" s="577"/>
      <c r="C686" s="709"/>
      <c r="D686" s="715"/>
      <c r="E686" s="705"/>
      <c r="F686" s="711"/>
      <c r="G686" s="757"/>
      <c r="H686" s="748"/>
      <c r="I686" s="755"/>
      <c r="J686" s="275"/>
      <c r="K686" s="295"/>
      <c r="L686" s="610"/>
      <c r="M686" s="637" t="str">
        <f t="shared" ref="M686:M687" si="80">IMAGE("https://raw.githubusercontent.com/msikma/pokesprite/master/items-outline/hold-item/choice-band.png",1)</f>
        <v/>
      </c>
      <c r="N686" s="638" t="s">
        <v>1181</v>
      </c>
      <c r="O686" s="639"/>
      <c r="P686" s="640">
        <v>0.04</v>
      </c>
      <c r="Q686" s="610"/>
      <c r="R686" s="709"/>
      <c r="S686" s="715"/>
      <c r="T686" s="705"/>
      <c r="U686" s="711"/>
      <c r="V686" s="757"/>
      <c r="W686" s="748"/>
      <c r="X686" s="755"/>
      <c r="Y686" s="275"/>
      <c r="Z686" s="295"/>
      <c r="AA686" s="572"/>
      <c r="AB686" s="560"/>
    </row>
    <row r="687" ht="24.75" customHeight="1">
      <c r="A687" s="556"/>
      <c r="B687" s="585"/>
      <c r="C687" s="770"/>
      <c r="D687" s="771"/>
      <c r="E687" s="738"/>
      <c r="F687" s="772"/>
      <c r="G687" s="773"/>
      <c r="H687" s="774"/>
      <c r="I687" s="775"/>
      <c r="J687" s="275"/>
      <c r="K687" s="776"/>
      <c r="L687" s="777"/>
      <c r="M687" s="778" t="str">
        <f t="shared" si="80"/>
        <v/>
      </c>
      <c r="N687" s="779" t="s">
        <v>1181</v>
      </c>
      <c r="O687" s="643"/>
      <c r="P687" s="780">
        <v>0.01</v>
      </c>
      <c r="Q687" s="781"/>
      <c r="R687" s="782"/>
      <c r="S687" s="274"/>
      <c r="T687" s="274"/>
      <c r="U687" s="274"/>
      <c r="V687" s="274"/>
      <c r="W687" s="274"/>
      <c r="X687" s="274"/>
      <c r="Y687" s="274"/>
      <c r="Z687" s="275"/>
      <c r="AA687" s="572"/>
      <c r="AB687" s="560"/>
    </row>
    <row r="688" ht="7.5" customHeight="1">
      <c r="A688" s="556"/>
      <c r="B688" s="791"/>
      <c r="C688" s="792"/>
      <c r="D688" s="792"/>
      <c r="E688" s="792"/>
      <c r="F688" s="793"/>
      <c r="G688" s="793"/>
      <c r="H688" s="793"/>
      <c r="I688" s="792"/>
      <c r="J688" s="792"/>
      <c r="K688" s="793"/>
      <c r="L688" s="793"/>
      <c r="M688" s="793"/>
      <c r="N688" s="792"/>
      <c r="O688" s="792"/>
      <c r="P688" s="793"/>
      <c r="Q688" s="793"/>
      <c r="R688" s="793"/>
      <c r="S688" s="792"/>
      <c r="T688" s="792"/>
      <c r="U688" s="793"/>
      <c r="V688" s="793"/>
      <c r="W688" s="793"/>
      <c r="X688" s="792"/>
      <c r="Y688" s="792"/>
      <c r="Z688" s="793"/>
      <c r="AA688" s="794"/>
      <c r="AB688" s="560"/>
    </row>
    <row r="689" ht="7.5" customHeight="1">
      <c r="A689" s="114"/>
      <c r="B689" s="795"/>
      <c r="C689" s="796"/>
      <c r="D689" s="796"/>
      <c r="E689" s="796"/>
      <c r="F689" s="796"/>
      <c r="G689" s="796"/>
      <c r="H689" s="796"/>
      <c r="I689" s="796"/>
      <c r="J689" s="796"/>
      <c r="K689" s="796"/>
      <c r="L689" s="796"/>
      <c r="M689" s="796"/>
      <c r="N689" s="796"/>
      <c r="O689" s="796"/>
      <c r="P689" s="796"/>
      <c r="Q689" s="796"/>
      <c r="R689" s="796"/>
      <c r="S689" s="796"/>
      <c r="T689" s="796"/>
      <c r="U689" s="796"/>
      <c r="V689" s="796"/>
      <c r="W689" s="796"/>
      <c r="X689" s="796"/>
      <c r="Y689" s="796"/>
      <c r="Z689" s="796"/>
      <c r="AA689" s="797"/>
      <c r="AB689" s="114"/>
    </row>
  </sheetData>
  <mergeCells count="3126">
    <mergeCell ref="N129:O129"/>
    <mergeCell ref="N130:O130"/>
    <mergeCell ref="S130:T130"/>
    <mergeCell ref="N131:O131"/>
    <mergeCell ref="S131:T131"/>
    <mergeCell ref="N132:O132"/>
    <mergeCell ref="N133:O133"/>
    <mergeCell ref="N134:O134"/>
    <mergeCell ref="S134:T134"/>
    <mergeCell ref="N135:O135"/>
    <mergeCell ref="S135:T135"/>
    <mergeCell ref="N136:O136"/>
    <mergeCell ref="S136:T136"/>
    <mergeCell ref="S137:T137"/>
    <mergeCell ref="S138:T138"/>
    <mergeCell ref="S139:T139"/>
    <mergeCell ref="S140:T140"/>
    <mergeCell ref="C141:Z141"/>
    <mergeCell ref="R142:T142"/>
    <mergeCell ref="W142:Y142"/>
    <mergeCell ref="R143:T143"/>
    <mergeCell ref="N137:O137"/>
    <mergeCell ref="N138:O138"/>
    <mergeCell ref="N139:O139"/>
    <mergeCell ref="N140:O140"/>
    <mergeCell ref="M142:O142"/>
    <mergeCell ref="M143:O143"/>
    <mergeCell ref="N144:O144"/>
    <mergeCell ref="I150:J150"/>
    <mergeCell ref="N150:O150"/>
    <mergeCell ref="S155:T155"/>
    <mergeCell ref="X155:Y155"/>
    <mergeCell ref="C156:Z156"/>
    <mergeCell ref="R157:T157"/>
    <mergeCell ref="W157:Y157"/>
    <mergeCell ref="R158:T158"/>
    <mergeCell ref="W158:Y158"/>
    <mergeCell ref="X159:Y159"/>
    <mergeCell ref="S132:T132"/>
    <mergeCell ref="S133:T133"/>
    <mergeCell ref="S144:T144"/>
    <mergeCell ref="S145:T145"/>
    <mergeCell ref="S146:T146"/>
    <mergeCell ref="S147:T147"/>
    <mergeCell ref="S148:T148"/>
    <mergeCell ref="S159:T159"/>
    <mergeCell ref="S160:T160"/>
    <mergeCell ref="X160:Y160"/>
    <mergeCell ref="S161:T161"/>
    <mergeCell ref="X161:Y161"/>
    <mergeCell ref="S162:T162"/>
    <mergeCell ref="S163:T163"/>
    <mergeCell ref="X168:Y168"/>
    <mergeCell ref="X169:Y169"/>
    <mergeCell ref="X170:Y170"/>
    <mergeCell ref="C171:Z171"/>
    <mergeCell ref="W172:Y172"/>
    <mergeCell ref="W173:Y173"/>
    <mergeCell ref="S164:T164"/>
    <mergeCell ref="X164:Y164"/>
    <mergeCell ref="S165:T165"/>
    <mergeCell ref="X165:Y165"/>
    <mergeCell ref="S166:T166"/>
    <mergeCell ref="X166:Y166"/>
    <mergeCell ref="X167:Y167"/>
    <mergeCell ref="S167:T167"/>
    <mergeCell ref="S168:T168"/>
    <mergeCell ref="S169:T169"/>
    <mergeCell ref="S170:T170"/>
    <mergeCell ref="R172:T172"/>
    <mergeCell ref="R173:T173"/>
    <mergeCell ref="S174:T174"/>
    <mergeCell ref="X179:Y179"/>
    <mergeCell ref="X180:Y180"/>
    <mergeCell ref="X181:Y181"/>
    <mergeCell ref="X182:Y182"/>
    <mergeCell ref="X183:Y183"/>
    <mergeCell ref="X184:Y184"/>
    <mergeCell ref="X185:Y185"/>
    <mergeCell ref="X162:Y162"/>
    <mergeCell ref="X163:Y163"/>
    <mergeCell ref="X174:Y174"/>
    <mergeCell ref="X175:Y175"/>
    <mergeCell ref="X176:Y176"/>
    <mergeCell ref="X177:Y177"/>
    <mergeCell ref="X178:Y178"/>
    <mergeCell ref="S175:T175"/>
    <mergeCell ref="S176:T176"/>
    <mergeCell ref="S177:T177"/>
    <mergeCell ref="S178:T178"/>
    <mergeCell ref="S179:T179"/>
    <mergeCell ref="S180:T180"/>
    <mergeCell ref="S181:T181"/>
    <mergeCell ref="M187:O187"/>
    <mergeCell ref="M188:O188"/>
    <mergeCell ref="N189:O189"/>
    <mergeCell ref="N190:O190"/>
    <mergeCell ref="N191:O191"/>
    <mergeCell ref="N192:O192"/>
    <mergeCell ref="N193:O193"/>
    <mergeCell ref="N194:O194"/>
    <mergeCell ref="N195:O195"/>
    <mergeCell ref="N196:O196"/>
    <mergeCell ref="N197:O197"/>
    <mergeCell ref="N198:O198"/>
    <mergeCell ref="N199:O199"/>
    <mergeCell ref="N200:O200"/>
    <mergeCell ref="W202:Y202"/>
    <mergeCell ref="W203:Y203"/>
    <mergeCell ref="X204:Y204"/>
    <mergeCell ref="X205:Y205"/>
    <mergeCell ref="X206:Y206"/>
    <mergeCell ref="X207:Y207"/>
    <mergeCell ref="X208:Y208"/>
    <mergeCell ref="X209:Y209"/>
    <mergeCell ref="X210:Y210"/>
    <mergeCell ref="X214:Y214"/>
    <mergeCell ref="X215:Y215"/>
    <mergeCell ref="W217:Y217"/>
    <mergeCell ref="W218:Y218"/>
    <mergeCell ref="X219:Y219"/>
    <mergeCell ref="X220:Y220"/>
    <mergeCell ref="X221:Y221"/>
    <mergeCell ref="X222:Y222"/>
    <mergeCell ref="X223:Y223"/>
    <mergeCell ref="X224:Y224"/>
    <mergeCell ref="X225:Y225"/>
    <mergeCell ref="X226:Y226"/>
    <mergeCell ref="X227:Y227"/>
    <mergeCell ref="X228:Y228"/>
    <mergeCell ref="X229:Y229"/>
    <mergeCell ref="X230:Y230"/>
    <mergeCell ref="W232:Y232"/>
    <mergeCell ref="W233:Y233"/>
    <mergeCell ref="X234:Y234"/>
    <mergeCell ref="X235:Y235"/>
    <mergeCell ref="X236:Y236"/>
    <mergeCell ref="X237:Y237"/>
    <mergeCell ref="X238:Y238"/>
    <mergeCell ref="X239:Y239"/>
    <mergeCell ref="X240:Y240"/>
    <mergeCell ref="X241:Y241"/>
    <mergeCell ref="X250:Y250"/>
    <mergeCell ref="X251:Y251"/>
    <mergeCell ref="X252:Y252"/>
    <mergeCell ref="X253:Y253"/>
    <mergeCell ref="X254:Y254"/>
    <mergeCell ref="X255:Y255"/>
    <mergeCell ref="X242:Y242"/>
    <mergeCell ref="X243:Y243"/>
    <mergeCell ref="X244:Y244"/>
    <mergeCell ref="X245:Y245"/>
    <mergeCell ref="W247:Y247"/>
    <mergeCell ref="W248:Y248"/>
    <mergeCell ref="X249:Y249"/>
    <mergeCell ref="S206:T206"/>
    <mergeCell ref="S207:T207"/>
    <mergeCell ref="S208:T208"/>
    <mergeCell ref="S209:T209"/>
    <mergeCell ref="S210:T210"/>
    <mergeCell ref="S211:T211"/>
    <mergeCell ref="S212:T212"/>
    <mergeCell ref="S213:T213"/>
    <mergeCell ref="S214:T214"/>
    <mergeCell ref="S215:T215"/>
    <mergeCell ref="R217:T217"/>
    <mergeCell ref="R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R232:T232"/>
    <mergeCell ref="R233:T233"/>
    <mergeCell ref="S234:T234"/>
    <mergeCell ref="S235:T235"/>
    <mergeCell ref="S236:T236"/>
    <mergeCell ref="S237:T237"/>
    <mergeCell ref="S238:T238"/>
    <mergeCell ref="S239:T239"/>
    <mergeCell ref="S240:T240"/>
    <mergeCell ref="S241:T241"/>
    <mergeCell ref="S242:T242"/>
    <mergeCell ref="S251:T251"/>
    <mergeCell ref="S252:T252"/>
    <mergeCell ref="S253:T253"/>
    <mergeCell ref="S254:T254"/>
    <mergeCell ref="S255:T255"/>
    <mergeCell ref="S243:T243"/>
    <mergeCell ref="S244:T244"/>
    <mergeCell ref="S245:T245"/>
    <mergeCell ref="R247:T247"/>
    <mergeCell ref="R248:T248"/>
    <mergeCell ref="S249:T249"/>
    <mergeCell ref="S250:T250"/>
    <mergeCell ref="S182:T182"/>
    <mergeCell ref="S183:T183"/>
    <mergeCell ref="S184:T184"/>
    <mergeCell ref="S185:T185"/>
    <mergeCell ref="C186:Z186"/>
    <mergeCell ref="R187:T187"/>
    <mergeCell ref="R188:T188"/>
    <mergeCell ref="W187:Y187"/>
    <mergeCell ref="W188:Y188"/>
    <mergeCell ref="S189:T189"/>
    <mergeCell ref="X189:Y189"/>
    <mergeCell ref="S190:T190"/>
    <mergeCell ref="X190:Y190"/>
    <mergeCell ref="X191:Y191"/>
    <mergeCell ref="S191:T191"/>
    <mergeCell ref="S192:T192"/>
    <mergeCell ref="S193:T193"/>
    <mergeCell ref="S194:T194"/>
    <mergeCell ref="S195:T195"/>
    <mergeCell ref="S196:T196"/>
    <mergeCell ref="S197:T197"/>
    <mergeCell ref="X199:Y199"/>
    <mergeCell ref="X200:Y200"/>
    <mergeCell ref="C201:Z201"/>
    <mergeCell ref="S198:T198"/>
    <mergeCell ref="S199:T199"/>
    <mergeCell ref="S200:T200"/>
    <mergeCell ref="R202:T202"/>
    <mergeCell ref="R203:T203"/>
    <mergeCell ref="S204:T204"/>
    <mergeCell ref="S205:T205"/>
    <mergeCell ref="X211:Y211"/>
    <mergeCell ref="X212:Y212"/>
    <mergeCell ref="X213:Y213"/>
    <mergeCell ref="C216:Z216"/>
    <mergeCell ref="C231:Z231"/>
    <mergeCell ref="C246:Z246"/>
    <mergeCell ref="X192:Y192"/>
    <mergeCell ref="X193:Y193"/>
    <mergeCell ref="X194:Y194"/>
    <mergeCell ref="X195:Y195"/>
    <mergeCell ref="X196:Y196"/>
    <mergeCell ref="X197:Y197"/>
    <mergeCell ref="X198:Y198"/>
    <mergeCell ref="M202:O202"/>
    <mergeCell ref="M203:O203"/>
    <mergeCell ref="N204:O204"/>
    <mergeCell ref="N205:O205"/>
    <mergeCell ref="N206:O206"/>
    <mergeCell ref="N207:O207"/>
    <mergeCell ref="N208:O208"/>
    <mergeCell ref="N209:O209"/>
    <mergeCell ref="N210:O210"/>
    <mergeCell ref="N211:O211"/>
    <mergeCell ref="N212:O212"/>
    <mergeCell ref="N213:O213"/>
    <mergeCell ref="N214:O214"/>
    <mergeCell ref="N215:O215"/>
    <mergeCell ref="D135:E135"/>
    <mergeCell ref="D136:E136"/>
    <mergeCell ref="D137:E137"/>
    <mergeCell ref="D138:E138"/>
    <mergeCell ref="D139:E139"/>
    <mergeCell ref="D140:E140"/>
    <mergeCell ref="C142:E142"/>
    <mergeCell ref="C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C157:E157"/>
    <mergeCell ref="C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C172:E172"/>
    <mergeCell ref="C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C187:E187"/>
    <mergeCell ref="C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C202:E202"/>
    <mergeCell ref="C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C217:E217"/>
    <mergeCell ref="C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C232:E232"/>
    <mergeCell ref="C233:E233"/>
    <mergeCell ref="D234:E234"/>
    <mergeCell ref="D235:E235"/>
    <mergeCell ref="D236:E236"/>
    <mergeCell ref="D237:E237"/>
    <mergeCell ref="D238:E238"/>
    <mergeCell ref="D239:E239"/>
    <mergeCell ref="S47:T47"/>
    <mergeCell ref="S48:T48"/>
    <mergeCell ref="X48:Y48"/>
    <mergeCell ref="S49:T49"/>
    <mergeCell ref="X49:Y49"/>
    <mergeCell ref="S50:T50"/>
    <mergeCell ref="S51:T51"/>
    <mergeCell ref="S52:T52"/>
    <mergeCell ref="X52:Y52"/>
    <mergeCell ref="S53:T53"/>
    <mergeCell ref="X53:Y53"/>
    <mergeCell ref="X54:Y54"/>
    <mergeCell ref="X55:Y55"/>
    <mergeCell ref="X56:Y56"/>
    <mergeCell ref="C45:E45"/>
    <mergeCell ref="D46:E46"/>
    <mergeCell ref="I46:J46"/>
    <mergeCell ref="S46:T46"/>
    <mergeCell ref="D47:E47"/>
    <mergeCell ref="D48:E48"/>
    <mergeCell ref="N48:O48"/>
    <mergeCell ref="X50:Y50"/>
    <mergeCell ref="X51:Y51"/>
    <mergeCell ref="W58:Y58"/>
    <mergeCell ref="W59:Y59"/>
    <mergeCell ref="I47:J47"/>
    <mergeCell ref="I48:J48"/>
    <mergeCell ref="D49:E49"/>
    <mergeCell ref="I49:J49"/>
    <mergeCell ref="D50:E50"/>
    <mergeCell ref="I50:J50"/>
    <mergeCell ref="I51:J51"/>
    <mergeCell ref="S55:T55"/>
    <mergeCell ref="S56:T56"/>
    <mergeCell ref="C57:Z57"/>
    <mergeCell ref="S54:T54"/>
    <mergeCell ref="R58:T58"/>
    <mergeCell ref="R59:T59"/>
    <mergeCell ref="H58:J58"/>
    <mergeCell ref="H59:J59"/>
    <mergeCell ref="I52:J52"/>
    <mergeCell ref="I53:J53"/>
    <mergeCell ref="I54:J54"/>
    <mergeCell ref="I55:J55"/>
    <mergeCell ref="I56:J56"/>
    <mergeCell ref="N56:O56"/>
    <mergeCell ref="M58:O58"/>
    <mergeCell ref="M59:O59"/>
    <mergeCell ref="H30:J30"/>
    <mergeCell ref="I31:J31"/>
    <mergeCell ref="D32:E32"/>
    <mergeCell ref="I32:J32"/>
    <mergeCell ref="D33:E33"/>
    <mergeCell ref="I33:J33"/>
    <mergeCell ref="I34:J34"/>
    <mergeCell ref="I38:J38"/>
    <mergeCell ref="I39:J39"/>
    <mergeCell ref="D40:E40"/>
    <mergeCell ref="I40:J40"/>
    <mergeCell ref="D41:E41"/>
    <mergeCell ref="I41:J41"/>
    <mergeCell ref="D42:E42"/>
    <mergeCell ref="I42:J42"/>
    <mergeCell ref="D34:E34"/>
    <mergeCell ref="D35:E35"/>
    <mergeCell ref="D36:E36"/>
    <mergeCell ref="D37:E37"/>
    <mergeCell ref="I37:J37"/>
    <mergeCell ref="D38:E38"/>
    <mergeCell ref="D39:E39"/>
    <mergeCell ref="N37:O37"/>
    <mergeCell ref="N38:O38"/>
    <mergeCell ref="N39:O39"/>
    <mergeCell ref="N40:O40"/>
    <mergeCell ref="N41:O41"/>
    <mergeCell ref="N42:O42"/>
    <mergeCell ref="M29:O29"/>
    <mergeCell ref="M30:O30"/>
    <mergeCell ref="N32:O32"/>
    <mergeCell ref="N33:O33"/>
    <mergeCell ref="N34:O34"/>
    <mergeCell ref="N35:O35"/>
    <mergeCell ref="N36:O36"/>
    <mergeCell ref="X36:Y36"/>
    <mergeCell ref="X37:Y37"/>
    <mergeCell ref="X38:Y38"/>
    <mergeCell ref="X39:Y39"/>
    <mergeCell ref="X40:Y40"/>
    <mergeCell ref="X41:Y41"/>
    <mergeCell ref="X42:Y42"/>
    <mergeCell ref="S37:T37"/>
    <mergeCell ref="S38:T38"/>
    <mergeCell ref="S39:T39"/>
    <mergeCell ref="S40:T40"/>
    <mergeCell ref="S41:T41"/>
    <mergeCell ref="S42:T42"/>
    <mergeCell ref="C43:Z43"/>
    <mergeCell ref="R44:T44"/>
    <mergeCell ref="R45:T45"/>
    <mergeCell ref="C44:E44"/>
    <mergeCell ref="H44:J44"/>
    <mergeCell ref="M44:O44"/>
    <mergeCell ref="W44:Y44"/>
    <mergeCell ref="H45:J45"/>
    <mergeCell ref="M45:O45"/>
    <mergeCell ref="W45:Y45"/>
    <mergeCell ref="B1:AA1"/>
    <mergeCell ref="C3:X3"/>
    <mergeCell ref="C5:Z5"/>
    <mergeCell ref="C7:Z7"/>
    <mergeCell ref="C9:W9"/>
    <mergeCell ref="C11:E11"/>
    <mergeCell ref="C13:F13"/>
    <mergeCell ref="C15:E15"/>
    <mergeCell ref="C17:F17"/>
    <mergeCell ref="C19:H19"/>
    <mergeCell ref="C21:F21"/>
    <mergeCell ref="C23:I23"/>
    <mergeCell ref="C25:F25"/>
    <mergeCell ref="C28:Z28"/>
    <mergeCell ref="C27:J27"/>
    <mergeCell ref="C29:E29"/>
    <mergeCell ref="H29:J29"/>
    <mergeCell ref="R29:T29"/>
    <mergeCell ref="C30:E30"/>
    <mergeCell ref="D31:E31"/>
    <mergeCell ref="N31:O31"/>
    <mergeCell ref="I35:J35"/>
    <mergeCell ref="I36:J36"/>
    <mergeCell ref="W29:Y29"/>
    <mergeCell ref="W30:Y30"/>
    <mergeCell ref="X31:Y31"/>
    <mergeCell ref="X32:Y32"/>
    <mergeCell ref="X33:Y33"/>
    <mergeCell ref="X34:Y34"/>
    <mergeCell ref="X35:Y35"/>
    <mergeCell ref="R30:T30"/>
    <mergeCell ref="S31:T31"/>
    <mergeCell ref="S32:T32"/>
    <mergeCell ref="S33:T33"/>
    <mergeCell ref="S34:T34"/>
    <mergeCell ref="S35:T35"/>
    <mergeCell ref="S36:T36"/>
    <mergeCell ref="X46:Y46"/>
    <mergeCell ref="X47:Y47"/>
    <mergeCell ref="X74:Y74"/>
    <mergeCell ref="X75:Y75"/>
    <mergeCell ref="S70:T70"/>
    <mergeCell ref="R72:T72"/>
    <mergeCell ref="W72:Y72"/>
    <mergeCell ref="R73:T73"/>
    <mergeCell ref="W73:Y73"/>
    <mergeCell ref="S74:T74"/>
    <mergeCell ref="S75:T75"/>
    <mergeCell ref="N64:O64"/>
    <mergeCell ref="N65:O65"/>
    <mergeCell ref="N66:O66"/>
    <mergeCell ref="N67:O67"/>
    <mergeCell ref="N68:O68"/>
    <mergeCell ref="N69:O69"/>
    <mergeCell ref="N70:O70"/>
    <mergeCell ref="M72:O72"/>
    <mergeCell ref="M73:O73"/>
    <mergeCell ref="N74:O74"/>
    <mergeCell ref="N75:O75"/>
    <mergeCell ref="N76:O76"/>
    <mergeCell ref="N77:O77"/>
    <mergeCell ref="N78:O78"/>
    <mergeCell ref="N106:O106"/>
    <mergeCell ref="N107:O107"/>
    <mergeCell ref="N108:O108"/>
    <mergeCell ref="N109:O109"/>
    <mergeCell ref="N110:O110"/>
    <mergeCell ref="N111:O111"/>
    <mergeCell ref="C112:Z112"/>
    <mergeCell ref="M99:O99"/>
    <mergeCell ref="M100:O100"/>
    <mergeCell ref="N101:O101"/>
    <mergeCell ref="N102:O102"/>
    <mergeCell ref="N103:O103"/>
    <mergeCell ref="N104:O104"/>
    <mergeCell ref="N105:O105"/>
    <mergeCell ref="R113:T113"/>
    <mergeCell ref="R114:T114"/>
    <mergeCell ref="S107:T107"/>
    <mergeCell ref="S108:T108"/>
    <mergeCell ref="S109:T109"/>
    <mergeCell ref="S110:T110"/>
    <mergeCell ref="S111:T111"/>
    <mergeCell ref="M113:O113"/>
    <mergeCell ref="M114:O114"/>
    <mergeCell ref="S119:T119"/>
    <mergeCell ref="S120:T120"/>
    <mergeCell ref="S121:T121"/>
    <mergeCell ref="S122:T122"/>
    <mergeCell ref="S123:T123"/>
    <mergeCell ref="S124:T124"/>
    <mergeCell ref="S125:T125"/>
    <mergeCell ref="C126:Z126"/>
    <mergeCell ref="N115:O115"/>
    <mergeCell ref="S115:T115"/>
    <mergeCell ref="N116:O116"/>
    <mergeCell ref="S116:T116"/>
    <mergeCell ref="N117:O117"/>
    <mergeCell ref="S117:T117"/>
    <mergeCell ref="S118:T118"/>
    <mergeCell ref="W128:Y128"/>
    <mergeCell ref="X129:Y129"/>
    <mergeCell ref="X130:Y130"/>
    <mergeCell ref="X131:Y131"/>
    <mergeCell ref="X132:Y132"/>
    <mergeCell ref="N125:O125"/>
    <mergeCell ref="M127:O127"/>
    <mergeCell ref="R127:T127"/>
    <mergeCell ref="W127:Y127"/>
    <mergeCell ref="M128:O128"/>
    <mergeCell ref="R128:T128"/>
    <mergeCell ref="S129:T129"/>
    <mergeCell ref="N118:O118"/>
    <mergeCell ref="N119:O119"/>
    <mergeCell ref="N120:O120"/>
    <mergeCell ref="N121:O121"/>
    <mergeCell ref="N122:O122"/>
    <mergeCell ref="N123:O123"/>
    <mergeCell ref="N124:O124"/>
    <mergeCell ref="D51:E51"/>
    <mergeCell ref="D52:E52"/>
    <mergeCell ref="D53:E53"/>
    <mergeCell ref="D54:E54"/>
    <mergeCell ref="D55:E55"/>
    <mergeCell ref="D56:E56"/>
    <mergeCell ref="C58:E58"/>
    <mergeCell ref="I62:J62"/>
    <mergeCell ref="I63:J63"/>
    <mergeCell ref="C59:E59"/>
    <mergeCell ref="D60:E60"/>
    <mergeCell ref="I60:J60"/>
    <mergeCell ref="D61:E61"/>
    <mergeCell ref="I61:J61"/>
    <mergeCell ref="D62:E62"/>
    <mergeCell ref="D63:E63"/>
    <mergeCell ref="D64:E64"/>
    <mergeCell ref="I64:J64"/>
    <mergeCell ref="D65:E65"/>
    <mergeCell ref="I65:J65"/>
    <mergeCell ref="D66:E66"/>
    <mergeCell ref="I66:J66"/>
    <mergeCell ref="I67:J67"/>
    <mergeCell ref="D67:E67"/>
    <mergeCell ref="D68:E68"/>
    <mergeCell ref="D69:E69"/>
    <mergeCell ref="D70:E70"/>
    <mergeCell ref="C72:E72"/>
    <mergeCell ref="C73:E73"/>
    <mergeCell ref="D74:E74"/>
    <mergeCell ref="I68:J68"/>
    <mergeCell ref="I69:J69"/>
    <mergeCell ref="I70:J70"/>
    <mergeCell ref="H72:J72"/>
    <mergeCell ref="H73:J73"/>
    <mergeCell ref="I74:J74"/>
    <mergeCell ref="I75:J75"/>
    <mergeCell ref="I76:J76"/>
    <mergeCell ref="I77:J77"/>
    <mergeCell ref="I78:J78"/>
    <mergeCell ref="I79:J79"/>
    <mergeCell ref="I80:J80"/>
    <mergeCell ref="I81:J81"/>
    <mergeCell ref="I82:J82"/>
    <mergeCell ref="X83:Y83"/>
    <mergeCell ref="W85:Y85"/>
    <mergeCell ref="W86:Y86"/>
    <mergeCell ref="X87:Y87"/>
    <mergeCell ref="X88:Y88"/>
    <mergeCell ref="X89:Y89"/>
    <mergeCell ref="X90:Y90"/>
    <mergeCell ref="X91:Y91"/>
    <mergeCell ref="X92:Y92"/>
    <mergeCell ref="X93:Y93"/>
    <mergeCell ref="X94:Y94"/>
    <mergeCell ref="X95:Y95"/>
    <mergeCell ref="X96:Y96"/>
    <mergeCell ref="X97:Y97"/>
    <mergeCell ref="W99:Y99"/>
    <mergeCell ref="W100:Y100"/>
    <mergeCell ref="X101:Y101"/>
    <mergeCell ref="X102:Y102"/>
    <mergeCell ref="X103:Y103"/>
    <mergeCell ref="X104:Y104"/>
    <mergeCell ref="X105:Y105"/>
    <mergeCell ref="X106:Y106"/>
    <mergeCell ref="X107:Y107"/>
    <mergeCell ref="X108:Y108"/>
    <mergeCell ref="X109:Y109"/>
    <mergeCell ref="X110:Y110"/>
    <mergeCell ref="X111:Y111"/>
    <mergeCell ref="W113:Y113"/>
    <mergeCell ref="W114:Y114"/>
    <mergeCell ref="X115:Y115"/>
    <mergeCell ref="X116:Y116"/>
    <mergeCell ref="X117:Y117"/>
    <mergeCell ref="X118:Y118"/>
    <mergeCell ref="X119:Y119"/>
    <mergeCell ref="X120:Y120"/>
    <mergeCell ref="X135:Y135"/>
    <mergeCell ref="X136:Y136"/>
    <mergeCell ref="X137:Y137"/>
    <mergeCell ref="X138:Y138"/>
    <mergeCell ref="X139:Y139"/>
    <mergeCell ref="X140:Y140"/>
    <mergeCell ref="X121:Y121"/>
    <mergeCell ref="X122:Y122"/>
    <mergeCell ref="X123:Y123"/>
    <mergeCell ref="X124:Y124"/>
    <mergeCell ref="X125:Y125"/>
    <mergeCell ref="X133:Y133"/>
    <mergeCell ref="X134:Y134"/>
    <mergeCell ref="N46:O46"/>
    <mergeCell ref="N47:O47"/>
    <mergeCell ref="N49:O49"/>
    <mergeCell ref="N50:O50"/>
    <mergeCell ref="N51:O51"/>
    <mergeCell ref="N52:O52"/>
    <mergeCell ref="N53:O53"/>
    <mergeCell ref="N54:O54"/>
    <mergeCell ref="N55:O55"/>
    <mergeCell ref="N60:O60"/>
    <mergeCell ref="S60:T60"/>
    <mergeCell ref="X60:Y60"/>
    <mergeCell ref="S61:T61"/>
    <mergeCell ref="X61:Y61"/>
    <mergeCell ref="X65:Y65"/>
    <mergeCell ref="X66:Y66"/>
    <mergeCell ref="X67:Y67"/>
    <mergeCell ref="X68:Y68"/>
    <mergeCell ref="X69:Y69"/>
    <mergeCell ref="X70:Y70"/>
    <mergeCell ref="C71:Z71"/>
    <mergeCell ref="N61:O61"/>
    <mergeCell ref="N62:O62"/>
    <mergeCell ref="S62:T62"/>
    <mergeCell ref="X62:Y62"/>
    <mergeCell ref="N63:O63"/>
    <mergeCell ref="X63:Y63"/>
    <mergeCell ref="X64:Y64"/>
    <mergeCell ref="S63:T63"/>
    <mergeCell ref="S64:T64"/>
    <mergeCell ref="S65:T65"/>
    <mergeCell ref="S66:T66"/>
    <mergeCell ref="S67:T67"/>
    <mergeCell ref="S68:T68"/>
    <mergeCell ref="S69:T69"/>
    <mergeCell ref="S76:T76"/>
    <mergeCell ref="S82:T82"/>
    <mergeCell ref="S83:T83"/>
    <mergeCell ref="C84:Z84"/>
    <mergeCell ref="C98:Z98"/>
    <mergeCell ref="X76:Y76"/>
    <mergeCell ref="X77:Y77"/>
    <mergeCell ref="X78:Y78"/>
    <mergeCell ref="X79:Y79"/>
    <mergeCell ref="X80:Y80"/>
    <mergeCell ref="X81:Y81"/>
    <mergeCell ref="X82:Y82"/>
    <mergeCell ref="S77:T77"/>
    <mergeCell ref="S78:T78"/>
    <mergeCell ref="N79:O79"/>
    <mergeCell ref="S79:T79"/>
    <mergeCell ref="N80:O80"/>
    <mergeCell ref="S80:T80"/>
    <mergeCell ref="S81:T81"/>
    <mergeCell ref="R86:T86"/>
    <mergeCell ref="S87:T87"/>
    <mergeCell ref="N81:O81"/>
    <mergeCell ref="N82:O82"/>
    <mergeCell ref="N83:O83"/>
    <mergeCell ref="M85:O85"/>
    <mergeCell ref="R85:T85"/>
    <mergeCell ref="M86:O86"/>
    <mergeCell ref="N87:O87"/>
    <mergeCell ref="N88:O88"/>
    <mergeCell ref="S88:T88"/>
    <mergeCell ref="N89:O89"/>
    <mergeCell ref="S89:T89"/>
    <mergeCell ref="N90:O90"/>
    <mergeCell ref="S90:T90"/>
    <mergeCell ref="S91:T91"/>
    <mergeCell ref="N91:O91"/>
    <mergeCell ref="N92:O92"/>
    <mergeCell ref="N93:O93"/>
    <mergeCell ref="N94:O94"/>
    <mergeCell ref="N95:O95"/>
    <mergeCell ref="N96:O96"/>
    <mergeCell ref="N97:O97"/>
    <mergeCell ref="S92:T92"/>
    <mergeCell ref="S93:T93"/>
    <mergeCell ref="S94:T94"/>
    <mergeCell ref="S95:T95"/>
    <mergeCell ref="S96:T96"/>
    <mergeCell ref="S97:T97"/>
    <mergeCell ref="R99:T99"/>
    <mergeCell ref="R100:T100"/>
    <mergeCell ref="S101:T101"/>
    <mergeCell ref="S102:T102"/>
    <mergeCell ref="S103:T103"/>
    <mergeCell ref="S104:T104"/>
    <mergeCell ref="S105:T105"/>
    <mergeCell ref="S106:T106"/>
    <mergeCell ref="D120:E120"/>
    <mergeCell ref="D121:E121"/>
    <mergeCell ref="D122:E122"/>
    <mergeCell ref="D123:E123"/>
    <mergeCell ref="D124:E124"/>
    <mergeCell ref="D125:E125"/>
    <mergeCell ref="C127:E127"/>
    <mergeCell ref="C128:E128"/>
    <mergeCell ref="D129:E129"/>
    <mergeCell ref="D130:E130"/>
    <mergeCell ref="D131:E131"/>
    <mergeCell ref="D132:E132"/>
    <mergeCell ref="D133:E133"/>
    <mergeCell ref="D134:E134"/>
    <mergeCell ref="X150:Y150"/>
    <mergeCell ref="X151:Y151"/>
    <mergeCell ref="W143:Y143"/>
    <mergeCell ref="X144:Y144"/>
    <mergeCell ref="X145:Y145"/>
    <mergeCell ref="X146:Y146"/>
    <mergeCell ref="X147:Y147"/>
    <mergeCell ref="X148:Y148"/>
    <mergeCell ref="X149:Y149"/>
    <mergeCell ref="X153:Y153"/>
    <mergeCell ref="X154:Y154"/>
    <mergeCell ref="S149:T149"/>
    <mergeCell ref="S150:T150"/>
    <mergeCell ref="S151:T151"/>
    <mergeCell ref="S152:T152"/>
    <mergeCell ref="X152:Y152"/>
    <mergeCell ref="S153:T153"/>
    <mergeCell ref="S154:T154"/>
    <mergeCell ref="D240:E240"/>
    <mergeCell ref="D241:E241"/>
    <mergeCell ref="D242:E242"/>
    <mergeCell ref="D243:E243"/>
    <mergeCell ref="D244:E244"/>
    <mergeCell ref="D245:E245"/>
    <mergeCell ref="C247:E247"/>
    <mergeCell ref="C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C262:E262"/>
    <mergeCell ref="C263:E263"/>
    <mergeCell ref="D264:E264"/>
    <mergeCell ref="D265:E265"/>
    <mergeCell ref="D266:E266"/>
    <mergeCell ref="D267:E267"/>
    <mergeCell ref="D268:E268"/>
    <mergeCell ref="D269:E269"/>
    <mergeCell ref="D278:E278"/>
    <mergeCell ref="D279:E279"/>
    <mergeCell ref="D280:E280"/>
    <mergeCell ref="D281:E281"/>
    <mergeCell ref="D282:E282"/>
    <mergeCell ref="D283:E283"/>
    <mergeCell ref="D284:E284"/>
    <mergeCell ref="D285:E285"/>
    <mergeCell ref="D286:E286"/>
    <mergeCell ref="D287:E287"/>
    <mergeCell ref="D288:E288"/>
    <mergeCell ref="C290:E290"/>
    <mergeCell ref="C291:E291"/>
    <mergeCell ref="C292:E292"/>
    <mergeCell ref="D300:E300"/>
    <mergeCell ref="D301:E301"/>
    <mergeCell ref="D293:E293"/>
    <mergeCell ref="D294:E294"/>
    <mergeCell ref="D295:E295"/>
    <mergeCell ref="D296:E296"/>
    <mergeCell ref="D297:E297"/>
    <mergeCell ref="D298:E298"/>
    <mergeCell ref="D299:E299"/>
    <mergeCell ref="D75:E75"/>
    <mergeCell ref="D76:E76"/>
    <mergeCell ref="D77:E77"/>
    <mergeCell ref="D78:E78"/>
    <mergeCell ref="D79:E79"/>
    <mergeCell ref="D80:E80"/>
    <mergeCell ref="D81:E81"/>
    <mergeCell ref="D82:E82"/>
    <mergeCell ref="D83:E83"/>
    <mergeCell ref="C85:E85"/>
    <mergeCell ref="C86:E86"/>
    <mergeCell ref="D87:E87"/>
    <mergeCell ref="D88:E88"/>
    <mergeCell ref="D89:E89"/>
    <mergeCell ref="D90:E90"/>
    <mergeCell ref="D91:E91"/>
    <mergeCell ref="D92:E92"/>
    <mergeCell ref="D93:E93"/>
    <mergeCell ref="D94:E94"/>
    <mergeCell ref="D95:E95"/>
    <mergeCell ref="D96:E96"/>
    <mergeCell ref="D97:E97"/>
    <mergeCell ref="C99:E99"/>
    <mergeCell ref="C100:E100"/>
    <mergeCell ref="D101:E101"/>
    <mergeCell ref="D102:E102"/>
    <mergeCell ref="D103:E103"/>
    <mergeCell ref="D104:E104"/>
    <mergeCell ref="D105:E105"/>
    <mergeCell ref="D106:E106"/>
    <mergeCell ref="D107:E107"/>
    <mergeCell ref="D108:E108"/>
    <mergeCell ref="D109:E109"/>
    <mergeCell ref="D110:E110"/>
    <mergeCell ref="D111:E111"/>
    <mergeCell ref="C113:E113"/>
    <mergeCell ref="C114:E114"/>
    <mergeCell ref="D115:E115"/>
    <mergeCell ref="D116:E116"/>
    <mergeCell ref="D117:E117"/>
    <mergeCell ref="D118:E118"/>
    <mergeCell ref="D119:E119"/>
    <mergeCell ref="D270:E270"/>
    <mergeCell ref="D271:E271"/>
    <mergeCell ref="D272:E272"/>
    <mergeCell ref="D273:E273"/>
    <mergeCell ref="C275:E275"/>
    <mergeCell ref="C276:E276"/>
    <mergeCell ref="D277:E277"/>
    <mergeCell ref="H262:J262"/>
    <mergeCell ref="H263:J263"/>
    <mergeCell ref="I264:J264"/>
    <mergeCell ref="I265:J265"/>
    <mergeCell ref="I266:J266"/>
    <mergeCell ref="I267:J267"/>
    <mergeCell ref="I268:J268"/>
    <mergeCell ref="I269:J269"/>
    <mergeCell ref="I270:J270"/>
    <mergeCell ref="I271:J271"/>
    <mergeCell ref="I272:J272"/>
    <mergeCell ref="I273:J273"/>
    <mergeCell ref="H275:J275"/>
    <mergeCell ref="H276:J276"/>
    <mergeCell ref="I136:J136"/>
    <mergeCell ref="I137:J137"/>
    <mergeCell ref="I138:J138"/>
    <mergeCell ref="I139:J139"/>
    <mergeCell ref="I140:J140"/>
    <mergeCell ref="H142:J142"/>
    <mergeCell ref="H143:J143"/>
    <mergeCell ref="I144:J144"/>
    <mergeCell ref="I145:J145"/>
    <mergeCell ref="I151:J151"/>
    <mergeCell ref="I152:J152"/>
    <mergeCell ref="I153:J153"/>
    <mergeCell ref="I154:J154"/>
    <mergeCell ref="I155:J155"/>
    <mergeCell ref="H157:J157"/>
    <mergeCell ref="H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H172:J172"/>
    <mergeCell ref="H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277:J277"/>
    <mergeCell ref="I278:J278"/>
    <mergeCell ref="I279:J279"/>
    <mergeCell ref="I280:J280"/>
    <mergeCell ref="I281:J281"/>
    <mergeCell ref="I282:J282"/>
    <mergeCell ref="I283:J283"/>
    <mergeCell ref="I83:J83"/>
    <mergeCell ref="H85:J85"/>
    <mergeCell ref="H86:J86"/>
    <mergeCell ref="I87:J87"/>
    <mergeCell ref="I88:J88"/>
    <mergeCell ref="I89:J89"/>
    <mergeCell ref="I90:J90"/>
    <mergeCell ref="I91:J91"/>
    <mergeCell ref="I92:J92"/>
    <mergeCell ref="I93:J93"/>
    <mergeCell ref="I94:J94"/>
    <mergeCell ref="I95:J95"/>
    <mergeCell ref="I96:J96"/>
    <mergeCell ref="I97:J97"/>
    <mergeCell ref="H99:J99"/>
    <mergeCell ref="H100:J100"/>
    <mergeCell ref="I101:J101"/>
    <mergeCell ref="I102:J102"/>
    <mergeCell ref="I103:J103"/>
    <mergeCell ref="I104:J104"/>
    <mergeCell ref="I105:J105"/>
    <mergeCell ref="I106:J106"/>
    <mergeCell ref="I107:J107"/>
    <mergeCell ref="I108:J108"/>
    <mergeCell ref="I109:J109"/>
    <mergeCell ref="I110:J110"/>
    <mergeCell ref="I111:J111"/>
    <mergeCell ref="H113:J113"/>
    <mergeCell ref="H114:J114"/>
    <mergeCell ref="I115:J115"/>
    <mergeCell ref="I116:J116"/>
    <mergeCell ref="I117:J117"/>
    <mergeCell ref="I118:J118"/>
    <mergeCell ref="I119:J119"/>
    <mergeCell ref="I120:J120"/>
    <mergeCell ref="I121:J121"/>
    <mergeCell ref="I122:J122"/>
    <mergeCell ref="I123:J123"/>
    <mergeCell ref="I124:J124"/>
    <mergeCell ref="I125:J125"/>
    <mergeCell ref="H127:J127"/>
    <mergeCell ref="H128:J128"/>
    <mergeCell ref="I129:J129"/>
    <mergeCell ref="I130:J130"/>
    <mergeCell ref="I131:J131"/>
    <mergeCell ref="I132:J132"/>
    <mergeCell ref="I133:J133"/>
    <mergeCell ref="I134:J134"/>
    <mergeCell ref="I135:J135"/>
    <mergeCell ref="H187:J187"/>
    <mergeCell ref="H188:J188"/>
    <mergeCell ref="I189:J189"/>
    <mergeCell ref="I190:J190"/>
    <mergeCell ref="I191:J191"/>
    <mergeCell ref="I192:J192"/>
    <mergeCell ref="I193:J193"/>
    <mergeCell ref="I194:J194"/>
    <mergeCell ref="I195:J195"/>
    <mergeCell ref="I196:J196"/>
    <mergeCell ref="I197:J197"/>
    <mergeCell ref="I198:J198"/>
    <mergeCell ref="I199:J199"/>
    <mergeCell ref="I200:J200"/>
    <mergeCell ref="H202:J202"/>
    <mergeCell ref="H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H217:J217"/>
    <mergeCell ref="H218:J218"/>
    <mergeCell ref="I219:J219"/>
    <mergeCell ref="I220:J220"/>
    <mergeCell ref="I221:J221"/>
    <mergeCell ref="I222:J222"/>
    <mergeCell ref="I223:J223"/>
    <mergeCell ref="I224:J224"/>
    <mergeCell ref="I225:J225"/>
    <mergeCell ref="I226:J226"/>
    <mergeCell ref="I227:J227"/>
    <mergeCell ref="I228:J228"/>
    <mergeCell ref="I229:J229"/>
    <mergeCell ref="I230:J230"/>
    <mergeCell ref="H232:J232"/>
    <mergeCell ref="H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H247:J247"/>
    <mergeCell ref="H248:J248"/>
    <mergeCell ref="I249:J249"/>
    <mergeCell ref="I250:J250"/>
    <mergeCell ref="I251:J251"/>
    <mergeCell ref="I252:J252"/>
    <mergeCell ref="I253:J253"/>
    <mergeCell ref="I254:J254"/>
    <mergeCell ref="I255:J255"/>
    <mergeCell ref="I256:J256"/>
    <mergeCell ref="I257:J257"/>
    <mergeCell ref="I258:J258"/>
    <mergeCell ref="I259:J259"/>
    <mergeCell ref="I260:J260"/>
    <mergeCell ref="I284:J284"/>
    <mergeCell ref="I285:J285"/>
    <mergeCell ref="I286:J286"/>
    <mergeCell ref="I287:J287"/>
    <mergeCell ref="I288:J288"/>
    <mergeCell ref="H290:J290"/>
    <mergeCell ref="H291:J291"/>
    <mergeCell ref="I299:J299"/>
    <mergeCell ref="I300:J300"/>
    <mergeCell ref="I301:J301"/>
    <mergeCell ref="I292:J292"/>
    <mergeCell ref="I293:J293"/>
    <mergeCell ref="I294:J294"/>
    <mergeCell ref="I295:J295"/>
    <mergeCell ref="I296:J296"/>
    <mergeCell ref="I297:J297"/>
    <mergeCell ref="I298:J298"/>
    <mergeCell ref="D463:E463"/>
    <mergeCell ref="D464:E464"/>
    <mergeCell ref="D465:E465"/>
    <mergeCell ref="D466:E466"/>
    <mergeCell ref="C468:E468"/>
    <mergeCell ref="C469:E469"/>
    <mergeCell ref="C470:E470"/>
    <mergeCell ref="C471:E471"/>
    <mergeCell ref="D472:E472"/>
    <mergeCell ref="D473:E473"/>
    <mergeCell ref="D474:E474"/>
    <mergeCell ref="D475:E475"/>
    <mergeCell ref="D476:E476"/>
    <mergeCell ref="D477:E477"/>
    <mergeCell ref="D478:E478"/>
    <mergeCell ref="D479:E479"/>
    <mergeCell ref="D480:E480"/>
    <mergeCell ref="D481:E481"/>
    <mergeCell ref="C483:E483"/>
    <mergeCell ref="C484:E484"/>
    <mergeCell ref="C485:E485"/>
    <mergeCell ref="C486:E486"/>
    <mergeCell ref="D487:E487"/>
    <mergeCell ref="D488:E488"/>
    <mergeCell ref="D489:E489"/>
    <mergeCell ref="D490:E490"/>
    <mergeCell ref="D491:E491"/>
    <mergeCell ref="D492:E492"/>
    <mergeCell ref="D388:E388"/>
    <mergeCell ref="D389:E389"/>
    <mergeCell ref="D390:E390"/>
    <mergeCell ref="D391:E391"/>
    <mergeCell ref="C393:E393"/>
    <mergeCell ref="C394:E394"/>
    <mergeCell ref="C395:E395"/>
    <mergeCell ref="C396:E396"/>
    <mergeCell ref="D397:E397"/>
    <mergeCell ref="D398:E398"/>
    <mergeCell ref="D399:E399"/>
    <mergeCell ref="D400:E400"/>
    <mergeCell ref="D401:E401"/>
    <mergeCell ref="D402:E402"/>
    <mergeCell ref="D403:E403"/>
    <mergeCell ref="D404:E404"/>
    <mergeCell ref="D405:E405"/>
    <mergeCell ref="D406:E406"/>
    <mergeCell ref="C408:E408"/>
    <mergeCell ref="C409:E409"/>
    <mergeCell ref="C410:E410"/>
    <mergeCell ref="C411:E411"/>
    <mergeCell ref="D412:E412"/>
    <mergeCell ref="D413:E413"/>
    <mergeCell ref="D414:E414"/>
    <mergeCell ref="D415:E415"/>
    <mergeCell ref="D416:E416"/>
    <mergeCell ref="D417:E417"/>
    <mergeCell ref="D418:E418"/>
    <mergeCell ref="D419:E419"/>
    <mergeCell ref="D420:E420"/>
    <mergeCell ref="D421:E421"/>
    <mergeCell ref="C423:E423"/>
    <mergeCell ref="C424:E424"/>
    <mergeCell ref="C425:E425"/>
    <mergeCell ref="C426:E426"/>
    <mergeCell ref="D427:E427"/>
    <mergeCell ref="D428:E428"/>
    <mergeCell ref="D429:E429"/>
    <mergeCell ref="D430:E430"/>
    <mergeCell ref="D431:E431"/>
    <mergeCell ref="D432:E432"/>
    <mergeCell ref="D493:E493"/>
    <mergeCell ref="D494:E494"/>
    <mergeCell ref="D495:E495"/>
    <mergeCell ref="C497:E497"/>
    <mergeCell ref="C498:E498"/>
    <mergeCell ref="C499:E499"/>
    <mergeCell ref="C500:E500"/>
    <mergeCell ref="D501:E501"/>
    <mergeCell ref="D502:E502"/>
    <mergeCell ref="D503:E503"/>
    <mergeCell ref="D504:E504"/>
    <mergeCell ref="D505:E505"/>
    <mergeCell ref="D506:E506"/>
    <mergeCell ref="D507:E507"/>
    <mergeCell ref="D508:E508"/>
    <mergeCell ref="D509:E509"/>
    <mergeCell ref="C511:E511"/>
    <mergeCell ref="C512:E512"/>
    <mergeCell ref="C513:E513"/>
    <mergeCell ref="C514:E514"/>
    <mergeCell ref="D515:E515"/>
    <mergeCell ref="D516:E516"/>
    <mergeCell ref="D517:E517"/>
    <mergeCell ref="D518:E518"/>
    <mergeCell ref="D519:E519"/>
    <mergeCell ref="D520:E520"/>
    <mergeCell ref="D521:E521"/>
    <mergeCell ref="D522:E522"/>
    <mergeCell ref="D523:E523"/>
    <mergeCell ref="D524:E524"/>
    <mergeCell ref="C526:E526"/>
    <mergeCell ref="C527:E527"/>
    <mergeCell ref="C528:E528"/>
    <mergeCell ref="C529:E529"/>
    <mergeCell ref="D530:E530"/>
    <mergeCell ref="D531:E531"/>
    <mergeCell ref="D532:E532"/>
    <mergeCell ref="D533:E533"/>
    <mergeCell ref="D534:E534"/>
    <mergeCell ref="D535:E535"/>
    <mergeCell ref="D536:E536"/>
    <mergeCell ref="D537:E537"/>
    <mergeCell ref="D538:E538"/>
    <mergeCell ref="D539:E539"/>
    <mergeCell ref="C541:E541"/>
    <mergeCell ref="C542:E542"/>
    <mergeCell ref="C543:E543"/>
    <mergeCell ref="C544:E544"/>
    <mergeCell ref="D545:E545"/>
    <mergeCell ref="D546:E546"/>
    <mergeCell ref="D547:E547"/>
    <mergeCell ref="D548:E548"/>
    <mergeCell ref="D549:E549"/>
    <mergeCell ref="D550:E550"/>
    <mergeCell ref="D551:E551"/>
    <mergeCell ref="D552:E552"/>
    <mergeCell ref="D553:E553"/>
    <mergeCell ref="D554:E554"/>
    <mergeCell ref="C556:E556"/>
    <mergeCell ref="C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C571:E571"/>
    <mergeCell ref="C572:E572"/>
    <mergeCell ref="C573:E573"/>
    <mergeCell ref="C574:E574"/>
    <mergeCell ref="D575:E575"/>
    <mergeCell ref="D576:E576"/>
    <mergeCell ref="D577:E577"/>
    <mergeCell ref="D578:E578"/>
    <mergeCell ref="D579:E579"/>
    <mergeCell ref="D580:E580"/>
    <mergeCell ref="D581:E581"/>
    <mergeCell ref="D582:E582"/>
    <mergeCell ref="D583:E583"/>
    <mergeCell ref="D584:E584"/>
    <mergeCell ref="C586:E586"/>
    <mergeCell ref="C587:E587"/>
    <mergeCell ref="C588:E588"/>
    <mergeCell ref="C589:E589"/>
    <mergeCell ref="D590:E590"/>
    <mergeCell ref="D591:E591"/>
    <mergeCell ref="D592:E592"/>
    <mergeCell ref="D593:E593"/>
    <mergeCell ref="D594:E594"/>
    <mergeCell ref="D595:E595"/>
    <mergeCell ref="D596:E596"/>
    <mergeCell ref="D597:E597"/>
    <mergeCell ref="D598:E598"/>
    <mergeCell ref="C600:E600"/>
    <mergeCell ref="C601:E601"/>
    <mergeCell ref="C602:E602"/>
    <mergeCell ref="C603:E603"/>
    <mergeCell ref="D604:E604"/>
    <mergeCell ref="D605:E605"/>
    <mergeCell ref="C660:E660"/>
    <mergeCell ref="C661:E661"/>
    <mergeCell ref="D662:E662"/>
    <mergeCell ref="D663:E663"/>
    <mergeCell ref="D664:E664"/>
    <mergeCell ref="D665:E665"/>
    <mergeCell ref="D666:E666"/>
    <mergeCell ref="D667:E667"/>
    <mergeCell ref="D668:E668"/>
    <mergeCell ref="D669:E669"/>
    <mergeCell ref="D670:E670"/>
    <mergeCell ref="D671:E671"/>
    <mergeCell ref="D672:E672"/>
    <mergeCell ref="C674:E674"/>
    <mergeCell ref="D682:E682"/>
    <mergeCell ref="D683:E683"/>
    <mergeCell ref="D684:E684"/>
    <mergeCell ref="D685:E685"/>
    <mergeCell ref="D686:E686"/>
    <mergeCell ref="D687:E687"/>
    <mergeCell ref="C675:E675"/>
    <mergeCell ref="C676:E676"/>
    <mergeCell ref="C677:E677"/>
    <mergeCell ref="C678:E678"/>
    <mergeCell ref="D679:E679"/>
    <mergeCell ref="D680:E680"/>
    <mergeCell ref="D681:E681"/>
    <mergeCell ref="D607:E607"/>
    <mergeCell ref="D608:E608"/>
    <mergeCell ref="D609:E609"/>
    <mergeCell ref="D610:E610"/>
    <mergeCell ref="D611:E611"/>
    <mergeCell ref="D612:E612"/>
    <mergeCell ref="D613:E613"/>
    <mergeCell ref="C615:E615"/>
    <mergeCell ref="C616:E616"/>
    <mergeCell ref="C617:E617"/>
    <mergeCell ref="C618:E618"/>
    <mergeCell ref="C619:E619"/>
    <mergeCell ref="D620:E620"/>
    <mergeCell ref="D621:E621"/>
    <mergeCell ref="D622:E622"/>
    <mergeCell ref="D623:E623"/>
    <mergeCell ref="D624:E624"/>
    <mergeCell ref="D625:E625"/>
    <mergeCell ref="D626:E626"/>
    <mergeCell ref="D627:E627"/>
    <mergeCell ref="D628:E628"/>
    <mergeCell ref="C630:E630"/>
    <mergeCell ref="C631:E631"/>
    <mergeCell ref="C632:E632"/>
    <mergeCell ref="C633:E633"/>
    <mergeCell ref="C634:E634"/>
    <mergeCell ref="D635:E635"/>
    <mergeCell ref="D636:E636"/>
    <mergeCell ref="D637:E637"/>
    <mergeCell ref="D638:E638"/>
    <mergeCell ref="D639:E639"/>
    <mergeCell ref="D640:E640"/>
    <mergeCell ref="D641:E641"/>
    <mergeCell ref="D642:E642"/>
    <mergeCell ref="D643:E643"/>
    <mergeCell ref="C645:E645"/>
    <mergeCell ref="C646:E646"/>
    <mergeCell ref="C647:E647"/>
    <mergeCell ref="C648:E648"/>
    <mergeCell ref="D649:E649"/>
    <mergeCell ref="D650:E650"/>
    <mergeCell ref="D651:E651"/>
    <mergeCell ref="D652:E652"/>
    <mergeCell ref="D653:E653"/>
    <mergeCell ref="D654:E654"/>
    <mergeCell ref="D655:E655"/>
    <mergeCell ref="D656:E656"/>
    <mergeCell ref="D657:E657"/>
    <mergeCell ref="D658:E658"/>
    <mergeCell ref="I502:J502"/>
    <mergeCell ref="I503:J503"/>
    <mergeCell ref="I504:J504"/>
    <mergeCell ref="I505:J505"/>
    <mergeCell ref="I506:J506"/>
    <mergeCell ref="I507:J507"/>
    <mergeCell ref="I508:J508"/>
    <mergeCell ref="I509:J509"/>
    <mergeCell ref="H511:J511"/>
    <mergeCell ref="H512:J512"/>
    <mergeCell ref="I513:J513"/>
    <mergeCell ref="I514:J514"/>
    <mergeCell ref="I515:J515"/>
    <mergeCell ref="I516:J516"/>
    <mergeCell ref="I517:J517"/>
    <mergeCell ref="I518:J518"/>
    <mergeCell ref="I519:J519"/>
    <mergeCell ref="I520:J520"/>
    <mergeCell ref="I521:J521"/>
    <mergeCell ref="I522:J522"/>
    <mergeCell ref="I523:J523"/>
    <mergeCell ref="I524:J524"/>
    <mergeCell ref="H526:J526"/>
    <mergeCell ref="H527:J527"/>
    <mergeCell ref="I528:J528"/>
    <mergeCell ref="I529:J529"/>
    <mergeCell ref="I530:J530"/>
    <mergeCell ref="I531:J531"/>
    <mergeCell ref="I532:J532"/>
    <mergeCell ref="I533:J533"/>
    <mergeCell ref="I534:J534"/>
    <mergeCell ref="I535:J535"/>
    <mergeCell ref="I536:J536"/>
    <mergeCell ref="I537:J537"/>
    <mergeCell ref="I538:J538"/>
    <mergeCell ref="I539:J539"/>
    <mergeCell ref="H541:J541"/>
    <mergeCell ref="H542:J542"/>
    <mergeCell ref="I543:J543"/>
    <mergeCell ref="I544:J544"/>
    <mergeCell ref="I545:J545"/>
    <mergeCell ref="I546:J546"/>
    <mergeCell ref="I547:J547"/>
    <mergeCell ref="I548:J548"/>
    <mergeCell ref="I549:J549"/>
    <mergeCell ref="I550:J550"/>
    <mergeCell ref="I551:J551"/>
    <mergeCell ref="I552:J552"/>
    <mergeCell ref="I553:J553"/>
    <mergeCell ref="I554:J554"/>
    <mergeCell ref="H556:J556"/>
    <mergeCell ref="H557:J557"/>
    <mergeCell ref="I558:J558"/>
    <mergeCell ref="I561:J561"/>
    <mergeCell ref="I559:J559"/>
    <mergeCell ref="I560:J560"/>
    <mergeCell ref="I562:J562"/>
    <mergeCell ref="I563:J563"/>
    <mergeCell ref="I564:J564"/>
    <mergeCell ref="I565:J565"/>
    <mergeCell ref="I566:J566"/>
    <mergeCell ref="I567:J567"/>
    <mergeCell ref="I568:J568"/>
    <mergeCell ref="I569:J569"/>
    <mergeCell ref="H571:J571"/>
    <mergeCell ref="H572:J572"/>
    <mergeCell ref="I573:J573"/>
    <mergeCell ref="I574:J574"/>
    <mergeCell ref="I575:J575"/>
    <mergeCell ref="I576:J576"/>
    <mergeCell ref="I577:J577"/>
    <mergeCell ref="I578:J578"/>
    <mergeCell ref="I579:J579"/>
    <mergeCell ref="I580:J580"/>
    <mergeCell ref="I581:J581"/>
    <mergeCell ref="I582:J582"/>
    <mergeCell ref="I583:J583"/>
    <mergeCell ref="I584:J584"/>
    <mergeCell ref="H586:J586"/>
    <mergeCell ref="H587:J587"/>
    <mergeCell ref="I588:J588"/>
    <mergeCell ref="I589:J589"/>
    <mergeCell ref="I590:J590"/>
    <mergeCell ref="I591:J591"/>
    <mergeCell ref="I592:J592"/>
    <mergeCell ref="I593:J593"/>
    <mergeCell ref="I594:J594"/>
    <mergeCell ref="I595:J595"/>
    <mergeCell ref="I596:J596"/>
    <mergeCell ref="I597:J597"/>
    <mergeCell ref="I598:J598"/>
    <mergeCell ref="H600:J600"/>
    <mergeCell ref="H601:J601"/>
    <mergeCell ref="I602:J602"/>
    <mergeCell ref="I603:J603"/>
    <mergeCell ref="I604:J604"/>
    <mergeCell ref="I605:J605"/>
    <mergeCell ref="I607:J607"/>
    <mergeCell ref="I653:J653"/>
    <mergeCell ref="I654:J654"/>
    <mergeCell ref="I655:J655"/>
    <mergeCell ref="I656:J656"/>
    <mergeCell ref="I657:J657"/>
    <mergeCell ref="I658:J658"/>
    <mergeCell ref="H660:J660"/>
    <mergeCell ref="H661:J661"/>
    <mergeCell ref="I662:J662"/>
    <mergeCell ref="I663:J663"/>
    <mergeCell ref="I664:J664"/>
    <mergeCell ref="I665:J665"/>
    <mergeCell ref="I666:J666"/>
    <mergeCell ref="I667:J667"/>
    <mergeCell ref="I668:J668"/>
    <mergeCell ref="I669:J669"/>
    <mergeCell ref="I670:J670"/>
    <mergeCell ref="I671:J671"/>
    <mergeCell ref="I672:J672"/>
    <mergeCell ref="H674:J674"/>
    <mergeCell ref="H675:J675"/>
    <mergeCell ref="H676:J676"/>
    <mergeCell ref="I677:J677"/>
    <mergeCell ref="I678:J678"/>
    <mergeCell ref="I679:J679"/>
    <mergeCell ref="I680:J680"/>
    <mergeCell ref="I681:J681"/>
    <mergeCell ref="I682:J682"/>
    <mergeCell ref="I608:J608"/>
    <mergeCell ref="I609:J609"/>
    <mergeCell ref="I610:J610"/>
    <mergeCell ref="I611:J611"/>
    <mergeCell ref="I612:J612"/>
    <mergeCell ref="I613:J613"/>
    <mergeCell ref="H615:J615"/>
    <mergeCell ref="H616:J616"/>
    <mergeCell ref="H617:J617"/>
    <mergeCell ref="I618:J618"/>
    <mergeCell ref="I619:J619"/>
    <mergeCell ref="I620:J620"/>
    <mergeCell ref="I621:J621"/>
    <mergeCell ref="I622:J622"/>
    <mergeCell ref="I623:J623"/>
    <mergeCell ref="I624:J624"/>
    <mergeCell ref="I625:J625"/>
    <mergeCell ref="I626:J626"/>
    <mergeCell ref="I627:J627"/>
    <mergeCell ref="I628:J628"/>
    <mergeCell ref="H630:J630"/>
    <mergeCell ref="H631:J631"/>
    <mergeCell ref="H632:J632"/>
    <mergeCell ref="I633:J633"/>
    <mergeCell ref="I634:J634"/>
    <mergeCell ref="I635:J635"/>
    <mergeCell ref="I636:J636"/>
    <mergeCell ref="I637:J637"/>
    <mergeCell ref="I638:J638"/>
    <mergeCell ref="I639:J639"/>
    <mergeCell ref="I640:J640"/>
    <mergeCell ref="I641:J641"/>
    <mergeCell ref="I642:J642"/>
    <mergeCell ref="I643:J643"/>
    <mergeCell ref="H645:J645"/>
    <mergeCell ref="H646:J646"/>
    <mergeCell ref="I647:J647"/>
    <mergeCell ref="I648:J648"/>
    <mergeCell ref="I649:J649"/>
    <mergeCell ref="I650:J650"/>
    <mergeCell ref="I651:J651"/>
    <mergeCell ref="I652:J652"/>
    <mergeCell ref="I683:J683"/>
    <mergeCell ref="I684:J684"/>
    <mergeCell ref="I685:J685"/>
    <mergeCell ref="I686:J686"/>
    <mergeCell ref="I687:J687"/>
    <mergeCell ref="I367:J367"/>
    <mergeCell ref="I368:J368"/>
    <mergeCell ref="I350:J350"/>
    <mergeCell ref="I351:J351"/>
    <mergeCell ref="I352:J352"/>
    <mergeCell ref="I353:J353"/>
    <mergeCell ref="I354:J354"/>
    <mergeCell ref="I355:J355"/>
    <mergeCell ref="I356:J356"/>
    <mergeCell ref="D329:E329"/>
    <mergeCell ref="D330:E330"/>
    <mergeCell ref="D331:E331"/>
    <mergeCell ref="C333:E333"/>
    <mergeCell ref="C334:E334"/>
    <mergeCell ref="C335:E335"/>
    <mergeCell ref="I336:J336"/>
    <mergeCell ref="C336:E336"/>
    <mergeCell ref="D337:E337"/>
    <mergeCell ref="D338:E338"/>
    <mergeCell ref="D339:E339"/>
    <mergeCell ref="D340:E340"/>
    <mergeCell ref="D341:E341"/>
    <mergeCell ref="D342:E342"/>
    <mergeCell ref="D343:E343"/>
    <mergeCell ref="I343:J343"/>
    <mergeCell ref="I344:J344"/>
    <mergeCell ref="I345:J345"/>
    <mergeCell ref="I346:J346"/>
    <mergeCell ref="H348:J348"/>
    <mergeCell ref="H349:J349"/>
    <mergeCell ref="D344:E344"/>
    <mergeCell ref="D345:E345"/>
    <mergeCell ref="D346:E346"/>
    <mergeCell ref="C348:E348"/>
    <mergeCell ref="C349:E349"/>
    <mergeCell ref="C350:E350"/>
    <mergeCell ref="C351:E351"/>
    <mergeCell ref="D352:E352"/>
    <mergeCell ref="D353:E353"/>
    <mergeCell ref="D354:E354"/>
    <mergeCell ref="D355:E355"/>
    <mergeCell ref="D356:E356"/>
    <mergeCell ref="D357:E357"/>
    <mergeCell ref="D358:E358"/>
    <mergeCell ref="D359:E359"/>
    <mergeCell ref="D360:E360"/>
    <mergeCell ref="D361:E361"/>
    <mergeCell ref="C363:E363"/>
    <mergeCell ref="C364:E364"/>
    <mergeCell ref="C365:E365"/>
    <mergeCell ref="C366:E366"/>
    <mergeCell ref="I372:J372"/>
    <mergeCell ref="I373:J373"/>
    <mergeCell ref="D367:E367"/>
    <mergeCell ref="D368:E368"/>
    <mergeCell ref="D369:E369"/>
    <mergeCell ref="I369:J369"/>
    <mergeCell ref="D370:E370"/>
    <mergeCell ref="I370:J370"/>
    <mergeCell ref="I371:J371"/>
    <mergeCell ref="I375:J375"/>
    <mergeCell ref="I376:J376"/>
    <mergeCell ref="D371:E371"/>
    <mergeCell ref="D372:E372"/>
    <mergeCell ref="D373:E373"/>
    <mergeCell ref="D374:E374"/>
    <mergeCell ref="I374:J374"/>
    <mergeCell ref="D375:E375"/>
    <mergeCell ref="D376:E376"/>
    <mergeCell ref="C378:E378"/>
    <mergeCell ref="H378:J378"/>
    <mergeCell ref="C379:E379"/>
    <mergeCell ref="H379:J379"/>
    <mergeCell ref="C380:E380"/>
    <mergeCell ref="I380:J380"/>
    <mergeCell ref="I381:J381"/>
    <mergeCell ref="C381:E381"/>
    <mergeCell ref="D382:E382"/>
    <mergeCell ref="D383:E383"/>
    <mergeCell ref="D384:E384"/>
    <mergeCell ref="D385:E385"/>
    <mergeCell ref="D386:E386"/>
    <mergeCell ref="D387:E387"/>
    <mergeCell ref="I382:J382"/>
    <mergeCell ref="I383:J383"/>
    <mergeCell ref="I384:J384"/>
    <mergeCell ref="I385:J385"/>
    <mergeCell ref="I386:J386"/>
    <mergeCell ref="I387:J387"/>
    <mergeCell ref="I388:J388"/>
    <mergeCell ref="I389:J389"/>
    <mergeCell ref="I390:J390"/>
    <mergeCell ref="I391:J391"/>
    <mergeCell ref="H393:J393"/>
    <mergeCell ref="H394:J394"/>
    <mergeCell ref="I395:J395"/>
    <mergeCell ref="I396:J396"/>
    <mergeCell ref="D433:E433"/>
    <mergeCell ref="D434:E434"/>
    <mergeCell ref="D435:E435"/>
    <mergeCell ref="D436:E436"/>
    <mergeCell ref="C438:E438"/>
    <mergeCell ref="C439:E439"/>
    <mergeCell ref="C440:E440"/>
    <mergeCell ref="C441:E441"/>
    <mergeCell ref="D442:E442"/>
    <mergeCell ref="D443:E443"/>
    <mergeCell ref="D444:E444"/>
    <mergeCell ref="D445:E445"/>
    <mergeCell ref="D446:E446"/>
    <mergeCell ref="D447:E447"/>
    <mergeCell ref="I397:J397"/>
    <mergeCell ref="I398:J398"/>
    <mergeCell ref="I399:J399"/>
    <mergeCell ref="I400:J400"/>
    <mergeCell ref="I401:J401"/>
    <mergeCell ref="I402:J402"/>
    <mergeCell ref="I403:J403"/>
    <mergeCell ref="I404:J404"/>
    <mergeCell ref="I405:J405"/>
    <mergeCell ref="I406:J406"/>
    <mergeCell ref="H408:J408"/>
    <mergeCell ref="H409:J409"/>
    <mergeCell ref="I410:J410"/>
    <mergeCell ref="I411:J411"/>
    <mergeCell ref="I412:J412"/>
    <mergeCell ref="I413:J413"/>
    <mergeCell ref="I414:J414"/>
    <mergeCell ref="I415:J415"/>
    <mergeCell ref="I416:J416"/>
    <mergeCell ref="I417:J417"/>
    <mergeCell ref="I418:J418"/>
    <mergeCell ref="I419:J419"/>
    <mergeCell ref="I420:J420"/>
    <mergeCell ref="I421:J421"/>
    <mergeCell ref="H423:J423"/>
    <mergeCell ref="H424:J424"/>
    <mergeCell ref="I425:J425"/>
    <mergeCell ref="I426:J426"/>
    <mergeCell ref="I427:J427"/>
    <mergeCell ref="I428:J428"/>
    <mergeCell ref="I429:J429"/>
    <mergeCell ref="I430:J430"/>
    <mergeCell ref="I431:J431"/>
    <mergeCell ref="I432:J432"/>
    <mergeCell ref="I433:J433"/>
    <mergeCell ref="I434:J434"/>
    <mergeCell ref="I435:J435"/>
    <mergeCell ref="I436:J436"/>
    <mergeCell ref="H438:J438"/>
    <mergeCell ref="H439:J439"/>
    <mergeCell ref="I440:J440"/>
    <mergeCell ref="I441:J441"/>
    <mergeCell ref="I442:J442"/>
    <mergeCell ref="I443:J443"/>
    <mergeCell ref="I444:J444"/>
    <mergeCell ref="I445:J445"/>
    <mergeCell ref="I446:J446"/>
    <mergeCell ref="I447:J447"/>
    <mergeCell ref="I448:J448"/>
    <mergeCell ref="D448:E448"/>
    <mergeCell ref="D449:E449"/>
    <mergeCell ref="D450:E450"/>
    <mergeCell ref="D451:E451"/>
    <mergeCell ref="C453:E453"/>
    <mergeCell ref="C454:E454"/>
    <mergeCell ref="C455:E455"/>
    <mergeCell ref="C456:E456"/>
    <mergeCell ref="D457:E457"/>
    <mergeCell ref="D458:E458"/>
    <mergeCell ref="D459:E459"/>
    <mergeCell ref="D460:E460"/>
    <mergeCell ref="D461:E461"/>
    <mergeCell ref="D462:E462"/>
    <mergeCell ref="I449:J449"/>
    <mergeCell ref="I450:J450"/>
    <mergeCell ref="I451:J451"/>
    <mergeCell ref="H453:J453"/>
    <mergeCell ref="H454:J454"/>
    <mergeCell ref="I455:J455"/>
    <mergeCell ref="I456:J456"/>
    <mergeCell ref="I458:J458"/>
    <mergeCell ref="I459:J459"/>
    <mergeCell ref="I460:J460"/>
    <mergeCell ref="I461:J461"/>
    <mergeCell ref="I462:J462"/>
    <mergeCell ref="I463:J463"/>
    <mergeCell ref="I457:J457"/>
    <mergeCell ref="I464:J464"/>
    <mergeCell ref="I465:J465"/>
    <mergeCell ref="I466:J466"/>
    <mergeCell ref="H468:J468"/>
    <mergeCell ref="H469:J469"/>
    <mergeCell ref="I470:J470"/>
    <mergeCell ref="I471:J471"/>
    <mergeCell ref="I472:J472"/>
    <mergeCell ref="I473:J473"/>
    <mergeCell ref="I474:J474"/>
    <mergeCell ref="I475:J475"/>
    <mergeCell ref="I476:J476"/>
    <mergeCell ref="I477:J477"/>
    <mergeCell ref="I478:J478"/>
    <mergeCell ref="I479:J479"/>
    <mergeCell ref="I480:J480"/>
    <mergeCell ref="I481:J481"/>
    <mergeCell ref="H483:J483"/>
    <mergeCell ref="H484:J484"/>
    <mergeCell ref="I485:J485"/>
    <mergeCell ref="I486:J486"/>
    <mergeCell ref="I487:J487"/>
    <mergeCell ref="I488:J488"/>
    <mergeCell ref="I489:J489"/>
    <mergeCell ref="I490:J490"/>
    <mergeCell ref="I491:J491"/>
    <mergeCell ref="I492:J492"/>
    <mergeCell ref="I493:J493"/>
    <mergeCell ref="I494:J494"/>
    <mergeCell ref="I495:J495"/>
    <mergeCell ref="H497:J497"/>
    <mergeCell ref="H498:J498"/>
    <mergeCell ref="I499:J499"/>
    <mergeCell ref="I500:J500"/>
    <mergeCell ref="I501:J501"/>
    <mergeCell ref="S398:T398"/>
    <mergeCell ref="S399:T399"/>
    <mergeCell ref="C407:Z407"/>
    <mergeCell ref="M408:O408"/>
    <mergeCell ref="R408:T408"/>
    <mergeCell ref="M409:O409"/>
    <mergeCell ref="N410:O410"/>
    <mergeCell ref="W410:Y410"/>
    <mergeCell ref="R409:T409"/>
    <mergeCell ref="S410:T410"/>
    <mergeCell ref="N411:O411"/>
    <mergeCell ref="S411:T411"/>
    <mergeCell ref="W411:Y411"/>
    <mergeCell ref="S412:T412"/>
    <mergeCell ref="X412:Y412"/>
    <mergeCell ref="X416:Y416"/>
    <mergeCell ref="X417:Y417"/>
    <mergeCell ref="X418:Y418"/>
    <mergeCell ref="X419:Y419"/>
    <mergeCell ref="X420:Y420"/>
    <mergeCell ref="X421:Y421"/>
    <mergeCell ref="C422:Z422"/>
    <mergeCell ref="N412:O412"/>
    <mergeCell ref="N413:O413"/>
    <mergeCell ref="S413:T413"/>
    <mergeCell ref="X413:Y413"/>
    <mergeCell ref="N414:O414"/>
    <mergeCell ref="X414:Y414"/>
    <mergeCell ref="X415:Y415"/>
    <mergeCell ref="S414:T414"/>
    <mergeCell ref="S415:T415"/>
    <mergeCell ref="S416:T416"/>
    <mergeCell ref="S417:T417"/>
    <mergeCell ref="S418:T418"/>
    <mergeCell ref="S419:T419"/>
    <mergeCell ref="S420:T420"/>
    <mergeCell ref="S427:T427"/>
    <mergeCell ref="X434:Y434"/>
    <mergeCell ref="X435:Y435"/>
    <mergeCell ref="X436:Y436"/>
    <mergeCell ref="C437:Z437"/>
    <mergeCell ref="X427:Y427"/>
    <mergeCell ref="X428:Y428"/>
    <mergeCell ref="X429:Y429"/>
    <mergeCell ref="X430:Y430"/>
    <mergeCell ref="X431:Y431"/>
    <mergeCell ref="X432:Y432"/>
    <mergeCell ref="X433:Y433"/>
    <mergeCell ref="W438:Y438"/>
    <mergeCell ref="W439:Y439"/>
    <mergeCell ref="W440:Y440"/>
    <mergeCell ref="W441:Y441"/>
    <mergeCell ref="X442:Y442"/>
    <mergeCell ref="X443:Y443"/>
    <mergeCell ref="X444:Y444"/>
    <mergeCell ref="X445:Y445"/>
    <mergeCell ref="X446:Y446"/>
    <mergeCell ref="X447:Y447"/>
    <mergeCell ref="X448:Y448"/>
    <mergeCell ref="X449:Y449"/>
    <mergeCell ref="X450:Y450"/>
    <mergeCell ref="C452:Z452"/>
    <mergeCell ref="X466:Y466"/>
    <mergeCell ref="C467:Z467"/>
    <mergeCell ref="X459:Y459"/>
    <mergeCell ref="X460:Y460"/>
    <mergeCell ref="X461:Y461"/>
    <mergeCell ref="X462:Y462"/>
    <mergeCell ref="X463:Y463"/>
    <mergeCell ref="X464:Y464"/>
    <mergeCell ref="X465:Y465"/>
    <mergeCell ref="W468:Y468"/>
    <mergeCell ref="W469:Y469"/>
    <mergeCell ref="W470:Y470"/>
    <mergeCell ref="W471:Y471"/>
    <mergeCell ref="X472:Y472"/>
    <mergeCell ref="X473:Y473"/>
    <mergeCell ref="X474:Y474"/>
    <mergeCell ref="X475:Y475"/>
    <mergeCell ref="X476:Y476"/>
    <mergeCell ref="X477:Y477"/>
    <mergeCell ref="X478:Y478"/>
    <mergeCell ref="X479:Y479"/>
    <mergeCell ref="X480:Y480"/>
    <mergeCell ref="C482:Z482"/>
    <mergeCell ref="N456:O456"/>
    <mergeCell ref="N457:O457"/>
    <mergeCell ref="S456:T456"/>
    <mergeCell ref="S457:T457"/>
    <mergeCell ref="X451:Y451"/>
    <mergeCell ref="W453:Y453"/>
    <mergeCell ref="W454:Y454"/>
    <mergeCell ref="W455:Y455"/>
    <mergeCell ref="W456:Y456"/>
    <mergeCell ref="X457:Y457"/>
    <mergeCell ref="X458:Y458"/>
    <mergeCell ref="S384:T384"/>
    <mergeCell ref="S385:T385"/>
    <mergeCell ref="X385:Y385"/>
    <mergeCell ref="N381:O381"/>
    <mergeCell ref="N382:O382"/>
    <mergeCell ref="S382:T382"/>
    <mergeCell ref="N383:O383"/>
    <mergeCell ref="S383:T383"/>
    <mergeCell ref="N384:O384"/>
    <mergeCell ref="N385:O385"/>
    <mergeCell ref="X387:Y387"/>
    <mergeCell ref="X388:Y388"/>
    <mergeCell ref="X390:Y390"/>
    <mergeCell ref="X391:Y391"/>
    <mergeCell ref="S388:T388"/>
    <mergeCell ref="S389:T389"/>
    <mergeCell ref="S390:T390"/>
    <mergeCell ref="S391:T391"/>
    <mergeCell ref="N386:O386"/>
    <mergeCell ref="S386:T386"/>
    <mergeCell ref="X386:Y386"/>
    <mergeCell ref="N387:O387"/>
    <mergeCell ref="S387:T387"/>
    <mergeCell ref="N388:O388"/>
    <mergeCell ref="X389:Y389"/>
    <mergeCell ref="N389:O389"/>
    <mergeCell ref="N390:O390"/>
    <mergeCell ref="N391:O391"/>
    <mergeCell ref="C392:Z392"/>
    <mergeCell ref="M393:O393"/>
    <mergeCell ref="W393:Y393"/>
    <mergeCell ref="M394:O394"/>
    <mergeCell ref="W394:Y394"/>
    <mergeCell ref="W408:Y408"/>
    <mergeCell ref="W409:Y409"/>
    <mergeCell ref="W425:Y425"/>
    <mergeCell ref="W426:Y426"/>
    <mergeCell ref="S421:T421"/>
    <mergeCell ref="R423:T423"/>
    <mergeCell ref="W423:Y423"/>
    <mergeCell ref="R424:T424"/>
    <mergeCell ref="W424:Y424"/>
    <mergeCell ref="S425:T425"/>
    <mergeCell ref="S426:T426"/>
    <mergeCell ref="N415:O415"/>
    <mergeCell ref="N416:O416"/>
    <mergeCell ref="N417:O417"/>
    <mergeCell ref="N418:O418"/>
    <mergeCell ref="N419:O419"/>
    <mergeCell ref="N420:O420"/>
    <mergeCell ref="N421:O421"/>
    <mergeCell ref="M423:O423"/>
    <mergeCell ref="M424:O424"/>
    <mergeCell ref="N425:O425"/>
    <mergeCell ref="N426:O426"/>
    <mergeCell ref="N427:O427"/>
    <mergeCell ref="N428:O428"/>
    <mergeCell ref="N429:O429"/>
    <mergeCell ref="N430:O430"/>
    <mergeCell ref="N431:O431"/>
    <mergeCell ref="N432:O432"/>
    <mergeCell ref="N433:O433"/>
    <mergeCell ref="N434:O434"/>
    <mergeCell ref="N435:O435"/>
    <mergeCell ref="N436:O436"/>
    <mergeCell ref="M438:O438"/>
    <mergeCell ref="M439:O439"/>
    <mergeCell ref="N440:O440"/>
    <mergeCell ref="N441:O441"/>
    <mergeCell ref="N442:O442"/>
    <mergeCell ref="N443:O443"/>
    <mergeCell ref="N444:O444"/>
    <mergeCell ref="N445:O445"/>
    <mergeCell ref="N446:O446"/>
    <mergeCell ref="N447:O447"/>
    <mergeCell ref="N448:O448"/>
    <mergeCell ref="N449:O449"/>
    <mergeCell ref="N450:O450"/>
    <mergeCell ref="N451:O451"/>
    <mergeCell ref="M453:O453"/>
    <mergeCell ref="M454:O454"/>
    <mergeCell ref="N455:O455"/>
    <mergeCell ref="N458:O458"/>
    <mergeCell ref="N459:O459"/>
    <mergeCell ref="N460:O460"/>
    <mergeCell ref="N461:O461"/>
    <mergeCell ref="N462:O462"/>
    <mergeCell ref="N463:O463"/>
    <mergeCell ref="N464:O464"/>
    <mergeCell ref="N465:O465"/>
    <mergeCell ref="N466:O466"/>
    <mergeCell ref="S428:T428"/>
    <mergeCell ref="S429:T429"/>
    <mergeCell ref="S430:T430"/>
    <mergeCell ref="S431:T431"/>
    <mergeCell ref="S432:T432"/>
    <mergeCell ref="S433:T433"/>
    <mergeCell ref="S434:T434"/>
    <mergeCell ref="S435:T435"/>
    <mergeCell ref="S436:T436"/>
    <mergeCell ref="R438:T438"/>
    <mergeCell ref="R439:T439"/>
    <mergeCell ref="S440:T440"/>
    <mergeCell ref="S441:T441"/>
    <mergeCell ref="S442:T442"/>
    <mergeCell ref="S443:T443"/>
    <mergeCell ref="S444:T444"/>
    <mergeCell ref="S445:T445"/>
    <mergeCell ref="S446:T446"/>
    <mergeCell ref="S447:T447"/>
    <mergeCell ref="S448:T448"/>
    <mergeCell ref="S449:T449"/>
    <mergeCell ref="S450:T450"/>
    <mergeCell ref="S451:T451"/>
    <mergeCell ref="R453:T453"/>
    <mergeCell ref="R454:T454"/>
    <mergeCell ref="S455:T455"/>
    <mergeCell ref="S458:T458"/>
    <mergeCell ref="S459:T459"/>
    <mergeCell ref="S460:T460"/>
    <mergeCell ref="S461:T461"/>
    <mergeCell ref="S462:T462"/>
    <mergeCell ref="S463:T463"/>
    <mergeCell ref="S464:T464"/>
    <mergeCell ref="S465:T465"/>
    <mergeCell ref="S466:T466"/>
    <mergeCell ref="R468:T468"/>
    <mergeCell ref="R469:T469"/>
    <mergeCell ref="S470:T470"/>
    <mergeCell ref="S471:T471"/>
    <mergeCell ref="S472:T472"/>
    <mergeCell ref="S473:T473"/>
    <mergeCell ref="S474:T474"/>
    <mergeCell ref="S475:T475"/>
    <mergeCell ref="S476:T476"/>
    <mergeCell ref="S477:T477"/>
    <mergeCell ref="S478:T478"/>
    <mergeCell ref="S479:T479"/>
    <mergeCell ref="N528:O528"/>
    <mergeCell ref="N529:O529"/>
    <mergeCell ref="N530:O530"/>
    <mergeCell ref="N531:O531"/>
    <mergeCell ref="N532:O532"/>
    <mergeCell ref="N533:O533"/>
    <mergeCell ref="N534:O534"/>
    <mergeCell ref="N520:O520"/>
    <mergeCell ref="N521:O521"/>
    <mergeCell ref="N522:O522"/>
    <mergeCell ref="N523:O523"/>
    <mergeCell ref="N524:O524"/>
    <mergeCell ref="M526:O526"/>
    <mergeCell ref="M527:O527"/>
    <mergeCell ref="M468:O468"/>
    <mergeCell ref="M469:O469"/>
    <mergeCell ref="N470:O470"/>
    <mergeCell ref="N471:O471"/>
    <mergeCell ref="N472:O472"/>
    <mergeCell ref="N473:O473"/>
    <mergeCell ref="N474:O474"/>
    <mergeCell ref="N475:O475"/>
    <mergeCell ref="N476:O476"/>
    <mergeCell ref="N477:O477"/>
    <mergeCell ref="N478:O478"/>
    <mergeCell ref="N479:O479"/>
    <mergeCell ref="N480:O480"/>
    <mergeCell ref="N481:O481"/>
    <mergeCell ref="M483:O483"/>
    <mergeCell ref="M484:O484"/>
    <mergeCell ref="N485:O485"/>
    <mergeCell ref="N486:O486"/>
    <mergeCell ref="N487:O487"/>
    <mergeCell ref="N488:O488"/>
    <mergeCell ref="N489:O489"/>
    <mergeCell ref="N490:O490"/>
    <mergeCell ref="N491:O491"/>
    <mergeCell ref="N492:O492"/>
    <mergeCell ref="N493:O493"/>
    <mergeCell ref="N494:O494"/>
    <mergeCell ref="N495:O495"/>
    <mergeCell ref="M497:O497"/>
    <mergeCell ref="M498:O498"/>
    <mergeCell ref="N499:O499"/>
    <mergeCell ref="N500:O500"/>
    <mergeCell ref="N501:O501"/>
    <mergeCell ref="N502:O502"/>
    <mergeCell ref="N503:O503"/>
    <mergeCell ref="N504:O504"/>
    <mergeCell ref="N505:O505"/>
    <mergeCell ref="N506:O506"/>
    <mergeCell ref="N507:O507"/>
    <mergeCell ref="N508:O508"/>
    <mergeCell ref="N509:O509"/>
    <mergeCell ref="M511:O511"/>
    <mergeCell ref="M512:O512"/>
    <mergeCell ref="N513:O513"/>
    <mergeCell ref="N514:O514"/>
    <mergeCell ref="N515:O515"/>
    <mergeCell ref="N516:O516"/>
    <mergeCell ref="N517:O517"/>
    <mergeCell ref="N518:O518"/>
    <mergeCell ref="N519:O519"/>
    <mergeCell ref="X533:Y533"/>
    <mergeCell ref="X534:Y534"/>
    <mergeCell ref="W526:Y526"/>
    <mergeCell ref="W527:Y527"/>
    <mergeCell ref="W528:Y528"/>
    <mergeCell ref="W529:Y529"/>
    <mergeCell ref="X530:Y530"/>
    <mergeCell ref="X531:Y531"/>
    <mergeCell ref="X532:Y532"/>
    <mergeCell ref="S639:T639"/>
    <mergeCell ref="S640:T640"/>
    <mergeCell ref="S641:T641"/>
    <mergeCell ref="R633:T633"/>
    <mergeCell ref="R634:T634"/>
    <mergeCell ref="S635:T635"/>
    <mergeCell ref="S636:T636"/>
    <mergeCell ref="S637:T637"/>
    <mergeCell ref="S638:T638"/>
    <mergeCell ref="X639:Y639"/>
    <mergeCell ref="M615:O615"/>
    <mergeCell ref="R615:T615"/>
    <mergeCell ref="W615:Y615"/>
    <mergeCell ref="M616:O616"/>
    <mergeCell ref="R616:T616"/>
    <mergeCell ref="N617:O617"/>
    <mergeCell ref="X618:Y618"/>
    <mergeCell ref="R617:T617"/>
    <mergeCell ref="R618:T618"/>
    <mergeCell ref="R619:T619"/>
    <mergeCell ref="S620:T620"/>
    <mergeCell ref="S621:T621"/>
    <mergeCell ref="S622:T622"/>
    <mergeCell ref="S623:T623"/>
    <mergeCell ref="X624:Y624"/>
    <mergeCell ref="X625:Y625"/>
    <mergeCell ref="X626:Y626"/>
    <mergeCell ref="X627:Y627"/>
    <mergeCell ref="R628:Z628"/>
    <mergeCell ref="C629:Z629"/>
    <mergeCell ref="N618:O618"/>
    <mergeCell ref="N619:O619"/>
    <mergeCell ref="N620:O620"/>
    <mergeCell ref="N621:O621"/>
    <mergeCell ref="N622:O622"/>
    <mergeCell ref="N623:O623"/>
    <mergeCell ref="N624:O624"/>
    <mergeCell ref="W616:Y616"/>
    <mergeCell ref="W617:Y617"/>
    <mergeCell ref="X619:Y619"/>
    <mergeCell ref="X620:Y620"/>
    <mergeCell ref="X621:Y621"/>
    <mergeCell ref="X622:Y622"/>
    <mergeCell ref="X623:Y623"/>
    <mergeCell ref="S624:T624"/>
    <mergeCell ref="S625:T625"/>
    <mergeCell ref="S626:T626"/>
    <mergeCell ref="S627:T627"/>
    <mergeCell ref="R630:T630"/>
    <mergeCell ref="R631:T631"/>
    <mergeCell ref="R632:T632"/>
    <mergeCell ref="X640:Y640"/>
    <mergeCell ref="X641:Y641"/>
    <mergeCell ref="N685:O685"/>
    <mergeCell ref="N686:O686"/>
    <mergeCell ref="N687:O687"/>
    <mergeCell ref="N678:O678"/>
    <mergeCell ref="N679:O679"/>
    <mergeCell ref="N680:O680"/>
    <mergeCell ref="N681:O681"/>
    <mergeCell ref="N682:O682"/>
    <mergeCell ref="N683:O683"/>
    <mergeCell ref="N684:O684"/>
    <mergeCell ref="N625:O625"/>
    <mergeCell ref="N626:O626"/>
    <mergeCell ref="N627:O627"/>
    <mergeCell ref="N628:O628"/>
    <mergeCell ref="M630:O630"/>
    <mergeCell ref="M631:O631"/>
    <mergeCell ref="N632:O632"/>
    <mergeCell ref="N633:O633"/>
    <mergeCell ref="N634:O634"/>
    <mergeCell ref="N635:O635"/>
    <mergeCell ref="N636:O636"/>
    <mergeCell ref="N637:O637"/>
    <mergeCell ref="N638:O638"/>
    <mergeCell ref="N639:O639"/>
    <mergeCell ref="N640:O640"/>
    <mergeCell ref="N641:O641"/>
    <mergeCell ref="N642:O642"/>
    <mergeCell ref="N643:O643"/>
    <mergeCell ref="M645:O645"/>
    <mergeCell ref="M646:O646"/>
    <mergeCell ref="N647:O647"/>
    <mergeCell ref="N648:O648"/>
    <mergeCell ref="N649:O649"/>
    <mergeCell ref="N650:O650"/>
    <mergeCell ref="N651:O651"/>
    <mergeCell ref="N652:O652"/>
    <mergeCell ref="N653:O653"/>
    <mergeCell ref="N654:O654"/>
    <mergeCell ref="N655:O655"/>
    <mergeCell ref="N656:O656"/>
    <mergeCell ref="N657:O657"/>
    <mergeCell ref="N658:O658"/>
    <mergeCell ref="M660:O660"/>
    <mergeCell ref="M661:O661"/>
    <mergeCell ref="N662:O662"/>
    <mergeCell ref="N663:O663"/>
    <mergeCell ref="N664:O664"/>
    <mergeCell ref="N665:O665"/>
    <mergeCell ref="N666:O666"/>
    <mergeCell ref="N667:O667"/>
    <mergeCell ref="N668:O668"/>
    <mergeCell ref="N669:O669"/>
    <mergeCell ref="N670:O670"/>
    <mergeCell ref="N671:O671"/>
    <mergeCell ref="N672:O672"/>
    <mergeCell ref="M674:O674"/>
    <mergeCell ref="M675:O675"/>
    <mergeCell ref="N676:O676"/>
    <mergeCell ref="N677:O677"/>
    <mergeCell ref="W600:Y600"/>
    <mergeCell ref="W601:Y601"/>
    <mergeCell ref="X591:Y591"/>
    <mergeCell ref="X592:Y592"/>
    <mergeCell ref="X593:Y593"/>
    <mergeCell ref="X594:Y594"/>
    <mergeCell ref="X595:Y595"/>
    <mergeCell ref="X596:Y596"/>
    <mergeCell ref="X597:Y597"/>
    <mergeCell ref="S603:T603"/>
    <mergeCell ref="S604:T604"/>
    <mergeCell ref="M600:O600"/>
    <mergeCell ref="M601:O601"/>
    <mergeCell ref="N602:O602"/>
    <mergeCell ref="W602:Y602"/>
    <mergeCell ref="N603:O603"/>
    <mergeCell ref="W603:Y603"/>
    <mergeCell ref="X604:Y604"/>
    <mergeCell ref="S607:T607"/>
    <mergeCell ref="S608:T608"/>
    <mergeCell ref="N604:O604"/>
    <mergeCell ref="N605:O605"/>
    <mergeCell ref="X605:Y605"/>
    <mergeCell ref="N606:O606"/>
    <mergeCell ref="N607:O607"/>
    <mergeCell ref="X607:Y607"/>
    <mergeCell ref="X608:Y608"/>
    <mergeCell ref="S610:T610"/>
    <mergeCell ref="S611:T611"/>
    <mergeCell ref="N608:O608"/>
    <mergeCell ref="N609:O609"/>
    <mergeCell ref="S609:T609"/>
    <mergeCell ref="X609:Y609"/>
    <mergeCell ref="N610:O610"/>
    <mergeCell ref="X610:Y610"/>
    <mergeCell ref="X611:Y611"/>
    <mergeCell ref="X584:Y584"/>
    <mergeCell ref="C585:Z585"/>
    <mergeCell ref="M586:O586"/>
    <mergeCell ref="R586:T586"/>
    <mergeCell ref="W586:Y586"/>
    <mergeCell ref="R587:T587"/>
    <mergeCell ref="W587:Y587"/>
    <mergeCell ref="M587:O587"/>
    <mergeCell ref="N588:O588"/>
    <mergeCell ref="S588:T588"/>
    <mergeCell ref="W588:Y588"/>
    <mergeCell ref="N589:O589"/>
    <mergeCell ref="W589:Y589"/>
    <mergeCell ref="X590:Y590"/>
    <mergeCell ref="S596:T596"/>
    <mergeCell ref="S597:T597"/>
    <mergeCell ref="R600:T600"/>
    <mergeCell ref="R601:T601"/>
    <mergeCell ref="S602:T602"/>
    <mergeCell ref="S605:T605"/>
    <mergeCell ref="S589:T589"/>
    <mergeCell ref="S590:T590"/>
    <mergeCell ref="S591:T591"/>
    <mergeCell ref="S592:T592"/>
    <mergeCell ref="S593:T593"/>
    <mergeCell ref="S594:T594"/>
    <mergeCell ref="S595:T595"/>
    <mergeCell ref="N597:O597"/>
    <mergeCell ref="N598:O598"/>
    <mergeCell ref="R598:Z598"/>
    <mergeCell ref="C599:Z599"/>
    <mergeCell ref="N590:O590"/>
    <mergeCell ref="N591:O591"/>
    <mergeCell ref="N592:O592"/>
    <mergeCell ref="N593:O593"/>
    <mergeCell ref="N594:O594"/>
    <mergeCell ref="N595:O595"/>
    <mergeCell ref="N596:O596"/>
    <mergeCell ref="N611:O611"/>
    <mergeCell ref="N612:O612"/>
    <mergeCell ref="S612:T612"/>
    <mergeCell ref="X612:Y612"/>
    <mergeCell ref="N613:O613"/>
    <mergeCell ref="R613:Z613"/>
    <mergeCell ref="C614:Z614"/>
    <mergeCell ref="W630:Y630"/>
    <mergeCell ref="W631:Y631"/>
    <mergeCell ref="W632:Y632"/>
    <mergeCell ref="X633:Y633"/>
    <mergeCell ref="X634:Y634"/>
    <mergeCell ref="X635:Y635"/>
    <mergeCell ref="X636:Y636"/>
    <mergeCell ref="X637:Y637"/>
    <mergeCell ref="X638:Y638"/>
    <mergeCell ref="S642:T642"/>
    <mergeCell ref="X642:Y642"/>
    <mergeCell ref="R643:Z643"/>
    <mergeCell ref="C644:Z644"/>
    <mergeCell ref="W645:Y645"/>
    <mergeCell ref="W648:Y648"/>
    <mergeCell ref="X649:Y649"/>
    <mergeCell ref="R645:T645"/>
    <mergeCell ref="R646:T646"/>
    <mergeCell ref="W646:Y646"/>
    <mergeCell ref="S647:T647"/>
    <mergeCell ref="W647:Y647"/>
    <mergeCell ref="S648:T648"/>
    <mergeCell ref="S649:T649"/>
    <mergeCell ref="X654:Y654"/>
    <mergeCell ref="X655:Y655"/>
    <mergeCell ref="X656:Y656"/>
    <mergeCell ref="X657:Y657"/>
    <mergeCell ref="X658:Y658"/>
    <mergeCell ref="C659:Z659"/>
    <mergeCell ref="W660:Y660"/>
    <mergeCell ref="W661:Y661"/>
    <mergeCell ref="S650:T650"/>
    <mergeCell ref="X650:Y650"/>
    <mergeCell ref="S651:T651"/>
    <mergeCell ref="X651:Y651"/>
    <mergeCell ref="S652:T652"/>
    <mergeCell ref="X652:Y652"/>
    <mergeCell ref="X653:Y653"/>
    <mergeCell ref="S653:T653"/>
    <mergeCell ref="S654:T654"/>
    <mergeCell ref="S655:T655"/>
    <mergeCell ref="S656:T656"/>
    <mergeCell ref="S657:T657"/>
    <mergeCell ref="S658:T658"/>
    <mergeCell ref="R660:T660"/>
    <mergeCell ref="S685:T685"/>
    <mergeCell ref="S686:T686"/>
    <mergeCell ref="X686:Y686"/>
    <mergeCell ref="R687:Z687"/>
    <mergeCell ref="B689:AA689"/>
    <mergeCell ref="S682:T682"/>
    <mergeCell ref="X682:Y682"/>
    <mergeCell ref="S683:T683"/>
    <mergeCell ref="X683:Y683"/>
    <mergeCell ref="S684:T684"/>
    <mergeCell ref="X684:Y684"/>
    <mergeCell ref="X685:Y685"/>
    <mergeCell ref="X664:Y664"/>
    <mergeCell ref="X665:Y665"/>
    <mergeCell ref="R661:T661"/>
    <mergeCell ref="S662:T662"/>
    <mergeCell ref="X662:Y662"/>
    <mergeCell ref="S663:T663"/>
    <mergeCell ref="X663:Y663"/>
    <mergeCell ref="S664:T664"/>
    <mergeCell ref="S665:T665"/>
    <mergeCell ref="X670:Y670"/>
    <mergeCell ref="X671:Y671"/>
    <mergeCell ref="X672:Y672"/>
    <mergeCell ref="C673:Z673"/>
    <mergeCell ref="W674:Y674"/>
    <mergeCell ref="W675:Y675"/>
    <mergeCell ref="W676:Y676"/>
    <mergeCell ref="X677:Y677"/>
    <mergeCell ref="S666:T666"/>
    <mergeCell ref="X666:Y666"/>
    <mergeCell ref="S667:T667"/>
    <mergeCell ref="X667:Y667"/>
    <mergeCell ref="S668:T668"/>
    <mergeCell ref="X668:Y668"/>
    <mergeCell ref="X669:Y669"/>
    <mergeCell ref="S669:T669"/>
    <mergeCell ref="S670:T670"/>
    <mergeCell ref="S671:T671"/>
    <mergeCell ref="S672:T672"/>
    <mergeCell ref="R674:T674"/>
    <mergeCell ref="R675:T675"/>
    <mergeCell ref="R676:T676"/>
    <mergeCell ref="X680:Y680"/>
    <mergeCell ref="X681:Y681"/>
    <mergeCell ref="R677:T677"/>
    <mergeCell ref="R678:T678"/>
    <mergeCell ref="X678:Y678"/>
    <mergeCell ref="S679:T679"/>
    <mergeCell ref="X679:Y679"/>
    <mergeCell ref="S680:T680"/>
    <mergeCell ref="S681:T681"/>
    <mergeCell ref="S292:T292"/>
    <mergeCell ref="S293:T293"/>
    <mergeCell ref="X293:Y293"/>
    <mergeCell ref="S294:T294"/>
    <mergeCell ref="X294:Y294"/>
    <mergeCell ref="S295:T295"/>
    <mergeCell ref="S296:T296"/>
    <mergeCell ref="S297:T297"/>
    <mergeCell ref="X297:Y297"/>
    <mergeCell ref="S298:T298"/>
    <mergeCell ref="X298:Y298"/>
    <mergeCell ref="S299:T299"/>
    <mergeCell ref="X299:Y299"/>
    <mergeCell ref="X300:Y300"/>
    <mergeCell ref="X279:Y279"/>
    <mergeCell ref="X280:Y280"/>
    <mergeCell ref="R276:T276"/>
    <mergeCell ref="S277:T277"/>
    <mergeCell ref="X277:Y277"/>
    <mergeCell ref="S278:T278"/>
    <mergeCell ref="X278:Y278"/>
    <mergeCell ref="S279:T279"/>
    <mergeCell ref="S280:T280"/>
    <mergeCell ref="X285:Y285"/>
    <mergeCell ref="X286:Y286"/>
    <mergeCell ref="X287:Y287"/>
    <mergeCell ref="X288:Y288"/>
    <mergeCell ref="C289:Z289"/>
    <mergeCell ref="W290:Y290"/>
    <mergeCell ref="W291:Y291"/>
    <mergeCell ref="W292:Y292"/>
    <mergeCell ref="S281:T281"/>
    <mergeCell ref="X281:Y281"/>
    <mergeCell ref="S282:T282"/>
    <mergeCell ref="X282:Y282"/>
    <mergeCell ref="S283:T283"/>
    <mergeCell ref="X283:Y283"/>
    <mergeCell ref="X284:Y284"/>
    <mergeCell ref="S284:T284"/>
    <mergeCell ref="S285:T285"/>
    <mergeCell ref="S286:T286"/>
    <mergeCell ref="S287:T287"/>
    <mergeCell ref="S288:T288"/>
    <mergeCell ref="R290:T290"/>
    <mergeCell ref="R291:T291"/>
    <mergeCell ref="X295:Y295"/>
    <mergeCell ref="X296:Y296"/>
    <mergeCell ref="S300:T300"/>
    <mergeCell ref="S301:T301"/>
    <mergeCell ref="X301:Y301"/>
    <mergeCell ref="D309:E309"/>
    <mergeCell ref="D310:E310"/>
    <mergeCell ref="D311:E311"/>
    <mergeCell ref="D312:E312"/>
    <mergeCell ref="D313:E313"/>
    <mergeCell ref="I310:J310"/>
    <mergeCell ref="I311:J311"/>
    <mergeCell ref="I312:J312"/>
    <mergeCell ref="I313:J313"/>
    <mergeCell ref="H305:J305"/>
    <mergeCell ref="I306:J306"/>
    <mergeCell ref="D307:E307"/>
    <mergeCell ref="I307:J307"/>
    <mergeCell ref="D308:E308"/>
    <mergeCell ref="I308:J308"/>
    <mergeCell ref="I309:J309"/>
    <mergeCell ref="N284:O284"/>
    <mergeCell ref="N285:O285"/>
    <mergeCell ref="N286:O286"/>
    <mergeCell ref="N287:O287"/>
    <mergeCell ref="N288:O288"/>
    <mergeCell ref="M290:O290"/>
    <mergeCell ref="M291:O291"/>
    <mergeCell ref="N292:O292"/>
    <mergeCell ref="N293:O293"/>
    <mergeCell ref="N294:O294"/>
    <mergeCell ref="N295:O295"/>
    <mergeCell ref="N296:O296"/>
    <mergeCell ref="N297:O297"/>
    <mergeCell ref="N298:O298"/>
    <mergeCell ref="N299:O299"/>
    <mergeCell ref="N300:O300"/>
    <mergeCell ref="N301:O301"/>
    <mergeCell ref="I302:J302"/>
    <mergeCell ref="N302:O302"/>
    <mergeCell ref="S302:T302"/>
    <mergeCell ref="C303:Z303"/>
    <mergeCell ref="D302:E302"/>
    <mergeCell ref="C304:E304"/>
    <mergeCell ref="H304:J304"/>
    <mergeCell ref="R304:T304"/>
    <mergeCell ref="C305:E305"/>
    <mergeCell ref="D306:E306"/>
    <mergeCell ref="N306:O306"/>
    <mergeCell ref="X311:Y311"/>
    <mergeCell ref="X312:Y312"/>
    <mergeCell ref="X313:Y313"/>
    <mergeCell ref="W304:Y304"/>
    <mergeCell ref="W305:Y305"/>
    <mergeCell ref="X306:Y306"/>
    <mergeCell ref="X307:Y307"/>
    <mergeCell ref="X308:Y308"/>
    <mergeCell ref="X309:Y309"/>
    <mergeCell ref="X310:Y310"/>
    <mergeCell ref="S312:T312"/>
    <mergeCell ref="S313:T313"/>
    <mergeCell ref="R305:T305"/>
    <mergeCell ref="S306:T306"/>
    <mergeCell ref="S307:T307"/>
    <mergeCell ref="S308:T308"/>
    <mergeCell ref="S309:T309"/>
    <mergeCell ref="S310:T310"/>
    <mergeCell ref="S311:T311"/>
    <mergeCell ref="M319:O319"/>
    <mergeCell ref="R319:T319"/>
    <mergeCell ref="N320:O320"/>
    <mergeCell ref="S320:T320"/>
    <mergeCell ref="X320:Y320"/>
    <mergeCell ref="S321:T321"/>
    <mergeCell ref="X321:Y321"/>
    <mergeCell ref="N321:O321"/>
    <mergeCell ref="N322:O322"/>
    <mergeCell ref="S322:T322"/>
    <mergeCell ref="X322:Y322"/>
    <mergeCell ref="N323:O323"/>
    <mergeCell ref="X323:Y323"/>
    <mergeCell ref="X324:Y324"/>
    <mergeCell ref="M304:O304"/>
    <mergeCell ref="M305:O305"/>
    <mergeCell ref="N307:O307"/>
    <mergeCell ref="N308:O308"/>
    <mergeCell ref="N309:O309"/>
    <mergeCell ref="N310:O310"/>
    <mergeCell ref="N311:O311"/>
    <mergeCell ref="N314:O314"/>
    <mergeCell ref="N315:O315"/>
    <mergeCell ref="N316:O316"/>
    <mergeCell ref="S316:T316"/>
    <mergeCell ref="N312:O312"/>
    <mergeCell ref="N313:O313"/>
    <mergeCell ref="D314:E314"/>
    <mergeCell ref="I314:J314"/>
    <mergeCell ref="S314:T314"/>
    <mergeCell ref="I315:J315"/>
    <mergeCell ref="S315:T315"/>
    <mergeCell ref="R318:T318"/>
    <mergeCell ref="W318:Y318"/>
    <mergeCell ref="D315:E315"/>
    <mergeCell ref="D316:E316"/>
    <mergeCell ref="I316:J316"/>
    <mergeCell ref="C317:Z317"/>
    <mergeCell ref="C318:E318"/>
    <mergeCell ref="M318:O318"/>
    <mergeCell ref="C319:E319"/>
    <mergeCell ref="W319:Y319"/>
    <mergeCell ref="S323:T323"/>
    <mergeCell ref="S324:T324"/>
    <mergeCell ref="S325:T325"/>
    <mergeCell ref="X325:Y325"/>
    <mergeCell ref="N324:O324"/>
    <mergeCell ref="N325:O325"/>
    <mergeCell ref="M217:O217"/>
    <mergeCell ref="M218:O218"/>
    <mergeCell ref="N219:O219"/>
    <mergeCell ref="N220:O220"/>
    <mergeCell ref="N221:O221"/>
    <mergeCell ref="N222:O222"/>
    <mergeCell ref="N223:O223"/>
    <mergeCell ref="N224:O224"/>
    <mergeCell ref="N225:O225"/>
    <mergeCell ref="N226:O226"/>
    <mergeCell ref="N227:O227"/>
    <mergeCell ref="N228:O228"/>
    <mergeCell ref="N229:O229"/>
    <mergeCell ref="N230:O230"/>
    <mergeCell ref="M247:O247"/>
    <mergeCell ref="M248:O248"/>
    <mergeCell ref="N249:O249"/>
    <mergeCell ref="N250:O250"/>
    <mergeCell ref="N251:O251"/>
    <mergeCell ref="N252:O252"/>
    <mergeCell ref="N253:O253"/>
    <mergeCell ref="N254:O254"/>
    <mergeCell ref="N255:O255"/>
    <mergeCell ref="N256:O256"/>
    <mergeCell ref="N257:O257"/>
    <mergeCell ref="N258:O258"/>
    <mergeCell ref="N259:O259"/>
    <mergeCell ref="N260:O260"/>
    <mergeCell ref="W262:Y262"/>
    <mergeCell ref="W263:Y263"/>
    <mergeCell ref="X264:Y264"/>
    <mergeCell ref="X265:Y265"/>
    <mergeCell ref="X266:Y266"/>
    <mergeCell ref="X267:Y267"/>
    <mergeCell ref="X268:Y268"/>
    <mergeCell ref="X327:Y327"/>
    <mergeCell ref="X328:Y328"/>
    <mergeCell ref="X329:Y329"/>
    <mergeCell ref="X330:Y330"/>
    <mergeCell ref="X331:Y331"/>
    <mergeCell ref="W275:Y275"/>
    <mergeCell ref="W276:Y276"/>
    <mergeCell ref="X302:Y302"/>
    <mergeCell ref="X314:Y314"/>
    <mergeCell ref="X315:Y315"/>
    <mergeCell ref="X316:Y316"/>
    <mergeCell ref="X326:Y326"/>
    <mergeCell ref="M262:O262"/>
    <mergeCell ref="M263:O263"/>
    <mergeCell ref="N264:O264"/>
    <mergeCell ref="N265:O265"/>
    <mergeCell ref="N266:O266"/>
    <mergeCell ref="N267:O267"/>
    <mergeCell ref="N268:O268"/>
    <mergeCell ref="N269:O269"/>
    <mergeCell ref="N270:O270"/>
    <mergeCell ref="N271:O271"/>
    <mergeCell ref="N272:O272"/>
    <mergeCell ref="N273:O273"/>
    <mergeCell ref="M275:O275"/>
    <mergeCell ref="M276:O276"/>
    <mergeCell ref="M232:O232"/>
    <mergeCell ref="M233:O233"/>
    <mergeCell ref="N234:O234"/>
    <mergeCell ref="N235:O235"/>
    <mergeCell ref="N236:O236"/>
    <mergeCell ref="N237:O237"/>
    <mergeCell ref="N238:O238"/>
    <mergeCell ref="N239:O239"/>
    <mergeCell ref="N240:O240"/>
    <mergeCell ref="N241:O241"/>
    <mergeCell ref="N242:O242"/>
    <mergeCell ref="N243:O243"/>
    <mergeCell ref="N244:O244"/>
    <mergeCell ref="N245:O245"/>
    <mergeCell ref="S259:T259"/>
    <mergeCell ref="S260:T260"/>
    <mergeCell ref="C261:Z261"/>
    <mergeCell ref="S256:T256"/>
    <mergeCell ref="X256:Y256"/>
    <mergeCell ref="S257:T257"/>
    <mergeCell ref="X257:Y257"/>
    <mergeCell ref="X258:Y258"/>
    <mergeCell ref="X259:Y259"/>
    <mergeCell ref="X260:Y260"/>
    <mergeCell ref="S258:T258"/>
    <mergeCell ref="R262:T262"/>
    <mergeCell ref="R263:T263"/>
    <mergeCell ref="S264:T264"/>
    <mergeCell ref="S265:T265"/>
    <mergeCell ref="S266:T266"/>
    <mergeCell ref="S267:T267"/>
    <mergeCell ref="X269:Y269"/>
    <mergeCell ref="X270:Y270"/>
    <mergeCell ref="X271:Y271"/>
    <mergeCell ref="X272:Y272"/>
    <mergeCell ref="X273:Y273"/>
    <mergeCell ref="C274:Z274"/>
    <mergeCell ref="S268:T268"/>
    <mergeCell ref="S269:T269"/>
    <mergeCell ref="S270:T270"/>
    <mergeCell ref="S271:T271"/>
    <mergeCell ref="S272:T272"/>
    <mergeCell ref="S273:T273"/>
    <mergeCell ref="R275:T275"/>
    <mergeCell ref="N145:O145"/>
    <mergeCell ref="I146:J146"/>
    <mergeCell ref="N146:O146"/>
    <mergeCell ref="I147:J147"/>
    <mergeCell ref="N147:O147"/>
    <mergeCell ref="I148:J148"/>
    <mergeCell ref="I149:J149"/>
    <mergeCell ref="N148:O148"/>
    <mergeCell ref="N149:O149"/>
    <mergeCell ref="N151:O151"/>
    <mergeCell ref="N152:O152"/>
    <mergeCell ref="N153:O153"/>
    <mergeCell ref="N154:O154"/>
    <mergeCell ref="N155:O155"/>
    <mergeCell ref="M157:O157"/>
    <mergeCell ref="M158:O158"/>
    <mergeCell ref="N159:O159"/>
    <mergeCell ref="N160:O160"/>
    <mergeCell ref="N161:O161"/>
    <mergeCell ref="N162:O162"/>
    <mergeCell ref="N163:O163"/>
    <mergeCell ref="N164:O164"/>
    <mergeCell ref="N165:O165"/>
    <mergeCell ref="N166:O166"/>
    <mergeCell ref="N167:O167"/>
    <mergeCell ref="N168:O168"/>
    <mergeCell ref="N169:O169"/>
    <mergeCell ref="N170:O170"/>
    <mergeCell ref="M172:O172"/>
    <mergeCell ref="M173:O173"/>
    <mergeCell ref="N174:O174"/>
    <mergeCell ref="N175:O175"/>
    <mergeCell ref="N176:O176"/>
    <mergeCell ref="N177:O177"/>
    <mergeCell ref="N178:O178"/>
    <mergeCell ref="N179:O179"/>
    <mergeCell ref="N180:O180"/>
    <mergeCell ref="N181:O181"/>
    <mergeCell ref="N182:O182"/>
    <mergeCell ref="N183:O183"/>
    <mergeCell ref="N184:O184"/>
    <mergeCell ref="N185:O185"/>
    <mergeCell ref="N277:O277"/>
    <mergeCell ref="N278:O278"/>
    <mergeCell ref="N279:O279"/>
    <mergeCell ref="N280:O280"/>
    <mergeCell ref="N281:O281"/>
    <mergeCell ref="N282:O282"/>
    <mergeCell ref="N283:O283"/>
    <mergeCell ref="H334:J334"/>
    <mergeCell ref="I335:J335"/>
    <mergeCell ref="N335:O335"/>
    <mergeCell ref="S335:T335"/>
    <mergeCell ref="W335:Y335"/>
    <mergeCell ref="H333:J333"/>
    <mergeCell ref="M333:O333"/>
    <mergeCell ref="R333:T333"/>
    <mergeCell ref="W333:Y333"/>
    <mergeCell ref="M334:O334"/>
    <mergeCell ref="R334:T334"/>
    <mergeCell ref="W334:Y334"/>
    <mergeCell ref="S380:T380"/>
    <mergeCell ref="S381:T381"/>
    <mergeCell ref="S372:T372"/>
    <mergeCell ref="S373:T373"/>
    <mergeCell ref="S374:T374"/>
    <mergeCell ref="S375:T375"/>
    <mergeCell ref="S376:T376"/>
    <mergeCell ref="R378:T378"/>
    <mergeCell ref="R379:T379"/>
    <mergeCell ref="M363:O363"/>
    <mergeCell ref="M364:O364"/>
    <mergeCell ref="R364:T364"/>
    <mergeCell ref="W364:Y364"/>
    <mergeCell ref="N365:O365"/>
    <mergeCell ref="W365:Y365"/>
    <mergeCell ref="W366:Y366"/>
    <mergeCell ref="S365:T365"/>
    <mergeCell ref="S366:T366"/>
    <mergeCell ref="S367:T367"/>
    <mergeCell ref="S368:T368"/>
    <mergeCell ref="S369:T369"/>
    <mergeCell ref="S370:T370"/>
    <mergeCell ref="S371:T371"/>
    <mergeCell ref="N366:O366"/>
    <mergeCell ref="N367:O367"/>
    <mergeCell ref="N368:O368"/>
    <mergeCell ref="N369:O369"/>
    <mergeCell ref="N370:O370"/>
    <mergeCell ref="N371:O371"/>
    <mergeCell ref="N372:O372"/>
    <mergeCell ref="X374:Y374"/>
    <mergeCell ref="X375:Y375"/>
    <mergeCell ref="X376:Y376"/>
    <mergeCell ref="C377:Z377"/>
    <mergeCell ref="W378:Y378"/>
    <mergeCell ref="W379:Y379"/>
    <mergeCell ref="W380:Y380"/>
    <mergeCell ref="W381:Y381"/>
    <mergeCell ref="X382:Y382"/>
    <mergeCell ref="X383:Y383"/>
    <mergeCell ref="X384:Y384"/>
    <mergeCell ref="X367:Y367"/>
    <mergeCell ref="X368:Y368"/>
    <mergeCell ref="X369:Y369"/>
    <mergeCell ref="X370:Y370"/>
    <mergeCell ref="X371:Y371"/>
    <mergeCell ref="X372:Y372"/>
    <mergeCell ref="X373:Y373"/>
    <mergeCell ref="N373:O373"/>
    <mergeCell ref="N374:O374"/>
    <mergeCell ref="N375:O375"/>
    <mergeCell ref="N376:O376"/>
    <mergeCell ref="M378:O378"/>
    <mergeCell ref="M379:O379"/>
    <mergeCell ref="N380:O380"/>
    <mergeCell ref="S336:T336"/>
    <mergeCell ref="S337:T337"/>
    <mergeCell ref="S326:T326"/>
    <mergeCell ref="S327:T327"/>
    <mergeCell ref="S328:T328"/>
    <mergeCell ref="S329:T329"/>
    <mergeCell ref="S330:T330"/>
    <mergeCell ref="S331:T331"/>
    <mergeCell ref="W336:Y336"/>
    <mergeCell ref="X337:Y337"/>
    <mergeCell ref="I339:J339"/>
    <mergeCell ref="I340:J340"/>
    <mergeCell ref="N340:O340"/>
    <mergeCell ref="S340:T340"/>
    <mergeCell ref="X340:Y340"/>
    <mergeCell ref="I337:J337"/>
    <mergeCell ref="I338:J338"/>
    <mergeCell ref="S338:T338"/>
    <mergeCell ref="X338:Y338"/>
    <mergeCell ref="N339:O339"/>
    <mergeCell ref="S339:T339"/>
    <mergeCell ref="X339:Y339"/>
    <mergeCell ref="S344:T344"/>
    <mergeCell ref="S345:T345"/>
    <mergeCell ref="S341:T341"/>
    <mergeCell ref="X341:Y341"/>
    <mergeCell ref="S342:T342"/>
    <mergeCell ref="X342:Y342"/>
    <mergeCell ref="S343:T343"/>
    <mergeCell ref="X343:Y343"/>
    <mergeCell ref="X344:Y344"/>
    <mergeCell ref="X345:Y345"/>
    <mergeCell ref="H318:J318"/>
    <mergeCell ref="H319:J319"/>
    <mergeCell ref="D320:E320"/>
    <mergeCell ref="I320:J320"/>
    <mergeCell ref="D321:E321"/>
    <mergeCell ref="I321:J321"/>
    <mergeCell ref="I322:J322"/>
    <mergeCell ref="I323:J323"/>
    <mergeCell ref="I324:J324"/>
    <mergeCell ref="I325:J325"/>
    <mergeCell ref="I326:J326"/>
    <mergeCell ref="N326:O326"/>
    <mergeCell ref="I327:J327"/>
    <mergeCell ref="I328:J328"/>
    <mergeCell ref="D322:E322"/>
    <mergeCell ref="D323:E323"/>
    <mergeCell ref="D324:E324"/>
    <mergeCell ref="D325:E325"/>
    <mergeCell ref="D326:E326"/>
    <mergeCell ref="D327:E327"/>
    <mergeCell ref="D328:E328"/>
    <mergeCell ref="I329:J329"/>
    <mergeCell ref="N329:O329"/>
    <mergeCell ref="I330:J330"/>
    <mergeCell ref="N330:O330"/>
    <mergeCell ref="I331:J331"/>
    <mergeCell ref="N331:O331"/>
    <mergeCell ref="C332:Z332"/>
    <mergeCell ref="I341:J341"/>
    <mergeCell ref="I342:J342"/>
    <mergeCell ref="N327:O327"/>
    <mergeCell ref="N328:O328"/>
    <mergeCell ref="N336:O336"/>
    <mergeCell ref="N337:O337"/>
    <mergeCell ref="N338:O338"/>
    <mergeCell ref="N341:O341"/>
    <mergeCell ref="N342:O342"/>
    <mergeCell ref="N343:O343"/>
    <mergeCell ref="N344:O344"/>
    <mergeCell ref="N345:O345"/>
    <mergeCell ref="N346:O346"/>
    <mergeCell ref="S346:T346"/>
    <mergeCell ref="X346:Y346"/>
    <mergeCell ref="C347:Z347"/>
    <mergeCell ref="I365:J365"/>
    <mergeCell ref="I366:J366"/>
    <mergeCell ref="I357:J357"/>
    <mergeCell ref="I358:J358"/>
    <mergeCell ref="I359:J359"/>
    <mergeCell ref="I360:J360"/>
    <mergeCell ref="I361:J361"/>
    <mergeCell ref="H363:J363"/>
    <mergeCell ref="H364:J364"/>
    <mergeCell ref="M348:O348"/>
    <mergeCell ref="R348:T348"/>
    <mergeCell ref="W348:Y348"/>
    <mergeCell ref="M349:O349"/>
    <mergeCell ref="R349:T349"/>
    <mergeCell ref="N350:O350"/>
    <mergeCell ref="W351:Y351"/>
    <mergeCell ref="S357:T357"/>
    <mergeCell ref="S358:T358"/>
    <mergeCell ref="S359:T359"/>
    <mergeCell ref="S360:T360"/>
    <mergeCell ref="S361:T361"/>
    <mergeCell ref="S350:T350"/>
    <mergeCell ref="S351:T351"/>
    <mergeCell ref="S352:T352"/>
    <mergeCell ref="S353:T353"/>
    <mergeCell ref="S354:T354"/>
    <mergeCell ref="S355:T355"/>
    <mergeCell ref="S356:T356"/>
    <mergeCell ref="X357:Y357"/>
    <mergeCell ref="X358:Y358"/>
    <mergeCell ref="X359:Y359"/>
    <mergeCell ref="X360:Y360"/>
    <mergeCell ref="X361:Y361"/>
    <mergeCell ref="W349:Y349"/>
    <mergeCell ref="W350:Y350"/>
    <mergeCell ref="X352:Y352"/>
    <mergeCell ref="X353:Y353"/>
    <mergeCell ref="X354:Y354"/>
    <mergeCell ref="X355:Y355"/>
    <mergeCell ref="X356:Y356"/>
    <mergeCell ref="N351:O351"/>
    <mergeCell ref="N352:O352"/>
    <mergeCell ref="N353:O353"/>
    <mergeCell ref="N354:O354"/>
    <mergeCell ref="N355:O355"/>
    <mergeCell ref="N356:O356"/>
    <mergeCell ref="N357:O357"/>
    <mergeCell ref="N358:O358"/>
    <mergeCell ref="N359:O359"/>
    <mergeCell ref="N360:O360"/>
    <mergeCell ref="N361:O361"/>
    <mergeCell ref="C362:Z362"/>
    <mergeCell ref="R363:T363"/>
    <mergeCell ref="W363:Y363"/>
    <mergeCell ref="R393:T393"/>
    <mergeCell ref="R394:T394"/>
    <mergeCell ref="N395:O395"/>
    <mergeCell ref="S395:T395"/>
    <mergeCell ref="W395:Y395"/>
    <mergeCell ref="S396:T396"/>
    <mergeCell ref="W396:Y396"/>
    <mergeCell ref="N396:O396"/>
    <mergeCell ref="N397:O397"/>
    <mergeCell ref="S397:T397"/>
    <mergeCell ref="X397:Y397"/>
    <mergeCell ref="N398:O398"/>
    <mergeCell ref="X398:Y398"/>
    <mergeCell ref="X399:Y399"/>
    <mergeCell ref="S401:T401"/>
    <mergeCell ref="S402:T402"/>
    <mergeCell ref="S403:T403"/>
    <mergeCell ref="S404:T404"/>
    <mergeCell ref="S405:T405"/>
    <mergeCell ref="S406:T406"/>
    <mergeCell ref="N402:O402"/>
    <mergeCell ref="N403:O403"/>
    <mergeCell ref="N404:O404"/>
    <mergeCell ref="N405:O405"/>
    <mergeCell ref="N406:O406"/>
    <mergeCell ref="X403:Y403"/>
    <mergeCell ref="X404:Y404"/>
    <mergeCell ref="X405:Y405"/>
    <mergeCell ref="X406:Y406"/>
    <mergeCell ref="N399:O399"/>
    <mergeCell ref="N400:O400"/>
    <mergeCell ref="S400:T400"/>
    <mergeCell ref="X400:Y400"/>
    <mergeCell ref="N401:O401"/>
    <mergeCell ref="X401:Y401"/>
    <mergeCell ref="X402:Y402"/>
    <mergeCell ref="S480:T480"/>
    <mergeCell ref="S481:T481"/>
    <mergeCell ref="R483:T483"/>
    <mergeCell ref="R484:T484"/>
    <mergeCell ref="S485:T485"/>
    <mergeCell ref="S486:T486"/>
    <mergeCell ref="S487:T487"/>
    <mergeCell ref="S488:T488"/>
    <mergeCell ref="S489:T489"/>
    <mergeCell ref="S490:T490"/>
    <mergeCell ref="S491:T491"/>
    <mergeCell ref="S492:T492"/>
    <mergeCell ref="S493:T493"/>
    <mergeCell ref="S494:T494"/>
    <mergeCell ref="S495:T495"/>
    <mergeCell ref="R497:T497"/>
    <mergeCell ref="R498:T498"/>
    <mergeCell ref="S499:T499"/>
    <mergeCell ref="S500:T500"/>
    <mergeCell ref="S501:T501"/>
    <mergeCell ref="S502:T502"/>
    <mergeCell ref="S503:T503"/>
    <mergeCell ref="S504:T504"/>
    <mergeCell ref="S505:T505"/>
    <mergeCell ref="S506:T506"/>
    <mergeCell ref="S507:T507"/>
    <mergeCell ref="S508:T508"/>
    <mergeCell ref="S509:T509"/>
    <mergeCell ref="R511:T511"/>
    <mergeCell ref="R512:T512"/>
    <mergeCell ref="S513:T513"/>
    <mergeCell ref="S514:T514"/>
    <mergeCell ref="S515:T515"/>
    <mergeCell ref="S516:T516"/>
    <mergeCell ref="S517:T517"/>
    <mergeCell ref="S518:T518"/>
    <mergeCell ref="S519:T519"/>
    <mergeCell ref="S520:T520"/>
    <mergeCell ref="S521:T521"/>
    <mergeCell ref="S522:T522"/>
    <mergeCell ref="S523:T523"/>
    <mergeCell ref="S524:T524"/>
    <mergeCell ref="R526:T526"/>
    <mergeCell ref="R527:T527"/>
    <mergeCell ref="S528:T528"/>
    <mergeCell ref="S529:T529"/>
    <mergeCell ref="S530:T530"/>
    <mergeCell ref="S531:T531"/>
    <mergeCell ref="S532:T532"/>
    <mergeCell ref="X481:Y481"/>
    <mergeCell ref="W483:Y483"/>
    <mergeCell ref="W484:Y484"/>
    <mergeCell ref="W485:Y485"/>
    <mergeCell ref="W486:Y486"/>
    <mergeCell ref="X487:Y487"/>
    <mergeCell ref="X488:Y488"/>
    <mergeCell ref="X489:Y489"/>
    <mergeCell ref="X490:Y490"/>
    <mergeCell ref="X491:Y491"/>
    <mergeCell ref="X492:Y492"/>
    <mergeCell ref="X493:Y493"/>
    <mergeCell ref="X494:Y494"/>
    <mergeCell ref="C496:Z496"/>
    <mergeCell ref="X495:Y495"/>
    <mergeCell ref="W497:Y497"/>
    <mergeCell ref="W498:Y498"/>
    <mergeCell ref="W499:Y499"/>
    <mergeCell ref="W500:Y500"/>
    <mergeCell ref="X501:Y501"/>
    <mergeCell ref="X502:Y502"/>
    <mergeCell ref="X503:Y503"/>
    <mergeCell ref="X504:Y504"/>
    <mergeCell ref="X505:Y505"/>
    <mergeCell ref="X506:Y506"/>
    <mergeCell ref="X507:Y507"/>
    <mergeCell ref="X508:Y508"/>
    <mergeCell ref="C510:Z510"/>
    <mergeCell ref="X509:Y509"/>
    <mergeCell ref="W511:Y511"/>
    <mergeCell ref="W512:Y512"/>
    <mergeCell ref="W513:Y513"/>
    <mergeCell ref="W514:Y514"/>
    <mergeCell ref="X515:Y515"/>
    <mergeCell ref="X516:Y516"/>
    <mergeCell ref="X524:Y524"/>
    <mergeCell ref="C525:Z525"/>
    <mergeCell ref="X517:Y517"/>
    <mergeCell ref="X518:Y518"/>
    <mergeCell ref="X519:Y519"/>
    <mergeCell ref="X520:Y520"/>
    <mergeCell ref="X521:Y521"/>
    <mergeCell ref="X522:Y522"/>
    <mergeCell ref="X523:Y523"/>
    <mergeCell ref="S561:T561"/>
    <mergeCell ref="S562:T562"/>
    <mergeCell ref="S553:T553"/>
    <mergeCell ref="S554:T554"/>
    <mergeCell ref="R556:T556"/>
    <mergeCell ref="R557:T557"/>
    <mergeCell ref="S558:T558"/>
    <mergeCell ref="S559:T559"/>
    <mergeCell ref="S560:T560"/>
    <mergeCell ref="S564:T564"/>
    <mergeCell ref="S565:T565"/>
    <mergeCell ref="N561:O561"/>
    <mergeCell ref="N562:O562"/>
    <mergeCell ref="N563:O563"/>
    <mergeCell ref="S563:T563"/>
    <mergeCell ref="N564:O564"/>
    <mergeCell ref="N565:O565"/>
    <mergeCell ref="N560:O560"/>
    <mergeCell ref="N566:O566"/>
    <mergeCell ref="S566:T566"/>
    <mergeCell ref="N567:O567"/>
    <mergeCell ref="N568:O568"/>
    <mergeCell ref="S568:T568"/>
    <mergeCell ref="S569:T569"/>
    <mergeCell ref="S567:T567"/>
    <mergeCell ref="R571:T571"/>
    <mergeCell ref="R572:T572"/>
    <mergeCell ref="N573:O573"/>
    <mergeCell ref="S573:T573"/>
    <mergeCell ref="N574:O574"/>
    <mergeCell ref="S574:T574"/>
    <mergeCell ref="S575:T575"/>
    <mergeCell ref="N582:O582"/>
    <mergeCell ref="N583:O583"/>
    <mergeCell ref="N584:O584"/>
    <mergeCell ref="N575:O575"/>
    <mergeCell ref="N576:O576"/>
    <mergeCell ref="N577:O577"/>
    <mergeCell ref="N578:O578"/>
    <mergeCell ref="N579:O579"/>
    <mergeCell ref="N580:O580"/>
    <mergeCell ref="N581:O581"/>
    <mergeCell ref="S583:T583"/>
    <mergeCell ref="S584:T584"/>
    <mergeCell ref="S576:T576"/>
    <mergeCell ref="S577:T577"/>
    <mergeCell ref="S578:T578"/>
    <mergeCell ref="S579:T579"/>
    <mergeCell ref="S580:T580"/>
    <mergeCell ref="S581:T581"/>
    <mergeCell ref="S582:T582"/>
    <mergeCell ref="S533:T533"/>
    <mergeCell ref="S534:T534"/>
    <mergeCell ref="N535:O535"/>
    <mergeCell ref="S535:T535"/>
    <mergeCell ref="N536:O536"/>
    <mergeCell ref="S536:T536"/>
    <mergeCell ref="S537:T537"/>
    <mergeCell ref="N537:O537"/>
    <mergeCell ref="N538:O538"/>
    <mergeCell ref="N539:O539"/>
    <mergeCell ref="M541:O541"/>
    <mergeCell ref="M542:O542"/>
    <mergeCell ref="N543:O543"/>
    <mergeCell ref="N544:O544"/>
    <mergeCell ref="S538:T538"/>
    <mergeCell ref="S539:T539"/>
    <mergeCell ref="R541:T541"/>
    <mergeCell ref="R542:T542"/>
    <mergeCell ref="S543:T543"/>
    <mergeCell ref="S544:T544"/>
    <mergeCell ref="S545:T545"/>
    <mergeCell ref="N545:O545"/>
    <mergeCell ref="N546:O546"/>
    <mergeCell ref="N547:O547"/>
    <mergeCell ref="N548:O548"/>
    <mergeCell ref="N549:O549"/>
    <mergeCell ref="N550:O550"/>
    <mergeCell ref="N551:O551"/>
    <mergeCell ref="S546:T546"/>
    <mergeCell ref="S547:T547"/>
    <mergeCell ref="S548:T548"/>
    <mergeCell ref="S549:T549"/>
    <mergeCell ref="S550:T550"/>
    <mergeCell ref="S551:T551"/>
    <mergeCell ref="S552:T552"/>
    <mergeCell ref="N552:O552"/>
    <mergeCell ref="N553:O553"/>
    <mergeCell ref="N554:O554"/>
    <mergeCell ref="M556:O556"/>
    <mergeCell ref="M557:O557"/>
    <mergeCell ref="N558:O558"/>
    <mergeCell ref="N559:O559"/>
    <mergeCell ref="N569:O569"/>
    <mergeCell ref="M571:O571"/>
    <mergeCell ref="M572:O572"/>
    <mergeCell ref="X535:Y535"/>
    <mergeCell ref="X536:Y536"/>
    <mergeCell ref="X537:Y537"/>
    <mergeCell ref="X538:Y538"/>
    <mergeCell ref="X539:Y539"/>
    <mergeCell ref="C540:Z540"/>
    <mergeCell ref="W541:Y541"/>
    <mergeCell ref="X549:Y549"/>
    <mergeCell ref="X550:Y550"/>
    <mergeCell ref="X551:Y551"/>
    <mergeCell ref="X552:Y552"/>
    <mergeCell ref="X553:Y553"/>
    <mergeCell ref="X554:Y554"/>
    <mergeCell ref="C555:Z555"/>
    <mergeCell ref="W542:Y542"/>
    <mergeCell ref="W543:Y543"/>
    <mergeCell ref="W544:Y544"/>
    <mergeCell ref="X545:Y545"/>
    <mergeCell ref="X546:Y546"/>
    <mergeCell ref="X547:Y547"/>
    <mergeCell ref="X548:Y548"/>
    <mergeCell ref="W556:Y556"/>
    <mergeCell ref="W557:Y557"/>
    <mergeCell ref="X558:Y558"/>
    <mergeCell ref="X561:Y561"/>
    <mergeCell ref="X562:Y562"/>
    <mergeCell ref="X559:Y559"/>
    <mergeCell ref="X560:Y560"/>
    <mergeCell ref="X563:Y563"/>
    <mergeCell ref="X564:Y564"/>
    <mergeCell ref="X565:Y565"/>
    <mergeCell ref="X566:Y566"/>
    <mergeCell ref="X568:Y568"/>
    <mergeCell ref="C570:Z570"/>
    <mergeCell ref="X567:Y567"/>
    <mergeCell ref="X569:Y569"/>
    <mergeCell ref="W571:Y571"/>
    <mergeCell ref="W572:Y572"/>
    <mergeCell ref="W573:Y573"/>
    <mergeCell ref="W574:Y574"/>
    <mergeCell ref="X575:Y575"/>
    <mergeCell ref="X576:Y576"/>
    <mergeCell ref="X577:Y577"/>
    <mergeCell ref="X578:Y578"/>
    <mergeCell ref="X579:Y579"/>
    <mergeCell ref="X580:Y580"/>
    <mergeCell ref="X581:Y581"/>
    <mergeCell ref="X582:Y582"/>
    <mergeCell ref="X583:Y58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930C"/>
    <outlinePr summaryBelow="0" summaryRight="0"/>
  </sheetPr>
  <sheetViews>
    <sheetView workbookViewId="0"/>
  </sheetViews>
  <sheetFormatPr customHeight="1" defaultColWidth="12.63" defaultRowHeight="15.75"/>
  <cols>
    <col customWidth="1" min="1" max="2" width="0.75"/>
    <col customWidth="1" min="3" max="3" width="3.5"/>
    <col customWidth="1" min="4" max="4" width="15.75"/>
    <col customWidth="1" min="5" max="5" width="2.0"/>
    <col customWidth="1" min="6" max="6" width="0.75"/>
    <col customWidth="1" min="7" max="7" width="3.5"/>
    <col customWidth="1" min="8" max="8" width="15.75"/>
    <col customWidth="1" min="9" max="9" width="2.0"/>
    <col customWidth="1" min="10" max="10" width="0.75"/>
    <col customWidth="1" min="11" max="11" width="3.5"/>
    <col customWidth="1" min="12" max="12" width="15.75"/>
    <col customWidth="1" min="13" max="13" width="2.0"/>
    <col customWidth="1" min="14" max="14" width="0.75"/>
    <col customWidth="1" min="15" max="15" width="3.5"/>
    <col customWidth="1" min="16" max="16" width="15.75"/>
    <col customWidth="1" min="17" max="17" width="2.0"/>
    <col customWidth="1" min="18" max="20" width="0.75"/>
  </cols>
  <sheetData>
    <row r="1" ht="3.75" customHeight="1">
      <c r="A1" s="322"/>
      <c r="B1" s="323"/>
      <c r="C1" s="323"/>
      <c r="D1" s="323"/>
      <c r="E1" s="323"/>
      <c r="F1" s="323"/>
      <c r="G1" s="323"/>
      <c r="H1" s="323"/>
      <c r="I1" s="323"/>
      <c r="J1" s="323"/>
      <c r="K1" s="323"/>
      <c r="L1" s="323"/>
      <c r="M1" s="323"/>
      <c r="N1" s="323"/>
      <c r="O1" s="323"/>
      <c r="P1" s="323"/>
      <c r="Q1" s="323"/>
      <c r="R1" s="323"/>
      <c r="S1" s="323"/>
      <c r="T1" s="322"/>
    </row>
    <row r="2" ht="3.75" customHeight="1">
      <c r="A2" s="324"/>
      <c r="B2" s="798"/>
      <c r="C2" s="799"/>
      <c r="D2" s="799"/>
      <c r="E2" s="799"/>
      <c r="F2" s="799"/>
      <c r="G2" s="799"/>
      <c r="H2" s="799"/>
      <c r="I2" s="799"/>
      <c r="J2" s="799"/>
      <c r="K2" s="799"/>
      <c r="L2" s="799"/>
      <c r="M2" s="799"/>
      <c r="N2" s="799"/>
      <c r="O2" s="799"/>
      <c r="P2" s="799"/>
      <c r="Q2" s="799"/>
      <c r="R2" s="799"/>
      <c r="S2" s="800"/>
      <c r="T2" s="328"/>
    </row>
    <row r="3" ht="13.5" customHeight="1">
      <c r="A3" s="324"/>
      <c r="B3" s="801"/>
      <c r="C3" s="330" t="s">
        <v>1190</v>
      </c>
      <c r="D3" s="331"/>
      <c r="E3" s="331"/>
      <c r="F3" s="331"/>
      <c r="G3" s="331"/>
      <c r="H3" s="331"/>
      <c r="I3" s="331"/>
      <c r="J3" s="331"/>
      <c r="K3" s="331"/>
      <c r="L3" s="331"/>
      <c r="M3" s="331"/>
      <c r="N3" s="331"/>
      <c r="O3" s="331"/>
      <c r="P3" s="332"/>
      <c r="Q3" s="333"/>
      <c r="R3" s="333"/>
      <c r="S3" s="802"/>
      <c r="T3" s="328"/>
    </row>
    <row r="4" ht="13.5" customHeight="1">
      <c r="A4" s="324"/>
      <c r="B4" s="801"/>
      <c r="C4" s="335"/>
      <c r="D4" s="278"/>
      <c r="E4" s="278"/>
      <c r="F4" s="278"/>
      <c r="G4" s="278"/>
      <c r="H4" s="278"/>
      <c r="I4" s="278"/>
      <c r="J4" s="278"/>
      <c r="K4" s="278"/>
      <c r="L4" s="278"/>
      <c r="M4" s="278"/>
      <c r="N4" s="278"/>
      <c r="O4" s="278"/>
      <c r="P4" s="279"/>
      <c r="Q4" s="333"/>
      <c r="R4" s="333"/>
      <c r="S4" s="802"/>
      <c r="T4" s="328"/>
    </row>
    <row r="5" ht="16.5" customHeight="1">
      <c r="A5" s="324"/>
      <c r="B5" s="801"/>
      <c r="C5" s="336" t="s">
        <v>1191</v>
      </c>
      <c r="D5" s="274"/>
      <c r="E5" s="274"/>
      <c r="F5" s="274"/>
      <c r="G5" s="274"/>
      <c r="H5" s="274"/>
      <c r="I5" s="274"/>
      <c r="J5" s="274"/>
      <c r="K5" s="274"/>
      <c r="L5" s="274"/>
      <c r="M5" s="274"/>
      <c r="N5" s="274"/>
      <c r="O5" s="274"/>
      <c r="P5" s="274"/>
      <c r="Q5" s="274"/>
      <c r="R5" s="275"/>
      <c r="S5" s="802"/>
      <c r="T5" s="328"/>
    </row>
    <row r="6" ht="16.5" customHeight="1">
      <c r="A6" s="324"/>
      <c r="B6" s="801"/>
      <c r="C6" s="336" t="s">
        <v>1192</v>
      </c>
      <c r="D6" s="274"/>
      <c r="E6" s="274"/>
      <c r="F6" s="274"/>
      <c r="G6" s="274"/>
      <c r="H6" s="274"/>
      <c r="I6" s="274"/>
      <c r="J6" s="274"/>
      <c r="K6" s="274"/>
      <c r="L6" s="274"/>
      <c r="M6" s="274"/>
      <c r="N6" s="274"/>
      <c r="O6" s="274"/>
      <c r="P6" s="274"/>
      <c r="Q6" s="274"/>
      <c r="R6" s="275"/>
      <c r="S6" s="802"/>
      <c r="T6" s="328"/>
    </row>
    <row r="7" ht="3.75" customHeight="1">
      <c r="A7" s="324"/>
      <c r="B7" s="803"/>
      <c r="C7" s="338"/>
      <c r="D7" s="331"/>
      <c r="E7" s="331"/>
      <c r="F7" s="331"/>
      <c r="G7" s="331"/>
      <c r="H7" s="331"/>
      <c r="I7" s="331"/>
      <c r="J7" s="331"/>
      <c r="K7" s="331"/>
      <c r="L7" s="331"/>
      <c r="M7" s="331"/>
      <c r="N7" s="331"/>
      <c r="O7" s="331"/>
      <c r="P7" s="331"/>
      <c r="Q7" s="331"/>
      <c r="R7" s="332"/>
      <c r="S7" s="804"/>
      <c r="T7" s="328"/>
    </row>
    <row r="8" ht="6.0" customHeight="1">
      <c r="A8" s="324"/>
      <c r="B8" s="805"/>
      <c r="C8" s="341"/>
      <c r="D8" s="341"/>
      <c r="E8" s="341"/>
      <c r="F8" s="342"/>
      <c r="G8" s="341"/>
      <c r="H8" s="341"/>
      <c r="I8" s="341"/>
      <c r="J8" s="342"/>
      <c r="K8" s="341"/>
      <c r="L8" s="341"/>
      <c r="M8" s="341"/>
      <c r="N8" s="342"/>
      <c r="O8" s="341"/>
      <c r="P8" s="341"/>
      <c r="Q8" s="343"/>
      <c r="R8" s="343"/>
      <c r="S8" s="806"/>
      <c r="T8" s="328"/>
    </row>
    <row r="9" ht="19.5" customHeight="1">
      <c r="A9" s="324"/>
      <c r="B9" s="807"/>
      <c r="C9" s="346" t="str">
        <f>Source!$E$9</f>
        <v/>
      </c>
      <c r="D9" s="347" t="s">
        <v>796</v>
      </c>
      <c r="E9" s="348" t="str">
        <f>IMAGE("https://i.ibb.co/SXG0s7n/2-1.png")</f>
        <v/>
      </c>
      <c r="F9" s="349"/>
      <c r="G9" s="351" t="str">
        <f>Source!$E$5</f>
        <v/>
      </c>
      <c r="H9" s="352" t="s">
        <v>797</v>
      </c>
      <c r="I9" s="353" t="str">
        <f>IMAGE("https://i.ibb.co/Kx0DJFL/2-1.png")</f>
        <v/>
      </c>
      <c r="J9" s="349"/>
      <c r="K9" s="354" t="str">
        <f>Source!$E$13</f>
        <v/>
      </c>
      <c r="L9" s="355" t="s">
        <v>798</v>
      </c>
      <c r="M9" s="356" t="str">
        <f>IMAGE("https://i.ibb.co/MBxgmgC/2-1.png")</f>
        <v/>
      </c>
      <c r="N9" s="349"/>
      <c r="O9" s="357" t="str">
        <f>Source!$E$17</f>
        <v/>
      </c>
      <c r="P9" s="358" t="s">
        <v>799</v>
      </c>
      <c r="Q9" s="359" t="str">
        <f>IMAGE("https://i.ibb.co/yR6q8VR/2-1.png")</f>
        <v/>
      </c>
      <c r="R9" s="349"/>
      <c r="S9" s="808"/>
      <c r="T9" s="328"/>
    </row>
    <row r="10" ht="3.75" customHeight="1">
      <c r="A10" s="324"/>
      <c r="B10" s="805"/>
      <c r="C10" s="341"/>
      <c r="D10" s="341"/>
      <c r="E10" s="341"/>
      <c r="F10" s="342"/>
      <c r="G10" s="341"/>
      <c r="H10" s="341"/>
      <c r="I10" s="341"/>
      <c r="J10" s="342"/>
      <c r="K10" s="341"/>
      <c r="L10" s="341"/>
      <c r="M10" s="341"/>
      <c r="N10" s="342"/>
      <c r="O10" s="341"/>
      <c r="P10" s="341"/>
      <c r="Q10" s="343"/>
      <c r="R10" s="343"/>
      <c r="S10" s="806"/>
      <c r="T10" s="328"/>
    </row>
    <row r="11" ht="16.5" customHeight="1">
      <c r="A11" s="324"/>
      <c r="B11" s="805"/>
      <c r="C11" s="366" t="str">
        <f>IMAGE("https://i.ibb.co/7zz98fV/bulbasaur.png
",3)</f>
        <v/>
      </c>
      <c r="D11" s="367" t="s">
        <v>411</v>
      </c>
      <c r="E11" s="368" t="str">
        <f t="shared" ref="E11:E19" si="1">IMAGE("https://i.ibb.co/SXG0s7n/2-1.png")</f>
        <v/>
      </c>
      <c r="F11" s="369"/>
      <c r="G11" s="371" t="str">
        <f>IMAGE("https://i.ibb.co/xSz20Xp/squirtle.png",3)</f>
        <v/>
      </c>
      <c r="H11" s="372" t="s">
        <v>1193</v>
      </c>
      <c r="I11" s="373" t="str">
        <f t="shared" ref="I11:I19" si="2">IMAGE("https://i.ibb.co/Kx0DJFL/2-1.png")</f>
        <v/>
      </c>
      <c r="J11" s="369"/>
      <c r="K11" s="374" t="str">
        <f>IMAGE("https://i.ibb.co/cY5DjDN/charmander.png",3)</f>
        <v/>
      </c>
      <c r="L11" s="375" t="s">
        <v>512</v>
      </c>
      <c r="M11" s="376" t="str">
        <f t="shared" ref="M11:M19" si="3">IMAGE("https://i.ibb.co/MBxgmgC/2-1.png")</f>
        <v/>
      </c>
      <c r="N11" s="369"/>
      <c r="O11" s="377" t="str">
        <f>IMAGE("https://i.ibb.co/HzDHvcb/pikachupopstar.png",3)</f>
        <v/>
      </c>
      <c r="P11" s="809" t="s">
        <v>1194</v>
      </c>
      <c r="Q11" s="379" t="str">
        <f t="shared" ref="Q11:Q18" si="4">IMAGE("https://i.ibb.co/yR6q8VR/2-1.png")</f>
        <v/>
      </c>
      <c r="R11" s="380"/>
      <c r="S11" s="810"/>
      <c r="T11" s="328"/>
    </row>
    <row r="12" ht="16.5" customHeight="1">
      <c r="A12" s="324"/>
      <c r="B12" s="805"/>
      <c r="C12" s="366" t="str">
        <f>IMAGE("https://i.ibb.co/SdQhqGk/chikorita.png",3)</f>
        <v/>
      </c>
      <c r="D12" s="367" t="s">
        <v>1195</v>
      </c>
      <c r="E12" s="368" t="str">
        <f t="shared" si="1"/>
        <v/>
      </c>
      <c r="F12" s="370"/>
      <c r="G12" s="371" t="str">
        <f>IMAGE("https://i.ibb.co/NLdFXCQ/totodile.png",3)</f>
        <v/>
      </c>
      <c r="H12" s="372" t="s">
        <v>1196</v>
      </c>
      <c r="I12" s="373" t="str">
        <f t="shared" si="2"/>
        <v/>
      </c>
      <c r="J12" s="370"/>
      <c r="K12" s="374" t="str">
        <f>IMAGE("https://i.ibb.co/Zg75dqd/cyndaquil.png",3)</f>
        <v/>
      </c>
      <c r="L12" s="375" t="s">
        <v>1197</v>
      </c>
      <c r="M12" s="376" t="str">
        <f t="shared" si="3"/>
        <v/>
      </c>
      <c r="N12" s="370"/>
      <c r="O12" s="377" t="str">
        <f>IMAGE("https://i.ibb.co/F4Z176W/pikachubelle.png",3)</f>
        <v/>
      </c>
      <c r="P12" s="809" t="s">
        <v>1198</v>
      </c>
      <c r="Q12" s="379" t="str">
        <f t="shared" si="4"/>
        <v/>
      </c>
      <c r="R12" s="380"/>
      <c r="S12" s="811"/>
      <c r="T12" s="328"/>
    </row>
    <row r="13" ht="16.5" customHeight="1">
      <c r="A13" s="324"/>
      <c r="B13" s="805"/>
      <c r="C13" s="366" t="str">
        <f>IMAGE("https://i.ibb.co/nrGm0mB/treeko.png",3)</f>
        <v/>
      </c>
      <c r="D13" s="367" t="s">
        <v>1199</v>
      </c>
      <c r="E13" s="368" t="str">
        <f t="shared" si="1"/>
        <v/>
      </c>
      <c r="F13" s="370"/>
      <c r="G13" s="371" t="str">
        <f>IMAGE("https://i.ibb.co/mSsYRKL/mudkip.png",3)</f>
        <v/>
      </c>
      <c r="H13" s="372" t="s">
        <v>1200</v>
      </c>
      <c r="I13" s="373" t="str">
        <f t="shared" si="2"/>
        <v/>
      </c>
      <c r="J13" s="370"/>
      <c r="K13" s="374" t="str">
        <f>IMAGE("https://i.ibb.co/jGqhm7S/torchic.png",3)</f>
        <v/>
      </c>
      <c r="L13" s="375" t="s">
        <v>1201</v>
      </c>
      <c r="M13" s="376" t="str">
        <f t="shared" si="3"/>
        <v/>
      </c>
      <c r="N13" s="370"/>
      <c r="O13" s="377" t="str">
        <f>IMAGE("https://i.ibb.co/rx84mDH/pikachurockstar.png",3)</f>
        <v/>
      </c>
      <c r="P13" s="809" t="s">
        <v>1202</v>
      </c>
      <c r="Q13" s="379" t="str">
        <f t="shared" si="4"/>
        <v/>
      </c>
      <c r="R13" s="380"/>
      <c r="S13" s="811"/>
      <c r="T13" s="328"/>
    </row>
    <row r="14" ht="16.5" customHeight="1">
      <c r="A14" s="324"/>
      <c r="B14" s="812"/>
      <c r="C14" s="366" t="str">
        <f>IMAGE("https://i.ibb.co/Pt0bWgJ/turtwig.png",3)</f>
        <v/>
      </c>
      <c r="D14" s="367" t="s">
        <v>1203</v>
      </c>
      <c r="E14" s="368" t="str">
        <f t="shared" si="1"/>
        <v/>
      </c>
      <c r="F14" s="813"/>
      <c r="G14" s="371" t="str">
        <f>IMAGE("https://i.ibb.co/kSQ9V0J/piplup.png",3)</f>
        <v/>
      </c>
      <c r="H14" s="372" t="s">
        <v>1204</v>
      </c>
      <c r="I14" s="373" t="str">
        <f t="shared" si="2"/>
        <v/>
      </c>
      <c r="J14" s="813"/>
      <c r="K14" s="374" t="str">
        <f>IMAGE("https://i.ibb.co/svJmHry/chimchar.png",3)</f>
        <v/>
      </c>
      <c r="L14" s="375" t="s">
        <v>1205</v>
      </c>
      <c r="M14" s="376" t="str">
        <f t="shared" si="3"/>
        <v/>
      </c>
      <c r="N14" s="813"/>
      <c r="O14" s="377" t="str">
        <f>IMAGE("https://i.ibb.co/qCqkBWF/pikachulibre.png",3)</f>
        <v/>
      </c>
      <c r="P14" s="809" t="s">
        <v>1206</v>
      </c>
      <c r="Q14" s="379" t="str">
        <f t="shared" si="4"/>
        <v/>
      </c>
      <c r="R14" s="380"/>
      <c r="S14" s="814"/>
      <c r="T14" s="328"/>
    </row>
    <row r="15" ht="16.5" customHeight="1">
      <c r="A15" s="324"/>
      <c r="B15" s="812"/>
      <c r="C15" s="366" t="str">
        <f>IMAGE("https://i.ibb.co/dDXvZ4d/snivy.png",3)</f>
        <v/>
      </c>
      <c r="D15" s="367" t="s">
        <v>1207</v>
      </c>
      <c r="E15" s="368" t="str">
        <f t="shared" si="1"/>
        <v/>
      </c>
      <c r="F15" s="813"/>
      <c r="G15" s="371" t="str">
        <f>IMAGE("https://i.ibb.co/pZ26CJB/oshowat.png",3)</f>
        <v/>
      </c>
      <c r="H15" s="372" t="s">
        <v>1208</v>
      </c>
      <c r="I15" s="373" t="str">
        <f t="shared" si="2"/>
        <v/>
      </c>
      <c r="J15" s="813"/>
      <c r="K15" s="374" t="str">
        <f>IMAGE("https://i.ibb.co/F77K6dw/tepig.png",3)</f>
        <v/>
      </c>
      <c r="L15" s="375" t="s">
        <v>1209</v>
      </c>
      <c r="M15" s="376" t="str">
        <f t="shared" si="3"/>
        <v/>
      </c>
      <c r="N15" s="813"/>
      <c r="O15" s="377" t="str">
        <f>IMAGE("https://i.ibb.co/S38h0H0/pikachuphd.png",3)</f>
        <v/>
      </c>
      <c r="P15" s="809" t="s">
        <v>1210</v>
      </c>
      <c r="Q15" s="379" t="str">
        <f t="shared" si="4"/>
        <v/>
      </c>
      <c r="R15" s="380"/>
      <c r="S15" s="814"/>
      <c r="T15" s="328"/>
    </row>
    <row r="16" ht="16.5" customHeight="1">
      <c r="A16" s="324"/>
      <c r="B16" s="812"/>
      <c r="C16" s="366" t="str">
        <f>IMAGE("https://i.ibb.co/SJcTv0t/chespin.png",3)</f>
        <v/>
      </c>
      <c r="D16" s="367" t="s">
        <v>1211</v>
      </c>
      <c r="E16" s="368" t="str">
        <f t="shared" si="1"/>
        <v/>
      </c>
      <c r="F16" s="813"/>
      <c r="G16" s="371" t="str">
        <f>IMAGE("https://i.ibb.co/6nVvkmt/froakie.png",3)</f>
        <v/>
      </c>
      <c r="H16" s="372" t="s">
        <v>1212</v>
      </c>
      <c r="I16" s="373" t="str">
        <f t="shared" si="2"/>
        <v/>
      </c>
      <c r="J16" s="813"/>
      <c r="K16" s="374" t="str">
        <f>IMAGE("https://i.ibb.co/nfhQCJb/fennekin.png",3)</f>
        <v/>
      </c>
      <c r="L16" s="375" t="s">
        <v>1213</v>
      </c>
      <c r="M16" s="376" t="str">
        <f t="shared" si="3"/>
        <v/>
      </c>
      <c r="N16" s="813"/>
      <c r="O16" s="377" t="str">
        <f t="shared" ref="O16:O17" si="5">IMAGE("https://i.ibb.co/S0qc7Hc/Pikachu.png",3)</f>
        <v/>
      </c>
      <c r="P16" s="809" t="s">
        <v>1214</v>
      </c>
      <c r="Q16" s="379" t="str">
        <f t="shared" si="4"/>
        <v/>
      </c>
      <c r="R16" s="380"/>
      <c r="S16" s="814"/>
      <c r="T16" s="328"/>
    </row>
    <row r="17" ht="16.5" customHeight="1">
      <c r="A17" s="324"/>
      <c r="B17" s="812"/>
      <c r="C17" s="366" t="str">
        <f>IMAGE("https://i.ibb.co/1fbbLRn/rowlet.png",3)</f>
        <v/>
      </c>
      <c r="D17" s="367" t="s">
        <v>1215</v>
      </c>
      <c r="E17" s="368" t="str">
        <f t="shared" si="1"/>
        <v/>
      </c>
      <c r="F17" s="813"/>
      <c r="G17" s="371" t="str">
        <f>IMAGE("https://i.ibb.co/5Bc4GHj/popplio.png",3)</f>
        <v/>
      </c>
      <c r="H17" s="372" t="s">
        <v>1216</v>
      </c>
      <c r="I17" s="373" t="str">
        <f t="shared" si="2"/>
        <v/>
      </c>
      <c r="J17" s="813"/>
      <c r="K17" s="374" t="str">
        <f>IMAGE("https://i.ibb.co/ykpScK2/litten.png",3)</f>
        <v/>
      </c>
      <c r="L17" s="375" t="s">
        <v>1217</v>
      </c>
      <c r="M17" s="376" t="str">
        <f t="shared" si="3"/>
        <v/>
      </c>
      <c r="N17" s="813"/>
      <c r="O17" s="377" t="str">
        <f t="shared" si="5"/>
        <v/>
      </c>
      <c r="P17" s="809" t="s">
        <v>1218</v>
      </c>
      <c r="Q17" s="379" t="str">
        <f t="shared" si="4"/>
        <v/>
      </c>
      <c r="R17" s="380"/>
      <c r="S17" s="814"/>
      <c r="T17" s="328"/>
    </row>
    <row r="18" ht="16.5" customHeight="1">
      <c r="A18" s="324"/>
      <c r="B18" s="812"/>
      <c r="C18" s="366" t="str">
        <f>IMAGE("https://i.ibb.co/Th0kZp3/grookey.png",3)</f>
        <v/>
      </c>
      <c r="D18" s="367" t="s">
        <v>1219</v>
      </c>
      <c r="E18" s="368" t="str">
        <f t="shared" si="1"/>
        <v/>
      </c>
      <c r="F18" s="813"/>
      <c r="G18" s="371" t="str">
        <f>IMAGE("https://i.ibb.co/0sZBRy4/sobble.png",3)</f>
        <v/>
      </c>
      <c r="H18" s="372" t="s">
        <v>1220</v>
      </c>
      <c r="I18" s="373" t="str">
        <f t="shared" si="2"/>
        <v/>
      </c>
      <c r="J18" s="813"/>
      <c r="K18" s="374" t="str">
        <f>IMAGE("https://i.ibb.co/hZLFvzg/scorbunny.png",3)</f>
        <v/>
      </c>
      <c r="L18" s="375" t="s">
        <v>1221</v>
      </c>
      <c r="M18" s="376" t="str">
        <f t="shared" si="3"/>
        <v/>
      </c>
      <c r="N18" s="387"/>
      <c r="O18" s="387"/>
      <c r="P18" s="378" t="s">
        <v>1222</v>
      </c>
      <c r="Q18" s="379" t="str">
        <f t="shared" si="4"/>
        <v/>
      </c>
      <c r="R18" s="380"/>
      <c r="S18" s="815"/>
      <c r="T18" s="328"/>
    </row>
    <row r="19" ht="16.5" customHeight="1">
      <c r="A19" s="324"/>
      <c r="B19" s="812"/>
      <c r="C19" s="366" t="str">
        <f>IMAGE("https://i.ibb.co/j36yssK/sprig.png",3)</f>
        <v/>
      </c>
      <c r="D19" s="367" t="s">
        <v>1223</v>
      </c>
      <c r="E19" s="368" t="str">
        <f t="shared" si="1"/>
        <v/>
      </c>
      <c r="F19" s="813"/>
      <c r="G19" s="371" t="str">
        <f>IMAGE("https://i.ibb.co/2tc7sbr/quax.png",3)</f>
        <v/>
      </c>
      <c r="H19" s="372" t="s">
        <v>1224</v>
      </c>
      <c r="I19" s="373" t="str">
        <f t="shared" si="2"/>
        <v/>
      </c>
      <c r="J19" s="813"/>
      <c r="K19" s="374" t="str">
        <f>IMAGE("https://i.ibb.co/ZVQmxYm/fueco.png",3)</f>
        <v/>
      </c>
      <c r="L19" s="375" t="s">
        <v>1225</v>
      </c>
      <c r="M19" s="376" t="str">
        <f t="shared" si="3"/>
        <v/>
      </c>
      <c r="N19" s="370"/>
      <c r="O19" s="370"/>
      <c r="P19" s="370"/>
      <c r="Q19" s="370"/>
      <c r="R19" s="816"/>
      <c r="S19" s="817"/>
      <c r="T19" s="328"/>
    </row>
    <row r="20" ht="4.5" customHeight="1">
      <c r="A20" s="324"/>
      <c r="B20" s="812"/>
      <c r="C20" s="813"/>
      <c r="D20" s="813"/>
      <c r="E20" s="813"/>
      <c r="F20" s="813"/>
      <c r="G20" s="813"/>
      <c r="H20" s="813"/>
      <c r="I20" s="813"/>
      <c r="J20" s="813"/>
      <c r="K20" s="813"/>
      <c r="L20" s="813"/>
      <c r="M20" s="813"/>
      <c r="N20" s="818"/>
      <c r="O20" s="818"/>
      <c r="P20" s="818"/>
      <c r="Q20" s="818"/>
      <c r="R20" s="343"/>
      <c r="S20" s="806"/>
      <c r="T20" s="328"/>
    </row>
    <row r="21" ht="3.75" customHeight="1">
      <c r="A21" s="324"/>
      <c r="B21" s="819"/>
      <c r="C21" s="820"/>
      <c r="D21" s="820"/>
      <c r="E21" s="820"/>
      <c r="F21" s="820"/>
      <c r="G21" s="820"/>
      <c r="H21" s="820"/>
      <c r="I21" s="820"/>
      <c r="J21" s="820"/>
      <c r="K21" s="820"/>
      <c r="L21" s="820"/>
      <c r="M21" s="820"/>
      <c r="N21" s="820"/>
      <c r="O21" s="820"/>
      <c r="P21" s="820"/>
      <c r="Q21" s="820"/>
      <c r="R21" s="820"/>
      <c r="S21" s="821"/>
      <c r="T21" s="328"/>
    </row>
    <row r="22" ht="13.5" customHeight="1">
      <c r="A22" s="324"/>
      <c r="B22" s="801"/>
      <c r="C22" s="330" t="s">
        <v>1226</v>
      </c>
      <c r="D22" s="331"/>
      <c r="E22" s="331"/>
      <c r="F22" s="331"/>
      <c r="G22" s="331"/>
      <c r="H22" s="331"/>
      <c r="I22" s="331"/>
      <c r="J22" s="331"/>
      <c r="K22" s="331"/>
      <c r="L22" s="331"/>
      <c r="M22" s="331"/>
      <c r="N22" s="331"/>
      <c r="O22" s="331"/>
      <c r="P22" s="332"/>
      <c r="Q22" s="333"/>
      <c r="R22" s="333"/>
      <c r="S22" s="802"/>
      <c r="T22" s="328"/>
    </row>
    <row r="23" ht="13.5" customHeight="1">
      <c r="A23" s="324"/>
      <c r="B23" s="801"/>
      <c r="C23" s="335"/>
      <c r="D23" s="278"/>
      <c r="E23" s="278"/>
      <c r="F23" s="278"/>
      <c r="G23" s="278"/>
      <c r="H23" s="278"/>
      <c r="I23" s="278"/>
      <c r="J23" s="278"/>
      <c r="K23" s="278"/>
      <c r="L23" s="278"/>
      <c r="M23" s="278"/>
      <c r="N23" s="278"/>
      <c r="O23" s="278"/>
      <c r="P23" s="279"/>
      <c r="Q23" s="333"/>
      <c r="R23" s="333"/>
      <c r="S23" s="802"/>
      <c r="T23" s="328"/>
    </row>
    <row r="24" ht="16.5" customHeight="1">
      <c r="A24" s="324"/>
      <c r="B24" s="801"/>
      <c r="C24" s="336" t="s">
        <v>1227</v>
      </c>
      <c r="D24" s="274"/>
      <c r="E24" s="274"/>
      <c r="F24" s="274"/>
      <c r="G24" s="274"/>
      <c r="H24" s="274"/>
      <c r="I24" s="274"/>
      <c r="J24" s="274"/>
      <c r="K24" s="274"/>
      <c r="L24" s="274"/>
      <c r="M24" s="274"/>
      <c r="N24" s="274"/>
      <c r="O24" s="274"/>
      <c r="P24" s="274"/>
      <c r="Q24" s="274"/>
      <c r="R24" s="275"/>
      <c r="S24" s="802"/>
      <c r="T24" s="328"/>
    </row>
    <row r="25" ht="16.5" customHeight="1">
      <c r="A25" s="324"/>
      <c r="B25" s="801"/>
      <c r="C25" s="336" t="s">
        <v>1228</v>
      </c>
      <c r="D25" s="274"/>
      <c r="E25" s="274"/>
      <c r="F25" s="274"/>
      <c r="G25" s="274"/>
      <c r="H25" s="274"/>
      <c r="I25" s="274"/>
      <c r="J25" s="274"/>
      <c r="K25" s="274"/>
      <c r="L25" s="274"/>
      <c r="M25" s="274"/>
      <c r="N25" s="274"/>
      <c r="O25" s="274"/>
      <c r="P25" s="274"/>
      <c r="Q25" s="274"/>
      <c r="R25" s="275"/>
      <c r="S25" s="802"/>
      <c r="T25" s="328"/>
    </row>
    <row r="26" ht="16.5" customHeight="1">
      <c r="A26" s="324"/>
      <c r="B26" s="803"/>
      <c r="C26" s="336" t="s">
        <v>1229</v>
      </c>
      <c r="D26" s="274"/>
      <c r="E26" s="274"/>
      <c r="F26" s="274"/>
      <c r="G26" s="274"/>
      <c r="H26" s="274"/>
      <c r="I26" s="274"/>
      <c r="J26" s="274"/>
      <c r="K26" s="274"/>
      <c r="L26" s="274"/>
      <c r="M26" s="274"/>
      <c r="N26" s="274"/>
      <c r="O26" s="274"/>
      <c r="P26" s="274"/>
      <c r="Q26" s="274"/>
      <c r="R26" s="275"/>
      <c r="S26" s="804"/>
      <c r="T26" s="328"/>
    </row>
    <row r="27" ht="16.5" customHeight="1">
      <c r="A27" s="324"/>
      <c r="B27" s="803"/>
      <c r="C27" s="336" t="s">
        <v>1230</v>
      </c>
      <c r="D27" s="274"/>
      <c r="E27" s="274"/>
      <c r="F27" s="274"/>
      <c r="G27" s="274"/>
      <c r="H27" s="274"/>
      <c r="I27" s="274"/>
      <c r="J27" s="274"/>
      <c r="K27" s="274"/>
      <c r="L27" s="274"/>
      <c r="M27" s="274"/>
      <c r="N27" s="274"/>
      <c r="O27" s="274"/>
      <c r="P27" s="274"/>
      <c r="Q27" s="274"/>
      <c r="R27" s="275"/>
      <c r="S27" s="804"/>
      <c r="T27" s="328"/>
    </row>
    <row r="28" ht="3.75" customHeight="1">
      <c r="A28" s="324"/>
      <c r="B28" s="803"/>
      <c r="C28" s="338"/>
      <c r="D28" s="331"/>
      <c r="E28" s="331"/>
      <c r="F28" s="331"/>
      <c r="G28" s="331"/>
      <c r="H28" s="331"/>
      <c r="I28" s="331"/>
      <c r="J28" s="331"/>
      <c r="K28" s="331"/>
      <c r="L28" s="331"/>
      <c r="M28" s="331"/>
      <c r="N28" s="331"/>
      <c r="O28" s="331"/>
      <c r="P28" s="331"/>
      <c r="Q28" s="331"/>
      <c r="R28" s="332"/>
      <c r="S28" s="804"/>
      <c r="T28" s="328"/>
    </row>
    <row r="29" ht="6.0" customHeight="1">
      <c r="A29" s="324"/>
      <c r="B29" s="805"/>
      <c r="C29" s="341"/>
      <c r="D29" s="341"/>
      <c r="E29" s="341"/>
      <c r="F29" s="341"/>
      <c r="G29" s="341"/>
      <c r="H29" s="341"/>
      <c r="I29" s="341"/>
      <c r="J29" s="341"/>
      <c r="K29" s="341"/>
      <c r="L29" s="341"/>
      <c r="M29" s="342"/>
      <c r="N29" s="342"/>
      <c r="O29" s="342"/>
      <c r="P29" s="342"/>
      <c r="Q29" s="816"/>
      <c r="R29" s="816"/>
      <c r="S29" s="806"/>
      <c r="T29" s="328"/>
    </row>
    <row r="30" ht="19.5" customHeight="1">
      <c r="A30" s="324"/>
      <c r="B30" s="807"/>
      <c r="C30" s="822">
        <v>100000.0</v>
      </c>
      <c r="D30" s="823"/>
      <c r="E30" s="823"/>
      <c r="F30" s="823"/>
      <c r="G30" s="823"/>
      <c r="H30" s="823"/>
      <c r="I30" s="823"/>
      <c r="J30" s="823"/>
      <c r="K30" s="823"/>
      <c r="L30" s="824"/>
      <c r="M30" s="825" t="str">
        <f>IMAGE("https://i.ibb.co/QbW3HFJ/2-1.png")</f>
        <v/>
      </c>
      <c r="N30" s="823"/>
      <c r="O30" s="826"/>
      <c r="P30" s="827"/>
      <c r="Q30" s="828"/>
      <c r="R30" s="829"/>
      <c r="S30" s="808"/>
      <c r="T30" s="328"/>
    </row>
    <row r="31" ht="3.75" customHeight="1">
      <c r="A31" s="324"/>
      <c r="B31" s="805"/>
      <c r="C31" s="341"/>
      <c r="D31" s="341"/>
      <c r="E31" s="341"/>
      <c r="F31" s="342"/>
      <c r="G31" s="341"/>
      <c r="H31" s="341"/>
      <c r="I31" s="341"/>
      <c r="J31" s="342"/>
      <c r="K31" s="341"/>
      <c r="L31" s="341"/>
      <c r="M31" s="341"/>
      <c r="N31" s="342"/>
      <c r="O31" s="341"/>
      <c r="P31" s="341"/>
      <c r="Q31" s="343"/>
      <c r="R31" s="343"/>
      <c r="S31" s="806"/>
      <c r="T31" s="328"/>
    </row>
    <row r="32" ht="16.5" customHeight="1">
      <c r="A32" s="324"/>
      <c r="B32" s="805"/>
      <c r="C32" s="830" t="str">
        <f>IMAGE("https://i.ibb.co/NCN09RD/dratini.png",3)</f>
        <v/>
      </c>
      <c r="D32" s="831" t="s">
        <v>1231</v>
      </c>
      <c r="E32" s="825" t="str">
        <f t="shared" ref="E32:E36" si="6">IMAGE("https://i.ibb.co/QbW3HFJ/2-1.png")</f>
        <v/>
      </c>
      <c r="F32" s="823"/>
      <c r="G32" s="830" t="str">
        <f>IMAGE("https://i.ibb.co/RNSPn8H/Rotom.png",3)</f>
        <v/>
      </c>
      <c r="H32" s="831" t="s">
        <v>508</v>
      </c>
      <c r="I32" s="825" t="str">
        <f t="shared" ref="I32:I36" si="7">IMAGE("https://i.ibb.co/QbW3HFJ/2-1.png")</f>
        <v/>
      </c>
      <c r="J32" s="823"/>
      <c r="K32" s="830" t="str">
        <f>IMAGE("https://i.ibb.co/7XDtH5L/jangmoo.png",3)</f>
        <v/>
      </c>
      <c r="L32" s="831" t="s">
        <v>1232</v>
      </c>
      <c r="M32" s="825" t="str">
        <f t="shared" ref="M32:M36" si="8">IMAGE("https://i.ibb.co/QbW3HFJ/2-1.png")</f>
        <v/>
      </c>
      <c r="N32" s="823"/>
      <c r="O32" s="832"/>
      <c r="P32" s="833"/>
      <c r="Q32" s="828"/>
      <c r="R32" s="829"/>
      <c r="S32" s="810"/>
      <c r="T32" s="328"/>
    </row>
    <row r="33" ht="16.5" customHeight="1">
      <c r="A33" s="324"/>
      <c r="B33" s="805"/>
      <c r="C33" s="830" t="str">
        <f>IMAGE("https://i.ibb.co/YpMsy1k/larvitar.png",3)</f>
        <v/>
      </c>
      <c r="D33" s="831" t="s">
        <v>1233</v>
      </c>
      <c r="E33" s="825" t="str">
        <f t="shared" si="6"/>
        <v/>
      </c>
      <c r="F33" s="823"/>
      <c r="G33" s="830" t="str">
        <f>IMAGE("https://i.ibb.co/mXHQDDT/gible.png",3)</f>
        <v/>
      </c>
      <c r="H33" s="831" t="s">
        <v>1234</v>
      </c>
      <c r="I33" s="825" t="str">
        <f t="shared" si="7"/>
        <v/>
      </c>
      <c r="J33" s="823"/>
      <c r="K33" s="830" t="str">
        <f>IMAGE("https://i.ibb.co/bFQkQPy/toxel.png",3)</f>
        <v/>
      </c>
      <c r="L33" s="831" t="s">
        <v>1122</v>
      </c>
      <c r="M33" s="825" t="str">
        <f t="shared" si="8"/>
        <v/>
      </c>
      <c r="N33" s="823"/>
      <c r="O33" s="832"/>
      <c r="P33" s="833"/>
      <c r="Q33" s="828"/>
      <c r="R33" s="829"/>
      <c r="S33" s="811"/>
      <c r="T33" s="328"/>
    </row>
    <row r="34" ht="16.5" customHeight="1">
      <c r="A34" s="324"/>
      <c r="B34" s="805"/>
      <c r="C34" s="830" t="str">
        <f>IMAGE("https://i.ibb.co/09sSsdc/beldum.png",3)</f>
        <v/>
      </c>
      <c r="D34" s="831" t="s">
        <v>1235</v>
      </c>
      <c r="E34" s="825" t="str">
        <f t="shared" si="6"/>
        <v/>
      </c>
      <c r="F34" s="823"/>
      <c r="G34" s="830" t="str">
        <f>IMAGE("https://i.ibb.co/drtjBnF/larvesta.png",3)</f>
        <v/>
      </c>
      <c r="H34" s="831" t="s">
        <v>1236</v>
      </c>
      <c r="I34" s="825" t="str">
        <f t="shared" si="7"/>
        <v/>
      </c>
      <c r="J34" s="823"/>
      <c r="K34" s="830" t="str">
        <f>IMAGE("https://i.ibb.co/12sRv2x/dreepy.png",3)</f>
        <v/>
      </c>
      <c r="L34" s="831" t="s">
        <v>1237</v>
      </c>
      <c r="M34" s="825" t="str">
        <f t="shared" si="8"/>
        <v/>
      </c>
      <c r="N34" s="823"/>
      <c r="O34" s="832"/>
      <c r="P34" s="833"/>
      <c r="Q34" s="828"/>
      <c r="R34" s="829"/>
      <c r="S34" s="811"/>
      <c r="T34" s="328"/>
    </row>
    <row r="35" ht="16.5" customHeight="1">
      <c r="A35" s="324"/>
      <c r="B35" s="812"/>
      <c r="C35" s="830" t="str">
        <f>IMAGE("https://i.ibb.co/8MwBVmb/bagon.png",3)</f>
        <v/>
      </c>
      <c r="D35" s="831" t="s">
        <v>1238</v>
      </c>
      <c r="E35" s="825" t="str">
        <f t="shared" si="6"/>
        <v/>
      </c>
      <c r="F35" s="823"/>
      <c r="G35" s="830" t="str">
        <f>IMAGE("https://i.ibb.co/c2vBt7P/deino.png",3)</f>
        <v/>
      </c>
      <c r="H35" s="831" t="s">
        <v>1239</v>
      </c>
      <c r="I35" s="825" t="str">
        <f t="shared" si="7"/>
        <v/>
      </c>
      <c r="J35" s="823"/>
      <c r="K35" s="830" t="str">
        <f>IMAGE("https://i.ibb.co/0f15RWJ/honedge.png",3)</f>
        <v/>
      </c>
      <c r="L35" s="831" t="s">
        <v>1240</v>
      </c>
      <c r="M35" s="825" t="str">
        <f t="shared" si="8"/>
        <v/>
      </c>
      <c r="N35" s="823"/>
      <c r="O35" s="832"/>
      <c r="P35" s="833"/>
      <c r="Q35" s="828"/>
      <c r="R35" s="829"/>
      <c r="S35" s="814"/>
      <c r="T35" s="328"/>
    </row>
    <row r="36" ht="16.5" customHeight="1">
      <c r="A36" s="324"/>
      <c r="B36" s="812"/>
      <c r="C36" s="830" t="str">
        <f>IMAGE("https://i.ibb.co/CvBrL8k/riolu.png",3)</f>
        <v/>
      </c>
      <c r="D36" s="831" t="s">
        <v>525</v>
      </c>
      <c r="E36" s="825" t="str">
        <f t="shared" si="6"/>
        <v/>
      </c>
      <c r="F36" s="823"/>
      <c r="G36" s="830" t="str">
        <f>IMAGE("https://i.ibb.co/Lr0R5FY/goomy.png",3)</f>
        <v/>
      </c>
      <c r="H36" s="831" t="s">
        <v>1241</v>
      </c>
      <c r="I36" s="825" t="str">
        <f t="shared" si="7"/>
        <v/>
      </c>
      <c r="J36" s="823"/>
      <c r="K36" s="830" t="str">
        <f>IMAGE("https://i.ibb.co/BN8Rppw/frigi.png",3)</f>
        <v/>
      </c>
      <c r="L36" s="831" t="s">
        <v>1242</v>
      </c>
      <c r="M36" s="825" t="str">
        <f t="shared" si="8"/>
        <v/>
      </c>
      <c r="N36" s="823"/>
      <c r="O36" s="832"/>
      <c r="P36" s="833"/>
      <c r="Q36" s="828"/>
      <c r="R36" s="829"/>
      <c r="S36" s="814"/>
      <c r="T36" s="328"/>
    </row>
    <row r="37" ht="3.75" customHeight="1">
      <c r="A37" s="324"/>
      <c r="B37" s="834"/>
      <c r="C37" s="835"/>
      <c r="D37" s="835"/>
      <c r="E37" s="835"/>
      <c r="F37" s="835"/>
      <c r="G37" s="835"/>
      <c r="H37" s="835"/>
      <c r="I37" s="835"/>
      <c r="J37" s="835"/>
      <c r="K37" s="835"/>
      <c r="L37" s="835"/>
      <c r="M37" s="835"/>
      <c r="N37" s="835"/>
      <c r="O37" s="835"/>
      <c r="P37" s="835"/>
      <c r="Q37" s="835"/>
      <c r="R37" s="835"/>
      <c r="S37" s="836"/>
      <c r="T37" s="328"/>
    </row>
    <row r="38" ht="3.75" customHeight="1">
      <c r="A38" s="322"/>
      <c r="B38" s="393"/>
      <c r="C38" s="393"/>
      <c r="D38" s="393"/>
      <c r="E38" s="393"/>
      <c r="F38" s="393"/>
      <c r="G38" s="393"/>
      <c r="H38" s="393"/>
      <c r="I38" s="393"/>
      <c r="J38" s="393"/>
      <c r="K38" s="393"/>
      <c r="L38" s="393"/>
      <c r="M38" s="393"/>
      <c r="N38" s="393"/>
      <c r="O38" s="393"/>
      <c r="P38" s="393"/>
      <c r="Q38" s="393"/>
      <c r="R38" s="393"/>
      <c r="S38" s="393"/>
      <c r="T38" s="322"/>
    </row>
  </sheetData>
  <mergeCells count="45">
    <mergeCell ref="C3:P4"/>
    <mergeCell ref="C5:R5"/>
    <mergeCell ref="C6:R6"/>
    <mergeCell ref="C7:R7"/>
    <mergeCell ref="E9:F9"/>
    <mergeCell ref="I9:J9"/>
    <mergeCell ref="M9:N9"/>
    <mergeCell ref="Q9:R9"/>
    <mergeCell ref="Q11:R11"/>
    <mergeCell ref="Q12:R12"/>
    <mergeCell ref="Q13:R13"/>
    <mergeCell ref="Q14:R14"/>
    <mergeCell ref="Q15:R15"/>
    <mergeCell ref="Q16:R16"/>
    <mergeCell ref="Q17:R17"/>
    <mergeCell ref="Q18:R18"/>
    <mergeCell ref="C22:P23"/>
    <mergeCell ref="C24:R24"/>
    <mergeCell ref="C25:R25"/>
    <mergeCell ref="C26:R26"/>
    <mergeCell ref="C27:R27"/>
    <mergeCell ref="C28:R28"/>
    <mergeCell ref="C30:L30"/>
    <mergeCell ref="M30:N30"/>
    <mergeCell ref="Q30:R30"/>
    <mergeCell ref="I32:J32"/>
    <mergeCell ref="M32:N32"/>
    <mergeCell ref="Q32:R32"/>
    <mergeCell ref="Q33:R33"/>
    <mergeCell ref="Q34:R34"/>
    <mergeCell ref="Q35:R35"/>
    <mergeCell ref="Q36:R36"/>
    <mergeCell ref="I34:J34"/>
    <mergeCell ref="I35:J35"/>
    <mergeCell ref="I36:J36"/>
    <mergeCell ref="E35:F35"/>
    <mergeCell ref="E36:F36"/>
    <mergeCell ref="E32:F32"/>
    <mergeCell ref="E33:F33"/>
    <mergeCell ref="I33:J33"/>
    <mergeCell ref="M33:N33"/>
    <mergeCell ref="E34:F34"/>
    <mergeCell ref="M34:N34"/>
    <mergeCell ref="M35:N35"/>
    <mergeCell ref="M36:N3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7FFF"/>
    <outlinePr summaryBelow="0" summaryRight="0"/>
  </sheetPr>
  <sheetViews>
    <sheetView workbookViewId="0"/>
  </sheetViews>
  <sheetFormatPr customHeight="1" defaultColWidth="12.63" defaultRowHeight="15.75"/>
  <cols>
    <col customWidth="1" min="1" max="2" width="1.38"/>
    <col customWidth="1" min="3" max="3" width="12.63"/>
    <col customWidth="1" min="4" max="4" width="5.25"/>
    <col customWidth="1" min="5" max="6" width="5.13"/>
    <col customWidth="1" min="7" max="7" width="12.63"/>
    <col customWidth="1" min="8" max="8" width="1.38"/>
    <col customWidth="1" min="9" max="9" width="12.63"/>
    <col customWidth="1" min="10" max="10" width="5.25"/>
    <col customWidth="1" min="11" max="12" width="5.13"/>
    <col customWidth="1" min="13" max="13" width="12.63"/>
    <col customWidth="1" min="14" max="15" width="1.38"/>
  </cols>
  <sheetData>
    <row r="1" ht="7.5" customHeight="1">
      <c r="A1" s="394"/>
      <c r="B1" s="395"/>
      <c r="C1" s="395"/>
      <c r="D1" s="395"/>
      <c r="E1" s="395"/>
      <c r="F1" s="395"/>
      <c r="G1" s="395"/>
      <c r="H1" s="395"/>
      <c r="I1" s="395"/>
      <c r="J1" s="395"/>
      <c r="K1" s="395"/>
      <c r="L1" s="395"/>
      <c r="M1" s="395"/>
      <c r="N1" s="395"/>
      <c r="O1" s="394"/>
    </row>
    <row r="2" ht="7.5" customHeight="1">
      <c r="A2" s="396"/>
      <c r="B2" s="837"/>
      <c r="C2" s="838"/>
      <c r="D2" s="838"/>
      <c r="E2" s="838"/>
      <c r="F2" s="838"/>
      <c r="G2" s="838"/>
      <c r="H2" s="838"/>
      <c r="I2" s="838"/>
      <c r="J2" s="838"/>
      <c r="K2" s="838"/>
      <c r="L2" s="838"/>
      <c r="M2" s="838"/>
      <c r="N2" s="839"/>
      <c r="O2" s="401"/>
    </row>
    <row r="3" ht="26.25" customHeight="1">
      <c r="A3" s="840"/>
      <c r="B3" s="841"/>
      <c r="C3" s="842" t="s">
        <v>645</v>
      </c>
      <c r="D3" s="843"/>
      <c r="E3" s="843"/>
      <c r="F3" s="843"/>
      <c r="G3" s="844"/>
      <c r="H3" s="845"/>
      <c r="I3" s="846" t="s">
        <v>1243</v>
      </c>
      <c r="J3" s="847"/>
      <c r="K3" s="847"/>
      <c r="L3" s="847"/>
      <c r="M3" s="848"/>
      <c r="N3" s="849"/>
      <c r="O3" s="850"/>
    </row>
    <row r="4" ht="13.5" customHeight="1">
      <c r="A4" s="851"/>
      <c r="B4" s="852"/>
      <c r="C4" s="853" t="s">
        <v>1244</v>
      </c>
      <c r="D4" s="854"/>
      <c r="E4" s="855"/>
      <c r="F4" s="856" t="s">
        <v>1245</v>
      </c>
      <c r="G4" s="857"/>
      <c r="H4" s="858"/>
      <c r="I4" s="859" t="s">
        <v>1244</v>
      </c>
      <c r="J4" s="860"/>
      <c r="K4" s="861"/>
      <c r="L4" s="862" t="s">
        <v>1245</v>
      </c>
      <c r="M4" s="863"/>
      <c r="N4" s="864"/>
      <c r="O4" s="865"/>
    </row>
    <row r="5" ht="3.75" customHeight="1">
      <c r="A5" s="396"/>
      <c r="B5" s="866"/>
      <c r="C5" s="867" t="s">
        <v>641</v>
      </c>
      <c r="D5" s="868" t="str">
        <f t="array" ref="D5">IFERROR(VLOOKUP(C5,Dex!$B$3:$N28,2,FALSE),"")</f>
        <v/>
      </c>
      <c r="E5" s="869" t="str">
        <f>IMAGE("https://i.ibb.co/ySchxTG/Business-Trade-Transparent.png")</f>
        <v/>
      </c>
      <c r="F5" s="868" t="str">
        <f t="array" ref="F5">IFERROR(VLOOKUP(G5,Dex!$B$3:$N28,2,FALSE),"")</f>
        <v/>
      </c>
      <c r="G5" s="870" t="s">
        <v>785</v>
      </c>
      <c r="H5" s="871"/>
      <c r="I5" s="872" t="s">
        <v>625</v>
      </c>
      <c r="J5" s="873" t="str">
        <f t="array" ref="J5">IFERROR(VLOOKUP(I5,Dex!$B$3:$N28,2,FALSE),"")</f>
        <v/>
      </c>
      <c r="K5" s="874" t="str">
        <f>IMAGE("https://i.ibb.co/ySchxTG/Business-Trade-Transparent.png")</f>
        <v/>
      </c>
      <c r="L5" s="873" t="str">
        <f t="array" ref="L5">IFERROR(VLOOKUP(M5,Dex!$B$3:$N28,2,FALSE),"")</f>
        <v/>
      </c>
      <c r="M5" s="875" t="s">
        <v>786</v>
      </c>
      <c r="N5" s="876"/>
      <c r="O5" s="401"/>
    </row>
    <row r="6" ht="17.25" customHeight="1">
      <c r="A6" s="877"/>
      <c r="B6" s="878"/>
      <c r="C6" s="879"/>
      <c r="D6" s="880"/>
      <c r="E6" s="880"/>
      <c r="F6" s="880"/>
      <c r="G6" s="881"/>
      <c r="H6" s="882"/>
      <c r="I6" s="883"/>
      <c r="J6" s="884"/>
      <c r="K6" s="884"/>
      <c r="L6" s="884"/>
      <c r="M6" s="885"/>
      <c r="N6" s="886"/>
      <c r="O6" s="887"/>
    </row>
    <row r="7" ht="7.5" customHeight="1">
      <c r="A7" s="396"/>
      <c r="B7" s="866"/>
      <c r="C7" s="888"/>
      <c r="D7" s="888"/>
      <c r="E7" s="888"/>
      <c r="F7" s="888"/>
      <c r="G7" s="888"/>
      <c r="H7" s="410"/>
      <c r="I7" s="888"/>
      <c r="J7" s="888"/>
      <c r="K7" s="888"/>
      <c r="L7" s="888"/>
      <c r="M7" s="888"/>
      <c r="N7" s="876"/>
      <c r="O7" s="401"/>
    </row>
    <row r="8" ht="26.25" customHeight="1">
      <c r="A8" s="840"/>
      <c r="B8" s="841"/>
      <c r="C8" s="889" t="s">
        <v>1246</v>
      </c>
      <c r="D8" s="890"/>
      <c r="E8" s="890"/>
      <c r="F8" s="890"/>
      <c r="G8" s="891"/>
      <c r="H8" s="845"/>
      <c r="I8" s="892" t="s">
        <v>1247</v>
      </c>
      <c r="J8" s="893"/>
      <c r="K8" s="893"/>
      <c r="L8" s="893"/>
      <c r="M8" s="894"/>
      <c r="N8" s="849"/>
      <c r="O8" s="850"/>
    </row>
    <row r="9" ht="13.5" customHeight="1">
      <c r="A9" s="851"/>
      <c r="B9" s="852"/>
      <c r="C9" s="895" t="s">
        <v>1244</v>
      </c>
      <c r="D9" s="896"/>
      <c r="E9" s="897"/>
      <c r="F9" s="898" t="s">
        <v>1245</v>
      </c>
      <c r="G9" s="899"/>
      <c r="H9" s="858"/>
      <c r="I9" s="900" t="s">
        <v>1244</v>
      </c>
      <c r="J9" s="901"/>
      <c r="K9" s="902"/>
      <c r="L9" s="903" t="s">
        <v>1245</v>
      </c>
      <c r="M9" s="904"/>
      <c r="N9" s="864"/>
      <c r="O9" s="865"/>
    </row>
    <row r="10" ht="3.75" customHeight="1">
      <c r="A10" s="396"/>
      <c r="B10" s="866"/>
      <c r="C10" s="905" t="s">
        <v>367</v>
      </c>
      <c r="D10" s="906" t="str">
        <f t="array" ref="D10">IFERROR(VLOOKUP(C10,Dex!$B$3:$N28,2,FALSE),"")</f>
        <v/>
      </c>
      <c r="E10" s="907" t="str">
        <f>IMAGE("https://i.ibb.co/ySchxTG/Business-Trade-Transparent.png")</f>
        <v/>
      </c>
      <c r="F10" s="906" t="str">
        <f t="array" ref="F10">IFERROR(VLOOKUP(G10,Dex!$B$3:$N28,2,FALSE),"")</f>
        <v/>
      </c>
      <c r="G10" s="908" t="s">
        <v>788</v>
      </c>
      <c r="H10" s="871"/>
      <c r="I10" s="909" t="s">
        <v>363</v>
      </c>
      <c r="J10" s="910" t="str">
        <f t="array" ref="J10">IFERROR(VLOOKUP(I10,Dex!$B$3:$N28,2,FALSE),"")</f>
        <v/>
      </c>
      <c r="K10" s="911" t="str">
        <f>IMAGE("https://i.ibb.co/ySchxTG/Business-Trade-Transparent.png")</f>
        <v/>
      </c>
      <c r="L10" s="910" t="str">
        <f t="array" ref="L10">IFERROR(VLOOKUP(M10,Dex!$B$3:$N28,2,FALSE),"")</f>
        <v/>
      </c>
      <c r="M10" s="912" t="s">
        <v>426</v>
      </c>
      <c r="N10" s="876"/>
      <c r="O10" s="401"/>
    </row>
    <row r="11" ht="17.25" customHeight="1">
      <c r="A11" s="396"/>
      <c r="B11" s="913"/>
      <c r="C11" s="914"/>
      <c r="D11" s="915"/>
      <c r="E11" s="915"/>
      <c r="F11" s="915"/>
      <c r="G11" s="916"/>
      <c r="H11" s="917"/>
      <c r="I11" s="918"/>
      <c r="J11" s="919"/>
      <c r="K11" s="919"/>
      <c r="L11" s="919"/>
      <c r="M11" s="920"/>
      <c r="N11" s="921"/>
      <c r="O11" s="401"/>
    </row>
    <row r="12" ht="7.5" customHeight="1">
      <c r="A12" s="396"/>
      <c r="B12" s="913"/>
      <c r="C12" s="922"/>
      <c r="D12" s="922"/>
      <c r="E12" s="923"/>
      <c r="F12" s="922"/>
      <c r="G12" s="922"/>
      <c r="H12" s="923"/>
      <c r="I12" s="922"/>
      <c r="J12" s="922"/>
      <c r="K12" s="923"/>
      <c r="L12" s="922"/>
      <c r="M12" s="922"/>
      <c r="N12" s="921"/>
      <c r="O12" s="401"/>
    </row>
    <row r="13" ht="26.25" customHeight="1">
      <c r="A13" s="840"/>
      <c r="B13" s="841"/>
      <c r="C13" s="924" t="s">
        <v>1248</v>
      </c>
      <c r="D13" s="925"/>
      <c r="E13" s="925"/>
      <c r="F13" s="925"/>
      <c r="G13" s="926"/>
      <c r="H13" s="845"/>
      <c r="I13" s="927" t="s">
        <v>1249</v>
      </c>
      <c r="J13" s="928"/>
      <c r="K13" s="928"/>
      <c r="L13" s="928"/>
      <c r="M13" s="929"/>
      <c r="N13" s="849"/>
      <c r="O13" s="850"/>
    </row>
    <row r="14" ht="13.5" customHeight="1">
      <c r="A14" s="851"/>
      <c r="B14" s="852"/>
      <c r="C14" s="930" t="s">
        <v>1244</v>
      </c>
      <c r="D14" s="931"/>
      <c r="E14" s="932"/>
      <c r="F14" s="933" t="s">
        <v>1245</v>
      </c>
      <c r="G14" s="934"/>
      <c r="H14" s="858"/>
      <c r="I14" s="935" t="s">
        <v>1244</v>
      </c>
      <c r="J14" s="936"/>
      <c r="K14" s="937"/>
      <c r="L14" s="938" t="s">
        <v>1245</v>
      </c>
      <c r="M14" s="939"/>
      <c r="N14" s="864"/>
      <c r="O14" s="865"/>
    </row>
    <row r="15" ht="3.75" customHeight="1">
      <c r="A15" s="396"/>
      <c r="B15" s="866"/>
      <c r="C15" s="940" t="s">
        <v>445</v>
      </c>
      <c r="D15" s="941" t="str">
        <f t="array" ref="D15">IFERROR(VLOOKUP(C15,Dex!$B$3:$N28,2,FALSE),"")</f>
        <v/>
      </c>
      <c r="E15" s="942" t="str">
        <f>IMAGE("https://i.ibb.co/ySchxTG/Business-Trade-Transparent.png")</f>
        <v/>
      </c>
      <c r="F15" s="941" t="str">
        <f t="array" ref="F15">IFERROR(VLOOKUP(G15,Dex!$B$3:$N28,2,FALSE),"")</f>
        <v/>
      </c>
      <c r="G15" s="943" t="s">
        <v>1250</v>
      </c>
      <c r="H15" s="871"/>
      <c r="I15" s="944" t="s">
        <v>442</v>
      </c>
      <c r="J15" s="945" t="str">
        <f t="array" ref="J15">IFERROR(VLOOKUP(I15,Dex!$B$3:$N28,2,FALSE),"")</f>
        <v/>
      </c>
      <c r="K15" s="946" t="str">
        <f>IMAGE("https://i.ibb.co/ySchxTG/Business-Trade-Transparent.png")</f>
        <v/>
      </c>
      <c r="L15" s="945" t="str">
        <f t="array" ref="L15">IFERROR(VLOOKUP(M15,Dex!$B$3:$N28,2,FALSE),"")</f>
        <v/>
      </c>
      <c r="M15" s="947" t="s">
        <v>348</v>
      </c>
      <c r="N15" s="876"/>
      <c r="O15" s="401"/>
    </row>
    <row r="16" ht="17.25" customHeight="1">
      <c r="A16" s="396"/>
      <c r="B16" s="913"/>
      <c r="C16" s="948"/>
      <c r="D16" s="949"/>
      <c r="E16" s="949"/>
      <c r="F16" s="949"/>
      <c r="G16" s="950"/>
      <c r="H16" s="917"/>
      <c r="I16" s="951"/>
      <c r="J16" s="952"/>
      <c r="K16" s="952"/>
      <c r="L16" s="952"/>
      <c r="M16" s="953"/>
      <c r="N16" s="921"/>
      <c r="O16" s="401"/>
    </row>
    <row r="17" ht="7.5" customHeight="1">
      <c r="A17" s="396"/>
      <c r="B17" s="913"/>
      <c r="C17" s="922"/>
      <c r="D17" s="922"/>
      <c r="E17" s="923"/>
      <c r="F17" s="922"/>
      <c r="G17" s="922"/>
      <c r="H17" s="923"/>
      <c r="I17" s="922"/>
      <c r="J17" s="922"/>
      <c r="K17" s="923"/>
      <c r="L17" s="922"/>
      <c r="M17" s="922"/>
      <c r="N17" s="921"/>
      <c r="O17" s="401"/>
    </row>
    <row r="18" ht="26.25" customHeight="1">
      <c r="A18" s="840"/>
      <c r="B18" s="841"/>
      <c r="C18" s="954" t="s">
        <v>1251</v>
      </c>
      <c r="D18" s="955"/>
      <c r="E18" s="955"/>
      <c r="F18" s="955"/>
      <c r="G18" s="956"/>
      <c r="H18" s="845"/>
      <c r="I18" s="927" t="s">
        <v>1249</v>
      </c>
      <c r="J18" s="928"/>
      <c r="K18" s="928"/>
      <c r="L18" s="928"/>
      <c r="M18" s="929"/>
      <c r="N18" s="849"/>
      <c r="O18" s="850"/>
    </row>
    <row r="19" ht="13.5" customHeight="1">
      <c r="A19" s="851"/>
      <c r="B19" s="852"/>
      <c r="C19" s="957" t="s">
        <v>1244</v>
      </c>
      <c r="D19" s="958"/>
      <c r="E19" s="959"/>
      <c r="F19" s="960" t="s">
        <v>1245</v>
      </c>
      <c r="G19" s="961"/>
      <c r="H19" s="858"/>
      <c r="I19" s="962" t="s">
        <v>1244</v>
      </c>
      <c r="J19" s="963"/>
      <c r="K19" s="964"/>
      <c r="L19" s="965" t="s">
        <v>1245</v>
      </c>
      <c r="M19" s="966"/>
      <c r="N19" s="864"/>
      <c r="O19" s="865"/>
    </row>
    <row r="20" ht="3.75" customHeight="1">
      <c r="A20" s="396"/>
      <c r="B20" s="866"/>
      <c r="C20" s="967" t="s">
        <v>1252</v>
      </c>
      <c r="D20" s="968" t="str">
        <f t="array" ref="D20">IFERROR(VLOOKUP(C20,Dex!$B$3:$N28,2,FALSE),"")</f>
        <v/>
      </c>
      <c r="E20" s="969" t="str">
        <f>IMAGE("https://i.ibb.co/ySchxTG/Business-Trade-Transparent.png")</f>
        <v/>
      </c>
      <c r="F20" s="968" t="str">
        <f t="array" ref="F20">IFERROR(VLOOKUP(G20,Dex!$B$3:$N28,2,FALSE),"")</f>
        <v/>
      </c>
      <c r="G20" s="970" t="s">
        <v>790</v>
      </c>
      <c r="H20" s="871"/>
      <c r="I20" s="971" t="s">
        <v>156</v>
      </c>
      <c r="J20" s="972" t="str">
        <f t="array" ref="J20">IFERROR(VLOOKUP(I20,Dex!$B$3:$N28,2,FALSE),"")</f>
        <v/>
      </c>
      <c r="K20" s="973" t="str">
        <f>IMAGE("https://i.ibb.co/ySchxTG/Business-Trade-Transparent.png")</f>
        <v/>
      </c>
      <c r="L20" s="974" t="str">
        <f t="array" ref="L20">IFERROR(VLOOKUP(M20,Dex!$B$3:$N28,2,FALSE),"")</f>
        <v/>
      </c>
      <c r="M20" s="975" t="s">
        <v>268</v>
      </c>
      <c r="N20" s="876"/>
      <c r="O20" s="401"/>
    </row>
    <row r="21" ht="17.25" customHeight="1">
      <c r="A21" s="396"/>
      <c r="B21" s="913"/>
      <c r="C21" s="976"/>
      <c r="D21" s="977"/>
      <c r="E21" s="977"/>
      <c r="F21" s="977"/>
      <c r="G21" s="978"/>
      <c r="H21" s="917"/>
      <c r="I21" s="979"/>
      <c r="J21" s="980"/>
      <c r="K21" s="980"/>
      <c r="L21" s="980"/>
      <c r="M21" s="981"/>
      <c r="N21" s="921"/>
      <c r="O21" s="401"/>
    </row>
    <row r="22" ht="7.5" customHeight="1">
      <c r="A22" s="396"/>
      <c r="B22" s="913"/>
      <c r="C22" s="922"/>
      <c r="D22" s="922"/>
      <c r="E22" s="923"/>
      <c r="F22" s="922"/>
      <c r="G22" s="922"/>
      <c r="H22" s="923"/>
      <c r="I22" s="982"/>
      <c r="J22" s="982"/>
      <c r="K22" s="983"/>
      <c r="L22" s="982"/>
      <c r="M22" s="982"/>
      <c r="N22" s="921"/>
      <c r="O22" s="401"/>
    </row>
    <row r="23" ht="26.25" customHeight="1">
      <c r="A23" s="840"/>
      <c r="B23" s="841"/>
      <c r="C23" s="984" t="s">
        <v>16</v>
      </c>
      <c r="D23" s="985"/>
      <c r="E23" s="985"/>
      <c r="F23" s="985"/>
      <c r="G23" s="986"/>
      <c r="H23" s="987"/>
      <c r="I23" s="988"/>
      <c r="J23" s="988"/>
      <c r="K23" s="989"/>
      <c r="L23" s="988"/>
      <c r="M23" s="988"/>
      <c r="N23" s="849"/>
      <c r="O23" s="850"/>
    </row>
    <row r="24" ht="13.5" customHeight="1">
      <c r="A24" s="851"/>
      <c r="B24" s="852"/>
      <c r="C24" s="990" t="s">
        <v>1244</v>
      </c>
      <c r="D24" s="991"/>
      <c r="E24" s="992"/>
      <c r="F24" s="993" t="s">
        <v>1245</v>
      </c>
      <c r="G24" s="994"/>
      <c r="H24" s="995"/>
      <c r="I24" s="982"/>
      <c r="J24" s="982"/>
      <c r="K24" s="983"/>
      <c r="L24" s="982"/>
      <c r="M24" s="982"/>
      <c r="N24" s="864"/>
      <c r="O24" s="865"/>
    </row>
    <row r="25" ht="3.75" customHeight="1">
      <c r="A25" s="396"/>
      <c r="B25" s="866"/>
      <c r="C25" s="996" t="s">
        <v>1253</v>
      </c>
      <c r="D25" s="997" t="str">
        <f t="array" ref="D25">IFERROR(VLOOKUP(C25,Dex!$B$3:$N28,2,FALSE),"")</f>
        <v/>
      </c>
      <c r="E25" s="998" t="str">
        <f>IMAGE("https://i.ibb.co/ySchxTG/Business-Trade-Transparent.png")</f>
        <v/>
      </c>
      <c r="F25" s="999" t="s">
        <v>1254</v>
      </c>
      <c r="G25" s="1000" t="s">
        <v>1255</v>
      </c>
      <c r="H25" s="405"/>
      <c r="I25" s="982"/>
      <c r="J25" s="982"/>
      <c r="K25" s="983"/>
      <c r="L25" s="982"/>
      <c r="M25" s="982"/>
      <c r="N25" s="921"/>
      <c r="O25" s="401"/>
    </row>
    <row r="26" ht="17.25" customHeight="1">
      <c r="A26" s="877"/>
      <c r="B26" s="878"/>
      <c r="C26" s="1001"/>
      <c r="D26" s="1002"/>
      <c r="E26" s="1002"/>
      <c r="F26" s="1002"/>
      <c r="G26" s="1003"/>
      <c r="H26" s="1004"/>
      <c r="I26" s="1005"/>
      <c r="J26" s="1005"/>
      <c r="K26" s="1006"/>
      <c r="L26" s="1005"/>
      <c r="M26" s="1005"/>
      <c r="N26" s="886"/>
      <c r="O26" s="887"/>
    </row>
    <row r="27" ht="7.5" customHeight="1">
      <c r="A27" s="396"/>
      <c r="B27" s="1007"/>
      <c r="C27" s="1008"/>
      <c r="D27" s="1008"/>
      <c r="E27" s="1008"/>
      <c r="F27" s="1008"/>
      <c r="G27" s="1008"/>
      <c r="H27" s="1008"/>
      <c r="I27" s="1008"/>
      <c r="J27" s="1008"/>
      <c r="K27" s="1008"/>
      <c r="L27" s="1008"/>
      <c r="M27" s="1008"/>
      <c r="N27" s="1009"/>
      <c r="O27" s="401"/>
    </row>
    <row r="28" ht="7.5" customHeight="1">
      <c r="A28" s="394"/>
      <c r="B28" s="551"/>
      <c r="C28" s="1010"/>
      <c r="D28" s="1010"/>
      <c r="E28" s="1010"/>
      <c r="F28" s="1010"/>
      <c r="G28" s="1010"/>
      <c r="H28" s="1010"/>
      <c r="I28" s="1010"/>
      <c r="J28" s="1010"/>
      <c r="K28" s="1010"/>
      <c r="L28" s="1010"/>
      <c r="M28" s="1010"/>
      <c r="N28" s="551"/>
      <c r="O28" s="394"/>
    </row>
  </sheetData>
  <mergeCells count="72">
    <mergeCell ref="F5:F6"/>
    <mergeCell ref="G5:G6"/>
    <mergeCell ref="C8:G8"/>
    <mergeCell ref="C9:D9"/>
    <mergeCell ref="F9:G9"/>
    <mergeCell ref="C10:C11"/>
    <mergeCell ref="D10:D11"/>
    <mergeCell ref="G10:G11"/>
    <mergeCell ref="C13:G13"/>
    <mergeCell ref="C14:D14"/>
    <mergeCell ref="F14:G14"/>
    <mergeCell ref="C15:C16"/>
    <mergeCell ref="D15:D16"/>
    <mergeCell ref="E15:E16"/>
    <mergeCell ref="C18:G18"/>
    <mergeCell ref="C19:D19"/>
    <mergeCell ref="F19:G19"/>
    <mergeCell ref="C20:C21"/>
    <mergeCell ref="D20:D21"/>
    <mergeCell ref="E20:E21"/>
    <mergeCell ref="F20:F21"/>
    <mergeCell ref="F25:F26"/>
    <mergeCell ref="G25:G26"/>
    <mergeCell ref="G20:G21"/>
    <mergeCell ref="C23:G23"/>
    <mergeCell ref="C24:D24"/>
    <mergeCell ref="F24:G24"/>
    <mergeCell ref="C25:C26"/>
    <mergeCell ref="D25:D26"/>
    <mergeCell ref="E25:E26"/>
    <mergeCell ref="D5:D6"/>
    <mergeCell ref="E5:E6"/>
    <mergeCell ref="I5:I6"/>
    <mergeCell ref="J5:J6"/>
    <mergeCell ref="K5:K6"/>
    <mergeCell ref="L5:L6"/>
    <mergeCell ref="I8:M8"/>
    <mergeCell ref="I9:J9"/>
    <mergeCell ref="L9:M9"/>
    <mergeCell ref="C3:G3"/>
    <mergeCell ref="I3:M3"/>
    <mergeCell ref="C4:D4"/>
    <mergeCell ref="F4:G4"/>
    <mergeCell ref="I4:J4"/>
    <mergeCell ref="L4:M4"/>
    <mergeCell ref="C5:C6"/>
    <mergeCell ref="M5:M6"/>
    <mergeCell ref="I13:M13"/>
    <mergeCell ref="I14:J14"/>
    <mergeCell ref="L14:M14"/>
    <mergeCell ref="E10:E11"/>
    <mergeCell ref="F10:F11"/>
    <mergeCell ref="I10:I11"/>
    <mergeCell ref="J10:J11"/>
    <mergeCell ref="K10:K11"/>
    <mergeCell ref="L10:L11"/>
    <mergeCell ref="M10:M11"/>
    <mergeCell ref="I18:M18"/>
    <mergeCell ref="I19:J19"/>
    <mergeCell ref="L19:M19"/>
    <mergeCell ref="I20:I21"/>
    <mergeCell ref="J20:J21"/>
    <mergeCell ref="K20:K21"/>
    <mergeCell ref="L20:L21"/>
    <mergeCell ref="M20:M21"/>
    <mergeCell ref="F15:F16"/>
    <mergeCell ref="G15:G16"/>
    <mergeCell ref="I15:I16"/>
    <mergeCell ref="J15:J16"/>
    <mergeCell ref="K15:K16"/>
    <mergeCell ref="L15:L16"/>
    <mergeCell ref="M15:M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3100"/>
    <outlinePr summaryBelow="0" summaryRight="0"/>
  </sheetPr>
  <sheetViews>
    <sheetView workbookViewId="0"/>
  </sheetViews>
  <sheetFormatPr customHeight="1" defaultColWidth="12.63" defaultRowHeight="15.75"/>
  <cols>
    <col customWidth="1" min="1" max="2" width="1.38"/>
    <col customWidth="1" min="3" max="3" width="6.25"/>
    <col customWidth="1" min="4" max="5" width="18.88"/>
    <col customWidth="1" min="6" max="6" width="12.63"/>
    <col customWidth="1" min="7" max="8" width="12.75"/>
    <col customWidth="1" min="13" max="14" width="1.38"/>
  </cols>
  <sheetData>
    <row r="1" ht="6.75" customHeight="1">
      <c r="A1" s="1011"/>
      <c r="B1" s="1012"/>
      <c r="C1" s="1012"/>
      <c r="D1" s="1012"/>
      <c r="E1" s="1012"/>
      <c r="F1" s="1013"/>
      <c r="G1" s="1014" t="str">
        <f>IMAGE("https://i.ibb.co/n7RnB56/e.png",1)</f>
        <v/>
      </c>
      <c r="H1" s="1015"/>
      <c r="I1" s="1016"/>
      <c r="J1" s="1012"/>
      <c r="K1" s="1012"/>
      <c r="L1" s="1012"/>
      <c r="M1" s="1012"/>
      <c r="N1" s="1017"/>
    </row>
    <row r="2" ht="67.5" customHeight="1">
      <c r="A2" s="1018"/>
      <c r="B2" s="1019"/>
      <c r="C2" s="1019"/>
      <c r="D2" s="1019"/>
      <c r="E2" s="1019"/>
      <c r="F2" s="1019"/>
      <c r="G2" s="796"/>
      <c r="H2" s="796"/>
      <c r="I2" s="1019"/>
      <c r="J2" s="1019"/>
      <c r="K2" s="1019"/>
      <c r="L2" s="1019"/>
      <c r="M2" s="1019"/>
      <c r="N2" s="1020"/>
    </row>
    <row r="3" ht="2.25" customHeight="1">
      <c r="A3" s="1018"/>
      <c r="B3" s="1019"/>
      <c r="C3" s="395"/>
      <c r="D3" s="395"/>
      <c r="E3" s="395"/>
      <c r="F3" s="395"/>
      <c r="G3" s="1021"/>
      <c r="H3" s="1021"/>
      <c r="I3" s="395"/>
      <c r="J3" s="395"/>
      <c r="K3" s="395"/>
      <c r="L3" s="395"/>
      <c r="M3" s="1019"/>
      <c r="N3" s="1020"/>
    </row>
    <row r="4" ht="7.5" customHeight="1">
      <c r="A4" s="396"/>
      <c r="B4" s="1022"/>
      <c r="C4" s="1023"/>
      <c r="D4" s="1023"/>
      <c r="E4" s="1023"/>
      <c r="F4" s="1023"/>
      <c r="G4" s="1023"/>
      <c r="H4" s="1023"/>
      <c r="I4" s="1023"/>
      <c r="J4" s="1023"/>
      <c r="K4" s="1023"/>
      <c r="L4" s="1023"/>
      <c r="M4" s="1024"/>
      <c r="N4" s="401"/>
    </row>
    <row r="5">
      <c r="A5" s="1025"/>
      <c r="B5" s="1026"/>
      <c r="C5" s="1027" t="s">
        <v>1256</v>
      </c>
      <c r="D5" s="1028"/>
      <c r="E5" s="1028"/>
      <c r="F5" s="1028"/>
      <c r="G5" s="1028"/>
      <c r="H5" s="1028"/>
      <c r="I5" s="1028"/>
      <c r="J5" s="1028"/>
      <c r="K5" s="1028"/>
      <c r="L5" s="1029"/>
      <c r="M5" s="1030"/>
      <c r="N5" s="1031"/>
    </row>
    <row r="6" ht="13.5" customHeight="1">
      <c r="A6" s="851"/>
      <c r="B6" s="1032"/>
      <c r="C6" s="1033" t="s">
        <v>810</v>
      </c>
      <c r="D6" s="1034"/>
      <c r="E6" s="1035" t="s">
        <v>1257</v>
      </c>
      <c r="F6" s="1036"/>
      <c r="G6" s="1036"/>
      <c r="H6" s="1034"/>
      <c r="I6" s="1035" t="s">
        <v>1258</v>
      </c>
      <c r="J6" s="1036"/>
      <c r="K6" s="1036"/>
      <c r="L6" s="1037"/>
      <c r="M6" s="1038"/>
      <c r="N6" s="865"/>
    </row>
    <row r="7" ht="30.0" customHeight="1">
      <c r="A7" s="396"/>
      <c r="B7" s="1039"/>
      <c r="C7" s="1040" t="str">
        <f t="array" ref="C7">IFERROR(VLOOKUP(D7,Dex!$B$3:$N76,2,FALSE),"")</f>
        <v/>
      </c>
      <c r="D7" s="1041" t="s">
        <v>1259</v>
      </c>
      <c r="E7" s="1042" t="s">
        <v>1260</v>
      </c>
      <c r="F7" s="1043"/>
      <c r="G7" s="1043"/>
      <c r="H7" s="1044"/>
      <c r="I7" s="1042" t="s">
        <v>1261</v>
      </c>
      <c r="J7" s="1043"/>
      <c r="K7" s="1043"/>
      <c r="L7" s="1045"/>
      <c r="M7" s="1046"/>
      <c r="N7" s="401"/>
    </row>
    <row r="8" ht="7.5" customHeight="1">
      <c r="A8" s="396"/>
      <c r="B8" s="1047"/>
      <c r="C8" s="888"/>
      <c r="D8" s="888"/>
      <c r="E8" s="888"/>
      <c r="F8" s="888"/>
      <c r="G8" s="888"/>
      <c r="H8" s="888"/>
      <c r="I8" s="888"/>
      <c r="J8" s="888"/>
      <c r="K8" s="888"/>
      <c r="L8" s="888"/>
      <c r="M8" s="1048"/>
      <c r="N8" s="401"/>
    </row>
    <row r="9">
      <c r="A9" s="1025"/>
      <c r="B9" s="1026"/>
      <c r="C9" s="1027" t="s">
        <v>1262</v>
      </c>
      <c r="D9" s="1028"/>
      <c r="E9" s="1028"/>
      <c r="F9" s="1028"/>
      <c r="G9" s="1028"/>
      <c r="H9" s="1028"/>
      <c r="I9" s="1028"/>
      <c r="J9" s="1028"/>
      <c r="K9" s="1028"/>
      <c r="L9" s="1029"/>
      <c r="M9" s="1030"/>
      <c r="N9" s="1031"/>
    </row>
    <row r="10" ht="13.5" customHeight="1">
      <c r="A10" s="851"/>
      <c r="B10" s="1032"/>
      <c r="C10" s="1033" t="s">
        <v>810</v>
      </c>
      <c r="D10" s="1034"/>
      <c r="E10" s="1035" t="s">
        <v>1257</v>
      </c>
      <c r="F10" s="1036"/>
      <c r="G10" s="1036"/>
      <c r="H10" s="1034"/>
      <c r="I10" s="1035" t="s">
        <v>1258</v>
      </c>
      <c r="J10" s="1036"/>
      <c r="K10" s="1036"/>
      <c r="L10" s="1037"/>
      <c r="M10" s="1038"/>
      <c r="N10" s="865"/>
    </row>
    <row r="11" ht="45.0" customHeight="1">
      <c r="A11" s="396"/>
      <c r="B11" s="1039"/>
      <c r="C11" s="1040" t="str">
        <f t="array" ref="C11">IFERROR(VLOOKUP(D11,Dex!$B$3:$N76,2,FALSE),"")</f>
        <v/>
      </c>
      <c r="D11" s="1041" t="s">
        <v>658</v>
      </c>
      <c r="E11" s="1042" t="s">
        <v>1263</v>
      </c>
      <c r="F11" s="1043"/>
      <c r="G11" s="1043"/>
      <c r="H11" s="1044"/>
      <c r="I11" s="1042" t="s">
        <v>1264</v>
      </c>
      <c r="J11" s="1043"/>
      <c r="K11" s="1043"/>
      <c r="L11" s="1045"/>
      <c r="M11" s="1046"/>
      <c r="N11" s="401"/>
    </row>
    <row r="12" ht="7.5" customHeight="1">
      <c r="A12" s="396"/>
      <c r="B12" s="1047"/>
      <c r="C12" s="888"/>
      <c r="D12" s="888"/>
      <c r="E12" s="888"/>
      <c r="F12" s="888"/>
      <c r="G12" s="888"/>
      <c r="H12" s="888"/>
      <c r="I12" s="888"/>
      <c r="J12" s="888"/>
      <c r="K12" s="888"/>
      <c r="L12" s="888"/>
      <c r="M12" s="1048"/>
      <c r="N12" s="401"/>
    </row>
    <row r="13">
      <c r="A13" s="1025"/>
      <c r="B13" s="1026"/>
      <c r="C13" s="1049" t="s">
        <v>1265</v>
      </c>
      <c r="D13" s="1050"/>
      <c r="E13" s="1050"/>
      <c r="F13" s="1050"/>
      <c r="G13" s="1050"/>
      <c r="H13" s="1050"/>
      <c r="I13" s="1050"/>
      <c r="J13" s="1050"/>
      <c r="K13" s="1050"/>
      <c r="L13" s="1051"/>
      <c r="M13" s="1030"/>
      <c r="N13" s="1031"/>
    </row>
    <row r="14" ht="13.5" customHeight="1">
      <c r="A14" s="851"/>
      <c r="B14" s="1032"/>
      <c r="C14" s="1052" t="s">
        <v>810</v>
      </c>
      <c r="D14" s="1053"/>
      <c r="E14" s="1054" t="s">
        <v>1257</v>
      </c>
      <c r="F14" s="1055"/>
      <c r="G14" s="1055"/>
      <c r="H14" s="1053"/>
      <c r="I14" s="1054" t="s">
        <v>1258</v>
      </c>
      <c r="J14" s="1055"/>
      <c r="K14" s="1055"/>
      <c r="L14" s="1056"/>
      <c r="M14" s="1038"/>
      <c r="N14" s="865"/>
    </row>
    <row r="15" ht="30.0" customHeight="1">
      <c r="A15" s="396"/>
      <c r="B15" s="1039"/>
      <c r="C15" s="1057" t="str">
        <f t="array" ref="C15">IFERROR(VLOOKUP(D15,Dex!$B$3:$N76,2,FALSE),"")</f>
        <v/>
      </c>
      <c r="D15" s="1058" t="s">
        <v>789</v>
      </c>
      <c r="E15" s="1059" t="s">
        <v>1266</v>
      </c>
      <c r="F15" s="1043"/>
      <c r="G15" s="1043"/>
      <c r="H15" s="1060"/>
      <c r="I15" s="1059" t="s">
        <v>1261</v>
      </c>
      <c r="J15" s="1043"/>
      <c r="K15" s="1043"/>
      <c r="L15" s="1045"/>
      <c r="M15" s="1046"/>
      <c r="N15" s="401"/>
    </row>
    <row r="16" ht="7.5" customHeight="1">
      <c r="A16" s="396"/>
      <c r="B16" s="1047"/>
      <c r="C16" s="888"/>
      <c r="D16" s="888"/>
      <c r="E16" s="888"/>
      <c r="F16" s="888"/>
      <c r="G16" s="888"/>
      <c r="H16" s="888"/>
      <c r="I16" s="888"/>
      <c r="J16" s="888"/>
      <c r="K16" s="888"/>
      <c r="L16" s="888"/>
      <c r="M16" s="1048"/>
      <c r="N16" s="401"/>
    </row>
    <row r="17">
      <c r="A17" s="1025"/>
      <c r="B17" s="1026"/>
      <c r="C17" s="1049" t="s">
        <v>1267</v>
      </c>
      <c r="D17" s="1050"/>
      <c r="E17" s="1050"/>
      <c r="F17" s="1050"/>
      <c r="G17" s="1050"/>
      <c r="H17" s="1050"/>
      <c r="I17" s="1050"/>
      <c r="J17" s="1050"/>
      <c r="K17" s="1050"/>
      <c r="L17" s="1051"/>
      <c r="M17" s="1030"/>
      <c r="N17" s="1031"/>
    </row>
    <row r="18" ht="13.5" customHeight="1">
      <c r="A18" s="851"/>
      <c r="B18" s="1032"/>
      <c r="C18" s="1052" t="s">
        <v>810</v>
      </c>
      <c r="D18" s="1053"/>
      <c r="E18" s="1054" t="s">
        <v>1257</v>
      </c>
      <c r="F18" s="1055"/>
      <c r="G18" s="1055"/>
      <c r="H18" s="1053"/>
      <c r="I18" s="1054" t="s">
        <v>1258</v>
      </c>
      <c r="J18" s="1055"/>
      <c r="K18" s="1055"/>
      <c r="L18" s="1056"/>
      <c r="M18" s="1038"/>
      <c r="N18" s="865"/>
    </row>
    <row r="19" ht="30.0" customHeight="1">
      <c r="A19" s="396"/>
      <c r="B19" s="1039"/>
      <c r="C19" s="1057" t="str">
        <f t="array" ref="C19">IFERROR(VLOOKUP(D19,Dex!$B$3:$N76,2,FALSE),"")</f>
        <v/>
      </c>
      <c r="D19" s="1058" t="s">
        <v>789</v>
      </c>
      <c r="E19" s="1059" t="s">
        <v>1268</v>
      </c>
      <c r="F19" s="1043"/>
      <c r="G19" s="1043"/>
      <c r="H19" s="1060"/>
      <c r="I19" s="1059" t="s">
        <v>1269</v>
      </c>
      <c r="J19" s="1043"/>
      <c r="K19" s="1043"/>
      <c r="L19" s="1045"/>
      <c r="M19" s="1046"/>
      <c r="N19" s="401"/>
    </row>
    <row r="20" ht="7.5" customHeight="1">
      <c r="A20" s="396"/>
      <c r="B20" s="1047"/>
      <c r="C20" s="888"/>
      <c r="D20" s="888"/>
      <c r="E20" s="888"/>
      <c r="F20" s="888"/>
      <c r="G20" s="888"/>
      <c r="H20" s="888"/>
      <c r="I20" s="888"/>
      <c r="J20" s="888"/>
      <c r="K20" s="888"/>
      <c r="L20" s="888"/>
      <c r="M20" s="1048"/>
      <c r="N20" s="401"/>
    </row>
    <row r="21">
      <c r="A21" s="1025"/>
      <c r="B21" s="1026"/>
      <c r="C21" s="1061" t="s">
        <v>1270</v>
      </c>
      <c r="D21" s="168"/>
      <c r="E21" s="168"/>
      <c r="F21" s="168"/>
      <c r="G21" s="168"/>
      <c r="H21" s="168"/>
      <c r="I21" s="168"/>
      <c r="J21" s="168"/>
      <c r="K21" s="168"/>
      <c r="L21" s="169"/>
      <c r="M21" s="1030"/>
      <c r="N21" s="1031"/>
    </row>
    <row r="22" ht="13.5" customHeight="1">
      <c r="A22" s="851"/>
      <c r="B22" s="1032"/>
      <c r="C22" s="1062" t="s">
        <v>810</v>
      </c>
      <c r="D22" s="1063"/>
      <c r="E22" s="1064" t="s">
        <v>1257</v>
      </c>
      <c r="F22" s="1065"/>
      <c r="G22" s="1065"/>
      <c r="H22" s="1063"/>
      <c r="I22" s="1064" t="s">
        <v>1258</v>
      </c>
      <c r="J22" s="1065"/>
      <c r="K22" s="1065"/>
      <c r="L22" s="1066"/>
      <c r="M22" s="1038"/>
      <c r="N22" s="865"/>
    </row>
    <row r="23" ht="30.0" customHeight="1">
      <c r="A23" s="396"/>
      <c r="B23" s="1039"/>
      <c r="C23" s="1067" t="str">
        <f t="array" ref="C23">IFERROR(VLOOKUP(D23,Dex!$B$3:$N76,2,FALSE),"")</f>
        <v/>
      </c>
      <c r="D23" s="1068" t="s">
        <v>761</v>
      </c>
      <c r="E23" s="1069" t="s">
        <v>1271</v>
      </c>
      <c r="F23" s="1070"/>
      <c r="G23" s="1070"/>
      <c r="H23" s="1071"/>
      <c r="I23" s="1072" t="s">
        <v>1272</v>
      </c>
      <c r="J23" s="1070"/>
      <c r="K23" s="1070"/>
      <c r="L23" s="1073"/>
      <c r="M23" s="1046"/>
      <c r="N23" s="401"/>
    </row>
    <row r="24" ht="30.0" customHeight="1">
      <c r="A24" s="396"/>
      <c r="B24" s="1039"/>
      <c r="C24" s="1074" t="str">
        <f t="array" ref="C24">IFERROR(VLOOKUP(D24,Dex!$B$3:$N76,2,FALSE),"")</f>
        <v/>
      </c>
      <c r="D24" s="1075" t="s">
        <v>764</v>
      </c>
      <c r="E24" s="1076"/>
      <c r="F24" s="1043"/>
      <c r="G24" s="1043"/>
      <c r="H24" s="1077"/>
      <c r="I24" s="1076"/>
      <c r="J24" s="1043"/>
      <c r="K24" s="1043"/>
      <c r="L24" s="1045"/>
      <c r="M24" s="1046"/>
      <c r="N24" s="401"/>
    </row>
    <row r="25" ht="7.5" customHeight="1">
      <c r="A25" s="396"/>
      <c r="B25" s="1047"/>
      <c r="C25" s="888"/>
      <c r="D25" s="888"/>
      <c r="E25" s="888"/>
      <c r="F25" s="888"/>
      <c r="G25" s="888"/>
      <c r="H25" s="888"/>
      <c r="I25" s="888"/>
      <c r="J25" s="888"/>
      <c r="K25" s="888"/>
      <c r="L25" s="888"/>
      <c r="M25" s="1048"/>
      <c r="N25" s="401"/>
    </row>
    <row r="26">
      <c r="A26" s="1025"/>
      <c r="B26" s="1026"/>
      <c r="C26" s="1027" t="s">
        <v>1273</v>
      </c>
      <c r="D26" s="1028"/>
      <c r="E26" s="1028"/>
      <c r="F26" s="1028"/>
      <c r="G26" s="1028"/>
      <c r="H26" s="1028"/>
      <c r="I26" s="1028"/>
      <c r="J26" s="1028"/>
      <c r="K26" s="1028"/>
      <c r="L26" s="1029"/>
      <c r="M26" s="1030"/>
      <c r="N26" s="1031"/>
    </row>
    <row r="27" ht="13.5" customHeight="1">
      <c r="A27" s="851"/>
      <c r="B27" s="1032"/>
      <c r="C27" s="1033" t="s">
        <v>810</v>
      </c>
      <c r="D27" s="1034"/>
      <c r="E27" s="1035" t="s">
        <v>1257</v>
      </c>
      <c r="F27" s="1036"/>
      <c r="G27" s="1036"/>
      <c r="H27" s="1034"/>
      <c r="I27" s="1035" t="s">
        <v>1258</v>
      </c>
      <c r="J27" s="1036"/>
      <c r="K27" s="1036"/>
      <c r="L27" s="1037"/>
      <c r="M27" s="1038"/>
      <c r="N27" s="865"/>
    </row>
    <row r="28" ht="30.0" customHeight="1">
      <c r="A28" s="396"/>
      <c r="B28" s="1039"/>
      <c r="C28" s="1040" t="str">
        <f t="array" ref="C28">IFERROR(VLOOKUP(D28,Dex!$B$3:$N76,2,FALSE),"")</f>
        <v/>
      </c>
      <c r="D28" s="1041" t="s">
        <v>784</v>
      </c>
      <c r="E28" s="1042" t="s">
        <v>1274</v>
      </c>
      <c r="F28" s="1043"/>
      <c r="G28" s="1043"/>
      <c r="H28" s="1044"/>
      <c r="I28" s="1042" t="s">
        <v>1269</v>
      </c>
      <c r="J28" s="1043"/>
      <c r="K28" s="1043"/>
      <c r="L28" s="1045"/>
      <c r="M28" s="1046"/>
      <c r="N28" s="401"/>
    </row>
    <row r="29" ht="7.5" customHeight="1">
      <c r="A29" s="396"/>
      <c r="B29" s="1047"/>
      <c r="C29" s="888"/>
      <c r="D29" s="888"/>
      <c r="E29" s="888"/>
      <c r="F29" s="888"/>
      <c r="G29" s="888"/>
      <c r="H29" s="888"/>
      <c r="I29" s="888"/>
      <c r="J29" s="888"/>
      <c r="K29" s="888"/>
      <c r="L29" s="888"/>
      <c r="M29" s="1048"/>
      <c r="N29" s="401"/>
    </row>
    <row r="30">
      <c r="A30" s="1025"/>
      <c r="B30" s="1026"/>
      <c r="C30" s="1078" t="s">
        <v>1275</v>
      </c>
      <c r="D30" s="1079"/>
      <c r="E30" s="1079"/>
      <c r="F30" s="1079"/>
      <c r="G30" s="1079"/>
      <c r="H30" s="1079"/>
      <c r="I30" s="1079"/>
      <c r="J30" s="1079"/>
      <c r="K30" s="1079"/>
      <c r="L30" s="1080"/>
      <c r="M30" s="1030"/>
      <c r="N30" s="1031"/>
    </row>
    <row r="31" ht="13.5" customHeight="1">
      <c r="A31" s="851"/>
      <c r="B31" s="1032"/>
      <c r="C31" s="1081" t="s">
        <v>810</v>
      </c>
      <c r="D31" s="1082"/>
      <c r="E31" s="1083" t="s">
        <v>1257</v>
      </c>
      <c r="F31" s="1084"/>
      <c r="G31" s="1084"/>
      <c r="H31" s="1082"/>
      <c r="I31" s="1083" t="s">
        <v>1258</v>
      </c>
      <c r="J31" s="1084"/>
      <c r="K31" s="1084"/>
      <c r="L31" s="1085"/>
      <c r="M31" s="1038"/>
      <c r="N31" s="865"/>
    </row>
    <row r="32" ht="30.0" customHeight="1">
      <c r="A32" s="396"/>
      <c r="B32" s="1039"/>
      <c r="C32" s="1086" t="str">
        <f t="array" ref="C32">IFERROR(VLOOKUP(D32,Dex!$B$3:$N76,2,FALSE),"")</f>
        <v/>
      </c>
      <c r="D32" s="1087" t="s">
        <v>1030</v>
      </c>
      <c r="E32" s="1088" t="s">
        <v>1276</v>
      </c>
      <c r="F32" s="1043"/>
      <c r="G32" s="1043"/>
      <c r="H32" s="1089"/>
      <c r="I32" s="1088" t="s">
        <v>1261</v>
      </c>
      <c r="J32" s="1043"/>
      <c r="K32" s="1043"/>
      <c r="L32" s="1045"/>
      <c r="M32" s="1046"/>
      <c r="N32" s="401"/>
    </row>
    <row r="33" ht="7.5" customHeight="1">
      <c r="A33" s="396"/>
      <c r="B33" s="1047"/>
      <c r="C33" s="888"/>
      <c r="D33" s="888"/>
      <c r="E33" s="888"/>
      <c r="F33" s="888"/>
      <c r="G33" s="888"/>
      <c r="H33" s="888"/>
      <c r="I33" s="888"/>
      <c r="J33" s="888"/>
      <c r="K33" s="888"/>
      <c r="L33" s="888"/>
      <c r="M33" s="1048"/>
      <c r="N33" s="401"/>
    </row>
    <row r="34">
      <c r="A34" s="1025"/>
      <c r="B34" s="1026"/>
      <c r="C34" s="1090" t="s">
        <v>61</v>
      </c>
      <c r="D34" s="1091"/>
      <c r="E34" s="1091"/>
      <c r="F34" s="1091"/>
      <c r="G34" s="1091"/>
      <c r="H34" s="1091"/>
      <c r="I34" s="1091"/>
      <c r="J34" s="1091"/>
      <c r="K34" s="1091"/>
      <c r="L34" s="1092"/>
      <c r="M34" s="1030"/>
      <c r="N34" s="1031"/>
    </row>
    <row r="35" ht="13.5" customHeight="1">
      <c r="A35" s="851"/>
      <c r="B35" s="1032"/>
      <c r="C35" s="1093" t="s">
        <v>810</v>
      </c>
      <c r="D35" s="1094"/>
      <c r="E35" s="1095" t="s">
        <v>1257</v>
      </c>
      <c r="F35" s="1096"/>
      <c r="G35" s="1096"/>
      <c r="H35" s="1094"/>
      <c r="I35" s="1095" t="s">
        <v>1258</v>
      </c>
      <c r="J35" s="1096"/>
      <c r="K35" s="1096"/>
      <c r="L35" s="1097"/>
      <c r="M35" s="1038"/>
      <c r="N35" s="865"/>
    </row>
    <row r="36" ht="45.0" customHeight="1">
      <c r="A36" s="396"/>
      <c r="B36" s="1039"/>
      <c r="C36" s="1098" t="str">
        <f t="array" ref="C36">IFERROR(VLOOKUP(D36,Dex!$B$3:$N76,2,FALSE),"")</f>
        <v/>
      </c>
      <c r="D36" s="1099" t="s">
        <v>979</v>
      </c>
      <c r="E36" s="1100" t="s">
        <v>1277</v>
      </c>
      <c r="F36" s="1043"/>
      <c r="G36" s="1043"/>
      <c r="H36" s="1101"/>
      <c r="I36" s="1100" t="s">
        <v>1278</v>
      </c>
      <c r="J36" s="1043"/>
      <c r="K36" s="1043"/>
      <c r="L36" s="1045"/>
      <c r="M36" s="1046"/>
      <c r="N36" s="401"/>
    </row>
    <row r="37" ht="7.5" customHeight="1">
      <c r="A37" s="396"/>
      <c r="B37" s="1047"/>
      <c r="C37" s="888"/>
      <c r="D37" s="888"/>
      <c r="E37" s="888"/>
      <c r="F37" s="888"/>
      <c r="G37" s="888"/>
      <c r="H37" s="888"/>
      <c r="I37" s="888"/>
      <c r="J37" s="888"/>
      <c r="K37" s="888"/>
      <c r="L37" s="888"/>
      <c r="M37" s="1048"/>
      <c r="N37" s="401"/>
    </row>
    <row r="38" ht="37.5" customHeight="1">
      <c r="A38" s="1102"/>
      <c r="B38" s="1103"/>
      <c r="C38" s="1104" t="s">
        <v>1279</v>
      </c>
      <c r="D38" s="564"/>
      <c r="E38" s="564"/>
      <c r="F38" s="564"/>
      <c r="G38" s="564"/>
      <c r="H38" s="564"/>
      <c r="I38" s="564"/>
      <c r="J38" s="564"/>
      <c r="K38" s="564"/>
      <c r="L38" s="404"/>
      <c r="M38" s="1105"/>
      <c r="N38" s="1106"/>
    </row>
    <row r="39" ht="7.5" customHeight="1">
      <c r="A39" s="396"/>
      <c r="B39" s="1047"/>
      <c r="C39" s="888"/>
      <c r="D39" s="888"/>
      <c r="E39" s="888"/>
      <c r="F39" s="888"/>
      <c r="G39" s="888"/>
      <c r="H39" s="888"/>
      <c r="I39" s="888"/>
      <c r="J39" s="888"/>
      <c r="K39" s="888"/>
      <c r="L39" s="888"/>
      <c r="M39" s="1048"/>
      <c r="N39" s="401"/>
    </row>
    <row r="40">
      <c r="A40" s="1025"/>
      <c r="B40" s="1026"/>
      <c r="C40" s="1107" t="s">
        <v>1280</v>
      </c>
      <c r="D40" s="1108"/>
      <c r="E40" s="1108"/>
      <c r="F40" s="1108"/>
      <c r="G40" s="1108"/>
      <c r="H40" s="1108"/>
      <c r="I40" s="1108"/>
      <c r="J40" s="1108"/>
      <c r="K40" s="1108"/>
      <c r="L40" s="1109"/>
      <c r="M40" s="1030"/>
      <c r="N40" s="1031"/>
    </row>
    <row r="41" ht="13.5" customHeight="1">
      <c r="A41" s="851"/>
      <c r="B41" s="1032"/>
      <c r="C41" s="1110" t="s">
        <v>810</v>
      </c>
      <c r="D41" s="1111"/>
      <c r="E41" s="1112" t="s">
        <v>1257</v>
      </c>
      <c r="F41" s="1113"/>
      <c r="G41" s="1113"/>
      <c r="H41" s="1111"/>
      <c r="I41" s="1112" t="s">
        <v>1258</v>
      </c>
      <c r="J41" s="1113"/>
      <c r="K41" s="1113"/>
      <c r="L41" s="1114"/>
      <c r="M41" s="1038"/>
      <c r="N41" s="865"/>
    </row>
    <row r="42" ht="45.0" customHeight="1">
      <c r="A42" s="396"/>
      <c r="B42" s="1039"/>
      <c r="C42" s="1115" t="str">
        <f t="array" ref="C42">IFERROR(VLOOKUP(D42,Dex!$B$3:$N76,2,FALSE),"")</f>
        <v/>
      </c>
      <c r="D42" s="1116" t="s">
        <v>260</v>
      </c>
      <c r="E42" s="1117" t="s">
        <v>1281</v>
      </c>
      <c r="F42" s="1043"/>
      <c r="G42" s="1043"/>
      <c r="H42" s="1118"/>
      <c r="I42" s="1117" t="s">
        <v>1282</v>
      </c>
      <c r="J42" s="1043"/>
      <c r="K42" s="1043"/>
      <c r="L42" s="1045"/>
      <c r="M42" s="1046"/>
      <c r="N42" s="401"/>
    </row>
    <row r="43" ht="7.5" customHeight="1">
      <c r="A43" s="396"/>
      <c r="B43" s="1047"/>
      <c r="C43" s="888"/>
      <c r="D43" s="888"/>
      <c r="E43" s="888"/>
      <c r="F43" s="888"/>
      <c r="G43" s="888"/>
      <c r="H43" s="888"/>
      <c r="I43" s="888"/>
      <c r="J43" s="888"/>
      <c r="K43" s="888"/>
      <c r="L43" s="888"/>
      <c r="M43" s="1048"/>
      <c r="N43" s="401"/>
    </row>
    <row r="44">
      <c r="A44" s="1025"/>
      <c r="B44" s="1026"/>
      <c r="C44" s="1027" t="s">
        <v>1256</v>
      </c>
      <c r="D44" s="1028"/>
      <c r="E44" s="1028"/>
      <c r="F44" s="1028"/>
      <c r="G44" s="1028"/>
      <c r="H44" s="1028"/>
      <c r="I44" s="1028"/>
      <c r="J44" s="1028"/>
      <c r="K44" s="1028"/>
      <c r="L44" s="1029"/>
      <c r="M44" s="1030"/>
      <c r="N44" s="1031"/>
    </row>
    <row r="45" ht="13.5" customHeight="1">
      <c r="A45" s="851"/>
      <c r="B45" s="1032"/>
      <c r="C45" s="1033" t="s">
        <v>810</v>
      </c>
      <c r="D45" s="1034"/>
      <c r="E45" s="1035" t="s">
        <v>1257</v>
      </c>
      <c r="F45" s="1036"/>
      <c r="G45" s="1036"/>
      <c r="H45" s="1034"/>
      <c r="I45" s="1035" t="s">
        <v>1258</v>
      </c>
      <c r="J45" s="1036"/>
      <c r="K45" s="1036"/>
      <c r="L45" s="1037"/>
      <c r="M45" s="1038"/>
      <c r="N45" s="865"/>
    </row>
    <row r="46" ht="45.0" customHeight="1">
      <c r="A46" s="396"/>
      <c r="B46" s="1039"/>
      <c r="C46" s="1040" t="str">
        <f t="array" ref="C46">IFERROR(VLOOKUP(D46,Dex!$B$3:$N76,2,FALSE),"")</f>
        <v/>
      </c>
      <c r="D46" s="1041" t="s">
        <v>732</v>
      </c>
      <c r="E46" s="1042" t="s">
        <v>1283</v>
      </c>
      <c r="F46" s="1043"/>
      <c r="G46" s="1043"/>
      <c r="H46" s="1044"/>
      <c r="I46" s="1042" t="s">
        <v>1284</v>
      </c>
      <c r="J46" s="1043"/>
      <c r="K46" s="1043"/>
      <c r="L46" s="1045"/>
      <c r="M46" s="1046"/>
      <c r="N46" s="401"/>
    </row>
    <row r="47" ht="7.5" customHeight="1">
      <c r="A47" s="396"/>
      <c r="B47" s="1047"/>
      <c r="C47" s="888"/>
      <c r="D47" s="888"/>
      <c r="E47" s="888"/>
      <c r="F47" s="888"/>
      <c r="G47" s="888"/>
      <c r="H47" s="888"/>
      <c r="I47" s="888"/>
      <c r="J47" s="888"/>
      <c r="K47" s="888"/>
      <c r="L47" s="888"/>
      <c r="M47" s="1048"/>
      <c r="N47" s="401"/>
    </row>
    <row r="48">
      <c r="A48" s="1025"/>
      <c r="B48" s="1026"/>
      <c r="C48" s="1119" t="s">
        <v>1285</v>
      </c>
      <c r="D48" s="1120"/>
      <c r="E48" s="1120"/>
      <c r="F48" s="1120"/>
      <c r="G48" s="1120"/>
      <c r="H48" s="1120"/>
      <c r="I48" s="1120"/>
      <c r="J48" s="1120"/>
      <c r="K48" s="1120"/>
      <c r="L48" s="1121"/>
      <c r="M48" s="1030"/>
      <c r="N48" s="1031"/>
    </row>
    <row r="49" ht="13.5" customHeight="1">
      <c r="A49" s="851"/>
      <c r="B49" s="1032"/>
      <c r="C49" s="1122" t="s">
        <v>810</v>
      </c>
      <c r="D49" s="1123"/>
      <c r="E49" s="1124" t="s">
        <v>1257</v>
      </c>
      <c r="F49" s="1125"/>
      <c r="G49" s="1125"/>
      <c r="H49" s="1123"/>
      <c r="I49" s="1124" t="s">
        <v>1258</v>
      </c>
      <c r="J49" s="1125"/>
      <c r="K49" s="1125"/>
      <c r="L49" s="1126"/>
      <c r="M49" s="1038"/>
      <c r="N49" s="865"/>
    </row>
    <row r="50" ht="45.0" customHeight="1">
      <c r="A50" s="396"/>
      <c r="B50" s="1039"/>
      <c r="C50" s="1127" t="str">
        <f t="array" ref="C50">IFERROR(VLOOKUP(D50,Dex!$B$3:$N76,2,FALSE),"")</f>
        <v/>
      </c>
      <c r="D50" s="1128" t="s">
        <v>940</v>
      </c>
      <c r="E50" s="1129" t="s">
        <v>1286</v>
      </c>
      <c r="F50" s="1043"/>
      <c r="G50" s="1043"/>
      <c r="H50" s="1130"/>
      <c r="I50" s="1129" t="s">
        <v>1287</v>
      </c>
      <c r="J50" s="1043"/>
      <c r="K50" s="1043"/>
      <c r="L50" s="1045"/>
      <c r="M50" s="1046"/>
      <c r="N50" s="401"/>
    </row>
    <row r="51" ht="7.5" customHeight="1">
      <c r="A51" s="396"/>
      <c r="B51" s="1047"/>
      <c r="C51" s="888"/>
      <c r="D51" s="888"/>
      <c r="E51" s="888"/>
      <c r="F51" s="888"/>
      <c r="G51" s="888"/>
      <c r="H51" s="888"/>
      <c r="I51" s="888"/>
      <c r="J51" s="888"/>
      <c r="K51" s="888"/>
      <c r="L51" s="888"/>
      <c r="M51" s="1048"/>
      <c r="N51" s="401"/>
    </row>
    <row r="52">
      <c r="A52" s="1025"/>
      <c r="B52" s="1026"/>
      <c r="C52" s="1119" t="s">
        <v>1288</v>
      </c>
      <c r="D52" s="1120"/>
      <c r="E52" s="1120"/>
      <c r="F52" s="1120"/>
      <c r="G52" s="1120"/>
      <c r="H52" s="1120"/>
      <c r="I52" s="1120"/>
      <c r="J52" s="1120"/>
      <c r="K52" s="1120"/>
      <c r="L52" s="1121"/>
      <c r="M52" s="1030"/>
      <c r="N52" s="1031"/>
    </row>
    <row r="53" ht="13.5" customHeight="1">
      <c r="A53" s="851"/>
      <c r="B53" s="1032"/>
      <c r="C53" s="1122" t="s">
        <v>810</v>
      </c>
      <c r="D53" s="1123"/>
      <c r="E53" s="1124" t="s">
        <v>1257</v>
      </c>
      <c r="F53" s="1125"/>
      <c r="G53" s="1125"/>
      <c r="H53" s="1123"/>
      <c r="I53" s="1124" t="s">
        <v>1258</v>
      </c>
      <c r="J53" s="1125"/>
      <c r="K53" s="1125"/>
      <c r="L53" s="1126"/>
      <c r="M53" s="1038"/>
      <c r="N53" s="865"/>
    </row>
    <row r="54" ht="30.0" customHeight="1">
      <c r="A54" s="396"/>
      <c r="B54" s="1039"/>
      <c r="C54" s="1127" t="str">
        <f t="array" ref="C54">IFERROR(VLOOKUP(D54,Dex!$B$3:$N76,2,FALSE),"")</f>
        <v/>
      </c>
      <c r="D54" s="1128" t="s">
        <v>940</v>
      </c>
      <c r="E54" s="1129" t="s">
        <v>1289</v>
      </c>
      <c r="F54" s="1043"/>
      <c r="G54" s="1043"/>
      <c r="H54" s="1130"/>
      <c r="I54" s="1129" t="s">
        <v>1287</v>
      </c>
      <c r="J54" s="1043"/>
      <c r="K54" s="1043"/>
      <c r="L54" s="1045"/>
      <c r="M54" s="1046"/>
      <c r="N54" s="401"/>
    </row>
    <row r="55" ht="7.5" customHeight="1">
      <c r="A55" s="396"/>
      <c r="B55" s="1047"/>
      <c r="C55" s="888"/>
      <c r="D55" s="888"/>
      <c r="E55" s="888"/>
      <c r="F55" s="888"/>
      <c r="G55" s="888"/>
      <c r="H55" s="888"/>
      <c r="I55" s="888"/>
      <c r="J55" s="888"/>
      <c r="K55" s="888"/>
      <c r="L55" s="888"/>
      <c r="M55" s="1048"/>
      <c r="N55" s="401"/>
    </row>
    <row r="56">
      <c r="A56" s="1025"/>
      <c r="B56" s="1026"/>
      <c r="C56" s="1131" t="s">
        <v>72</v>
      </c>
      <c r="D56" s="843"/>
      <c r="E56" s="843"/>
      <c r="F56" s="843"/>
      <c r="G56" s="843"/>
      <c r="H56" s="843"/>
      <c r="I56" s="843"/>
      <c r="J56" s="843"/>
      <c r="K56" s="843"/>
      <c r="L56" s="844"/>
      <c r="M56" s="1030"/>
      <c r="N56" s="1031"/>
    </row>
    <row r="57" ht="13.5" customHeight="1">
      <c r="A57" s="851"/>
      <c r="B57" s="1032"/>
      <c r="C57" s="1132" t="s">
        <v>810</v>
      </c>
      <c r="D57" s="854"/>
      <c r="E57" s="1133" t="s">
        <v>1257</v>
      </c>
      <c r="F57" s="1134"/>
      <c r="G57" s="1134"/>
      <c r="H57" s="854"/>
      <c r="I57" s="1133" t="s">
        <v>1258</v>
      </c>
      <c r="J57" s="1134"/>
      <c r="K57" s="1134"/>
      <c r="L57" s="857"/>
      <c r="M57" s="1038"/>
      <c r="N57" s="865"/>
    </row>
    <row r="58">
      <c r="A58" s="396"/>
      <c r="B58" s="1039"/>
      <c r="C58" s="1135" t="str">
        <f>IMAGE("https://i.ibb.co/qCqkBWF/pikachulibre.png",3)</f>
        <v/>
      </c>
      <c r="D58" s="1136" t="s">
        <v>1206</v>
      </c>
      <c r="E58" s="1137" t="s">
        <v>1290</v>
      </c>
      <c r="F58" s="1043"/>
      <c r="G58" s="1043"/>
      <c r="H58" s="1138"/>
      <c r="I58" s="1139" t="s">
        <v>1291</v>
      </c>
      <c r="J58" s="1043"/>
      <c r="K58" s="1043"/>
      <c r="L58" s="1045"/>
      <c r="M58" s="1046"/>
      <c r="N58" s="401"/>
    </row>
    <row r="59" ht="7.5" customHeight="1">
      <c r="A59" s="396"/>
      <c r="B59" s="1047"/>
      <c r="C59" s="888"/>
      <c r="D59" s="888"/>
      <c r="E59" s="888"/>
      <c r="F59" s="888"/>
      <c r="G59" s="888"/>
      <c r="H59" s="888"/>
      <c r="I59" s="888"/>
      <c r="J59" s="888"/>
      <c r="K59" s="888"/>
      <c r="L59" s="888"/>
      <c r="M59" s="1048"/>
      <c r="N59" s="401"/>
    </row>
    <row r="60">
      <c r="A60" s="1025"/>
      <c r="B60" s="1026"/>
      <c r="C60" s="1140" t="s">
        <v>69</v>
      </c>
      <c r="D60" s="1141"/>
      <c r="E60" s="1141"/>
      <c r="F60" s="1141"/>
      <c r="G60" s="1141"/>
      <c r="H60" s="1141"/>
      <c r="I60" s="1141"/>
      <c r="J60" s="1141"/>
      <c r="K60" s="1141"/>
      <c r="L60" s="1142"/>
      <c r="M60" s="1030"/>
      <c r="N60" s="1031"/>
    </row>
    <row r="61" ht="13.5" customHeight="1">
      <c r="A61" s="851"/>
      <c r="B61" s="1032"/>
      <c r="C61" s="1143" t="s">
        <v>810</v>
      </c>
      <c r="D61" s="1144"/>
      <c r="E61" s="1145" t="s">
        <v>1257</v>
      </c>
      <c r="F61" s="1146"/>
      <c r="G61" s="1146"/>
      <c r="H61" s="1144"/>
      <c r="I61" s="1145" t="s">
        <v>1258</v>
      </c>
      <c r="J61" s="1146"/>
      <c r="K61" s="1146"/>
      <c r="L61" s="1147"/>
      <c r="M61" s="1038"/>
      <c r="N61" s="865"/>
    </row>
    <row r="62" ht="45.0" customHeight="1">
      <c r="A62" s="396"/>
      <c r="B62" s="1039"/>
      <c r="C62" s="1148" t="str">
        <f t="array" ref="C62">IFERROR(VLOOKUP(D62,Dex!$B$3:$N76,2,FALSE),"")</f>
        <v/>
      </c>
      <c r="D62" s="1149" t="s">
        <v>347</v>
      </c>
      <c r="E62" s="1150" t="s">
        <v>1292</v>
      </c>
      <c r="F62" s="1043"/>
      <c r="G62" s="1043"/>
      <c r="H62" s="1151"/>
      <c r="I62" s="1150" t="s">
        <v>1293</v>
      </c>
      <c r="J62" s="1043"/>
      <c r="K62" s="1043"/>
      <c r="L62" s="1045"/>
      <c r="M62" s="1046"/>
      <c r="N62" s="401"/>
    </row>
    <row r="63" ht="7.5" customHeight="1">
      <c r="A63" s="396"/>
      <c r="B63" s="1047"/>
      <c r="C63" s="888"/>
      <c r="D63" s="888"/>
      <c r="E63" s="888"/>
      <c r="F63" s="888"/>
      <c r="G63" s="888"/>
      <c r="H63" s="888"/>
      <c r="I63" s="888"/>
      <c r="J63" s="888"/>
      <c r="K63" s="888"/>
      <c r="L63" s="888"/>
      <c r="M63" s="1048"/>
      <c r="N63" s="401"/>
    </row>
    <row r="64">
      <c r="A64" s="1025"/>
      <c r="B64" s="1026"/>
      <c r="C64" s="1152" t="s">
        <v>1294</v>
      </c>
      <c r="D64" s="1153"/>
      <c r="E64" s="1153"/>
      <c r="F64" s="1153"/>
      <c r="G64" s="1153"/>
      <c r="H64" s="1153"/>
      <c r="I64" s="1153"/>
      <c r="J64" s="1153"/>
      <c r="K64" s="1153"/>
      <c r="L64" s="1154"/>
      <c r="M64" s="1030"/>
      <c r="N64" s="1031"/>
    </row>
    <row r="65" ht="13.5" customHeight="1">
      <c r="A65" s="851"/>
      <c r="B65" s="1032"/>
      <c r="C65" s="1155" t="s">
        <v>810</v>
      </c>
      <c r="D65" s="1156"/>
      <c r="E65" s="1157" t="s">
        <v>1257</v>
      </c>
      <c r="F65" s="1158"/>
      <c r="G65" s="1158"/>
      <c r="H65" s="1156"/>
      <c r="I65" s="1157" t="s">
        <v>1258</v>
      </c>
      <c r="J65" s="1158"/>
      <c r="K65" s="1158"/>
      <c r="L65" s="1159"/>
      <c r="M65" s="1038"/>
      <c r="N65" s="865"/>
    </row>
    <row r="66" ht="45.0" customHeight="1">
      <c r="A66" s="396"/>
      <c r="B66" s="1039"/>
      <c r="C66" s="1160" t="str">
        <f t="array" ref="C66">IFERROR(VLOOKUP(D66,Dex!$B$3:$N76,2,FALSE),"")</f>
        <v/>
      </c>
      <c r="D66" s="1161" t="s">
        <v>443</v>
      </c>
      <c r="E66" s="1162" t="s">
        <v>1295</v>
      </c>
      <c r="F66" s="1043"/>
      <c r="G66" s="1043"/>
      <c r="H66" s="1163"/>
      <c r="I66" s="1162" t="s">
        <v>1296</v>
      </c>
      <c r="J66" s="1043"/>
      <c r="K66" s="1043"/>
      <c r="L66" s="1045"/>
      <c r="M66" s="1046"/>
      <c r="N66" s="401"/>
    </row>
    <row r="67" ht="7.5" customHeight="1">
      <c r="A67" s="396"/>
      <c r="B67" s="1047"/>
      <c r="C67" s="888"/>
      <c r="D67" s="888"/>
      <c r="E67" s="888"/>
      <c r="F67" s="888"/>
      <c r="G67" s="888"/>
      <c r="H67" s="888"/>
      <c r="I67" s="888"/>
      <c r="J67" s="888"/>
      <c r="K67" s="888"/>
      <c r="L67" s="888"/>
      <c r="M67" s="1048"/>
      <c r="N67" s="401"/>
    </row>
    <row r="68">
      <c r="A68" s="1025"/>
      <c r="B68" s="1026"/>
      <c r="C68" s="1164" t="s">
        <v>1297</v>
      </c>
      <c r="D68" s="1165"/>
      <c r="E68" s="1165"/>
      <c r="F68" s="1165"/>
      <c r="G68" s="1165"/>
      <c r="H68" s="1165"/>
      <c r="I68" s="1165"/>
      <c r="J68" s="1165"/>
      <c r="K68" s="1165"/>
      <c r="L68" s="1166"/>
      <c r="M68" s="1030"/>
      <c r="N68" s="1031"/>
    </row>
    <row r="69" ht="13.5" customHeight="1">
      <c r="A69" s="851"/>
      <c r="B69" s="1032"/>
      <c r="C69" s="1167" t="s">
        <v>810</v>
      </c>
      <c r="D69" s="1168"/>
      <c r="E69" s="1169" t="s">
        <v>1257</v>
      </c>
      <c r="F69" s="1170"/>
      <c r="G69" s="1170"/>
      <c r="H69" s="1168"/>
      <c r="I69" s="1169" t="s">
        <v>1258</v>
      </c>
      <c r="J69" s="1170"/>
      <c r="K69" s="1170"/>
      <c r="L69" s="1171"/>
      <c r="M69" s="1038"/>
      <c r="N69" s="865"/>
    </row>
    <row r="70" ht="45.0" customHeight="1">
      <c r="A70" s="396"/>
      <c r="B70" s="1039"/>
      <c r="C70" s="1172" t="str">
        <f t="array" ref="C70">IFERROR(VLOOKUP(D70,Dex!$B$3:$N76,2,FALSE),"")</f>
        <v/>
      </c>
      <c r="D70" s="1173" t="s">
        <v>1298</v>
      </c>
      <c r="E70" s="1174" t="s">
        <v>1299</v>
      </c>
      <c r="F70" s="1043"/>
      <c r="G70" s="1043"/>
      <c r="H70" s="1175"/>
      <c r="I70" s="1174" t="s">
        <v>1300</v>
      </c>
      <c r="J70" s="1043"/>
      <c r="K70" s="1043"/>
      <c r="L70" s="1045"/>
      <c r="M70" s="1046"/>
      <c r="N70" s="401"/>
    </row>
    <row r="71" ht="7.5" customHeight="1">
      <c r="A71" s="396"/>
      <c r="B71" s="1047"/>
      <c r="C71" s="888"/>
      <c r="D71" s="888"/>
      <c r="E71" s="888"/>
      <c r="F71" s="888"/>
      <c r="G71" s="888"/>
      <c r="H71" s="888"/>
      <c r="I71" s="888"/>
      <c r="J71" s="888"/>
      <c r="K71" s="888"/>
      <c r="L71" s="888"/>
      <c r="M71" s="1048"/>
      <c r="N71" s="401"/>
    </row>
    <row r="72">
      <c r="A72" s="1025"/>
      <c r="B72" s="1026"/>
      <c r="C72" s="1119" t="s">
        <v>76</v>
      </c>
      <c r="D72" s="1120"/>
      <c r="E72" s="1120"/>
      <c r="F72" s="1120"/>
      <c r="G72" s="1120"/>
      <c r="H72" s="1120"/>
      <c r="I72" s="1120"/>
      <c r="J72" s="1120"/>
      <c r="K72" s="1120"/>
      <c r="L72" s="1121"/>
      <c r="M72" s="1030"/>
      <c r="N72" s="1031"/>
    </row>
    <row r="73" ht="13.5" customHeight="1">
      <c r="A73" s="851"/>
      <c r="B73" s="1032"/>
      <c r="C73" s="1122" t="s">
        <v>810</v>
      </c>
      <c r="D73" s="1123"/>
      <c r="E73" s="1124" t="s">
        <v>1257</v>
      </c>
      <c r="F73" s="1125"/>
      <c r="G73" s="1125"/>
      <c r="H73" s="1123"/>
      <c r="I73" s="1124" t="s">
        <v>1258</v>
      </c>
      <c r="J73" s="1125"/>
      <c r="K73" s="1125"/>
      <c r="L73" s="1126"/>
      <c r="M73" s="1038"/>
      <c r="N73" s="865"/>
    </row>
    <row r="74" ht="30.0" customHeight="1">
      <c r="A74" s="396"/>
      <c r="B74" s="1039"/>
      <c r="C74" s="1127" t="str">
        <f t="array" ref="C74">IFERROR(VLOOKUP(D74,Dex!$B$3:$N76,2,FALSE),"")</f>
        <v/>
      </c>
      <c r="D74" s="1128" t="s">
        <v>828</v>
      </c>
      <c r="E74" s="1129" t="s">
        <v>1301</v>
      </c>
      <c r="F74" s="1043"/>
      <c r="G74" s="1043"/>
      <c r="H74" s="1130"/>
      <c r="I74" s="1129" t="s">
        <v>1302</v>
      </c>
      <c r="J74" s="1043"/>
      <c r="K74" s="1043"/>
      <c r="L74" s="1045"/>
      <c r="M74" s="1046"/>
      <c r="N74" s="401"/>
    </row>
    <row r="75" ht="7.5" customHeight="1">
      <c r="A75" s="396"/>
      <c r="B75" s="1176"/>
      <c r="C75" s="1177"/>
      <c r="D75" s="1178"/>
      <c r="E75" s="1177"/>
      <c r="F75" s="1177"/>
      <c r="G75" s="1179"/>
      <c r="H75" s="1180"/>
      <c r="I75" s="1181"/>
      <c r="J75" s="1181"/>
      <c r="K75" s="1181"/>
      <c r="L75" s="1181"/>
      <c r="M75" s="1182"/>
      <c r="N75" s="401"/>
    </row>
    <row r="76" ht="7.5" customHeight="1">
      <c r="A76" s="394"/>
      <c r="B76" s="551"/>
      <c r="C76" s="1183"/>
      <c r="D76" s="1184"/>
      <c r="E76" s="1183"/>
      <c r="F76" s="1183"/>
      <c r="G76" s="1184"/>
      <c r="H76" s="1184"/>
      <c r="I76" s="551"/>
      <c r="J76" s="551"/>
      <c r="K76" s="551"/>
      <c r="L76" s="551"/>
      <c r="M76" s="551"/>
      <c r="N76" s="394"/>
    </row>
  </sheetData>
  <mergeCells count="105">
    <mergeCell ref="E31:H31"/>
    <mergeCell ref="E32:H32"/>
    <mergeCell ref="I32:L32"/>
    <mergeCell ref="C34:L34"/>
    <mergeCell ref="C35:D35"/>
    <mergeCell ref="E35:H35"/>
    <mergeCell ref="I35:L35"/>
    <mergeCell ref="E36:H36"/>
    <mergeCell ref="I36:L36"/>
    <mergeCell ref="C38:L38"/>
    <mergeCell ref="C40:L40"/>
    <mergeCell ref="C41:D41"/>
    <mergeCell ref="E41:H41"/>
    <mergeCell ref="I41:L41"/>
    <mergeCell ref="E42:H42"/>
    <mergeCell ref="I42:L42"/>
    <mergeCell ref="C44:L44"/>
    <mergeCell ref="C45:D45"/>
    <mergeCell ref="E45:H45"/>
    <mergeCell ref="I45:L45"/>
    <mergeCell ref="E46:H46"/>
    <mergeCell ref="I46:L46"/>
    <mergeCell ref="C48:L48"/>
    <mergeCell ref="E49:H49"/>
    <mergeCell ref="I49:L49"/>
    <mergeCell ref="E50:H50"/>
    <mergeCell ref="I50:L50"/>
    <mergeCell ref="C52:L52"/>
    <mergeCell ref="C57:D57"/>
    <mergeCell ref="E57:H57"/>
    <mergeCell ref="I57:L57"/>
    <mergeCell ref="E58:H58"/>
    <mergeCell ref="I58:L58"/>
    <mergeCell ref="C60:L60"/>
    <mergeCell ref="C61:D61"/>
    <mergeCell ref="E61:H61"/>
    <mergeCell ref="I61:L61"/>
    <mergeCell ref="E62:H62"/>
    <mergeCell ref="I62:L62"/>
    <mergeCell ref="C64:L64"/>
    <mergeCell ref="C65:D65"/>
    <mergeCell ref="I65:L65"/>
    <mergeCell ref="E65:H65"/>
    <mergeCell ref="E66:H66"/>
    <mergeCell ref="I66:L66"/>
    <mergeCell ref="C68:L68"/>
    <mergeCell ref="C69:D69"/>
    <mergeCell ref="E69:H69"/>
    <mergeCell ref="I69:L69"/>
    <mergeCell ref="E74:H74"/>
    <mergeCell ref="G75:H75"/>
    <mergeCell ref="E70:H70"/>
    <mergeCell ref="I70:L70"/>
    <mergeCell ref="C72:L72"/>
    <mergeCell ref="C73:D73"/>
    <mergeCell ref="E73:H73"/>
    <mergeCell ref="I73:L73"/>
    <mergeCell ref="I74:L74"/>
    <mergeCell ref="C6:D6"/>
    <mergeCell ref="C10:D10"/>
    <mergeCell ref="C14:D14"/>
    <mergeCell ref="C18:D18"/>
    <mergeCell ref="C22:D22"/>
    <mergeCell ref="G1:H2"/>
    <mergeCell ref="C5:L5"/>
    <mergeCell ref="E6:H6"/>
    <mergeCell ref="I6:L6"/>
    <mergeCell ref="E7:H7"/>
    <mergeCell ref="I7:L7"/>
    <mergeCell ref="C9:L9"/>
    <mergeCell ref="E10:H10"/>
    <mergeCell ref="I10:L10"/>
    <mergeCell ref="E11:H11"/>
    <mergeCell ref="I11:L11"/>
    <mergeCell ref="C13:L13"/>
    <mergeCell ref="E14:H14"/>
    <mergeCell ref="I14:L14"/>
    <mergeCell ref="E15:H15"/>
    <mergeCell ref="I15:L15"/>
    <mergeCell ref="C17:L17"/>
    <mergeCell ref="E18:H18"/>
    <mergeCell ref="I18:L18"/>
    <mergeCell ref="E19:H19"/>
    <mergeCell ref="I19:L19"/>
    <mergeCell ref="C21:L21"/>
    <mergeCell ref="E22:H22"/>
    <mergeCell ref="I22:L22"/>
    <mergeCell ref="E23:H24"/>
    <mergeCell ref="I23:L24"/>
    <mergeCell ref="C26:L26"/>
    <mergeCell ref="C27:D27"/>
    <mergeCell ref="E27:H27"/>
    <mergeCell ref="I27:L27"/>
    <mergeCell ref="E28:H28"/>
    <mergeCell ref="I28:L28"/>
    <mergeCell ref="C30:L30"/>
    <mergeCell ref="C31:D31"/>
    <mergeCell ref="I31:L31"/>
    <mergeCell ref="C49:D49"/>
    <mergeCell ref="C53:D53"/>
    <mergeCell ref="E53:H53"/>
    <mergeCell ref="I53:L53"/>
    <mergeCell ref="E54:H54"/>
    <mergeCell ref="I54:L54"/>
    <mergeCell ref="C56:L5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66"/>
    <outlinePr summaryBelow="0" summaryRight="0"/>
  </sheetPr>
  <sheetViews>
    <sheetView workbookViewId="0"/>
  </sheetViews>
  <sheetFormatPr customHeight="1" defaultColWidth="12.63" defaultRowHeight="15.75"/>
  <cols>
    <col customWidth="1" min="1" max="2" width="1.38"/>
    <col customWidth="1" min="3" max="3" width="5.13"/>
    <col customWidth="1" min="4" max="4" width="18.88"/>
    <col customWidth="1" min="5" max="5" width="0.75"/>
    <col customWidth="1" min="6" max="6" width="25.13"/>
    <col customWidth="1" min="7" max="7" width="0.75"/>
    <col customWidth="1" min="8" max="8" width="5.13"/>
    <col customWidth="1" min="9" max="9" width="50.13"/>
    <col customWidth="1" min="10" max="10" width="1.63"/>
    <col customWidth="1" min="11" max="11" width="1.38"/>
  </cols>
  <sheetData>
    <row r="1" ht="7.5" customHeight="1">
      <c r="A1" s="1185"/>
      <c r="B1" s="21"/>
      <c r="C1" s="1186"/>
      <c r="D1" s="1186"/>
      <c r="E1" s="1186"/>
      <c r="F1" s="1186"/>
      <c r="G1" s="1186"/>
      <c r="H1" s="1186"/>
      <c r="I1" s="1186"/>
      <c r="J1" s="21"/>
      <c r="K1" s="1185"/>
    </row>
    <row r="2" ht="7.5" customHeight="1">
      <c r="A2" s="1187"/>
      <c r="B2" s="1188"/>
      <c r="C2" s="1189"/>
      <c r="D2" s="1189"/>
      <c r="E2" s="1189"/>
      <c r="F2" s="1189"/>
      <c r="G2" s="1189"/>
      <c r="H2" s="1189"/>
      <c r="I2" s="1189"/>
      <c r="J2" s="1190"/>
      <c r="K2" s="1191"/>
    </row>
    <row r="3" ht="23.25" customHeight="1">
      <c r="A3" s="1187"/>
      <c r="B3" s="1192"/>
      <c r="C3" s="1193" t="s">
        <v>1303</v>
      </c>
      <c r="D3" s="564"/>
      <c r="E3" s="564"/>
      <c r="F3" s="564"/>
      <c r="G3" s="564"/>
      <c r="H3" s="564"/>
      <c r="I3" s="404"/>
      <c r="J3" s="1194"/>
      <c r="K3" s="1191"/>
    </row>
    <row r="4" ht="6.0" customHeight="1">
      <c r="A4" s="1187"/>
      <c r="B4" s="1195"/>
      <c r="C4" s="1196"/>
      <c r="D4" s="1196"/>
      <c r="E4" s="1196"/>
      <c r="F4" s="1196"/>
      <c r="G4" s="1196"/>
      <c r="H4" s="1196"/>
      <c r="I4" s="1196"/>
      <c r="J4" s="1197"/>
      <c r="K4" s="1191"/>
    </row>
    <row r="5" ht="23.25" customHeight="1">
      <c r="A5" s="1187"/>
      <c r="B5" s="1192"/>
      <c r="C5" s="1198" t="s">
        <v>1304</v>
      </c>
      <c r="D5" s="564"/>
      <c r="E5" s="564"/>
      <c r="F5" s="564"/>
      <c r="G5" s="564"/>
      <c r="H5" s="564"/>
      <c r="I5" s="404"/>
      <c r="J5" s="1194"/>
      <c r="K5" s="1191"/>
    </row>
    <row r="6" ht="6.0" customHeight="1">
      <c r="A6" s="1187"/>
      <c r="B6" s="1195"/>
      <c r="C6" s="1196"/>
      <c r="D6" s="1196"/>
      <c r="E6" s="1196"/>
      <c r="F6" s="1196"/>
      <c r="G6" s="1196"/>
      <c r="H6" s="1196"/>
      <c r="I6" s="1196"/>
      <c r="J6" s="1197"/>
      <c r="K6" s="1191"/>
    </row>
    <row r="7" ht="23.25" customHeight="1">
      <c r="A7" s="1187"/>
      <c r="B7" s="1192"/>
      <c r="C7" s="1199" t="s">
        <v>1305</v>
      </c>
      <c r="D7" s="564"/>
      <c r="E7" s="564"/>
      <c r="F7" s="564"/>
      <c r="G7" s="564"/>
      <c r="H7" s="564"/>
      <c r="I7" s="404"/>
      <c r="J7" s="1194"/>
      <c r="K7" s="1191"/>
    </row>
    <row r="8" ht="6.0" customHeight="1">
      <c r="A8" s="1187"/>
      <c r="B8" s="1195"/>
      <c r="C8" s="1196"/>
      <c r="D8" s="1196"/>
      <c r="E8" s="1196"/>
      <c r="F8" s="1196"/>
      <c r="G8" s="1196"/>
      <c r="H8" s="1196"/>
      <c r="I8" s="1196"/>
      <c r="J8" s="1197"/>
      <c r="K8" s="1191"/>
    </row>
    <row r="9" ht="23.25" customHeight="1">
      <c r="A9" s="1187"/>
      <c r="B9" s="1192"/>
      <c r="C9" s="1200" t="s">
        <v>1306</v>
      </c>
      <c r="D9" s="564"/>
      <c r="E9" s="564"/>
      <c r="F9" s="564"/>
      <c r="G9" s="564"/>
      <c r="H9" s="564"/>
      <c r="I9" s="404"/>
      <c r="J9" s="1194"/>
      <c r="K9" s="1191"/>
    </row>
    <row r="10" ht="6.0" customHeight="1">
      <c r="A10" s="1187"/>
      <c r="B10" s="1195"/>
      <c r="C10" s="1196"/>
      <c r="D10" s="1196"/>
      <c r="E10" s="1196"/>
      <c r="F10" s="1196"/>
      <c r="G10" s="1196"/>
      <c r="H10" s="1196"/>
      <c r="I10" s="1196"/>
      <c r="J10" s="1197"/>
      <c r="K10" s="1191"/>
    </row>
    <row r="11" ht="23.25" customHeight="1">
      <c r="A11" s="1187"/>
      <c r="B11" s="1192"/>
      <c r="C11" s="1201" t="s">
        <v>1307</v>
      </c>
      <c r="D11" s="564"/>
      <c r="E11" s="564"/>
      <c r="F11" s="564"/>
      <c r="G11" s="564"/>
      <c r="H11" s="564"/>
      <c r="I11" s="404"/>
      <c r="J11" s="1194"/>
      <c r="K11" s="1191"/>
    </row>
    <row r="12" ht="7.5" customHeight="1">
      <c r="A12" s="1187"/>
      <c r="B12" s="1202"/>
      <c r="C12" s="1203"/>
      <c r="D12" s="1203"/>
      <c r="E12" s="1204"/>
      <c r="F12" s="1203"/>
      <c r="G12" s="1204"/>
      <c r="H12" s="1203"/>
      <c r="I12" s="1203"/>
      <c r="J12" s="1205"/>
      <c r="K12" s="1191"/>
    </row>
    <row r="13">
      <c r="A13" s="1206"/>
      <c r="B13" s="1207"/>
      <c r="C13" s="1208" t="s">
        <v>810</v>
      </c>
      <c r="D13" s="404"/>
      <c r="E13" s="1209"/>
      <c r="F13" s="1210" t="s">
        <v>1308</v>
      </c>
      <c r="G13" s="1209"/>
      <c r="H13" s="1208" t="s">
        <v>1258</v>
      </c>
      <c r="I13" s="404"/>
      <c r="J13" s="1211"/>
      <c r="K13" s="1212"/>
    </row>
    <row r="14" ht="6.0" customHeight="1">
      <c r="A14" s="1187"/>
      <c r="B14" s="1202"/>
      <c r="C14" s="1213"/>
      <c r="D14" s="588"/>
      <c r="E14" s="1209"/>
      <c r="F14" s="1214"/>
      <c r="G14" s="1209"/>
      <c r="H14" s="1213"/>
      <c r="I14" s="588"/>
      <c r="J14" s="1205"/>
      <c r="K14" s="1191"/>
    </row>
    <row r="15" ht="22.5" customHeight="1">
      <c r="A15" s="1187"/>
      <c r="B15" s="1215"/>
      <c r="C15" s="1216" t="str">
        <f t="array" ref="C15:C33">IFERROR(VLOOKUP(D15:D33,Dex!$B$3:$O35,2,FALSE),"")</f>
        <v/>
      </c>
      <c r="D15" s="1217" t="s">
        <v>835</v>
      </c>
      <c r="E15" s="1218"/>
      <c r="F15" s="1219" t="s">
        <v>1309</v>
      </c>
      <c r="G15" s="1218"/>
      <c r="H15" s="1220" t="s">
        <v>1310</v>
      </c>
      <c r="I15" s="1221"/>
      <c r="J15" s="1222"/>
      <c r="K15" s="1191"/>
    </row>
    <row r="16" ht="22.5" customHeight="1">
      <c r="A16" s="1187"/>
      <c r="B16" s="1215"/>
      <c r="C16" s="1223"/>
      <c r="D16" s="1224" t="s">
        <v>992</v>
      </c>
      <c r="E16" s="1218"/>
      <c r="F16" s="1225" t="s">
        <v>1311</v>
      </c>
      <c r="G16" s="1218"/>
      <c r="H16" s="1226"/>
      <c r="I16" s="1227"/>
      <c r="J16" s="1222"/>
      <c r="K16" s="1191"/>
    </row>
    <row r="17" ht="22.5" customHeight="1">
      <c r="A17" s="1187"/>
      <c r="B17" s="1215"/>
      <c r="C17" s="1228"/>
      <c r="D17" s="1229" t="s">
        <v>834</v>
      </c>
      <c r="E17" s="1218"/>
      <c r="F17" s="1230" t="s">
        <v>1312</v>
      </c>
      <c r="G17" s="1218"/>
      <c r="H17" s="1231"/>
      <c r="I17" s="1227"/>
      <c r="J17" s="1222"/>
      <c r="K17" s="1191"/>
    </row>
    <row r="18" ht="22.5" customHeight="1">
      <c r="A18" s="1187"/>
      <c r="B18" s="1215"/>
      <c r="C18" s="1232"/>
      <c r="D18" s="1233" t="s">
        <v>848</v>
      </c>
      <c r="E18" s="1218"/>
      <c r="F18" s="1234" t="s">
        <v>1313</v>
      </c>
      <c r="G18" s="1218"/>
      <c r="H18" s="1235" t="s">
        <v>1314</v>
      </c>
      <c r="I18" s="1227"/>
      <c r="J18" s="1222"/>
      <c r="K18" s="1191"/>
    </row>
    <row r="19" ht="22.5" customHeight="1">
      <c r="A19" s="1187"/>
      <c r="B19" s="1215"/>
      <c r="C19" s="1236"/>
      <c r="D19" s="1237" t="s">
        <v>884</v>
      </c>
      <c r="E19" s="1218"/>
      <c r="F19" s="1238" t="s">
        <v>1315</v>
      </c>
      <c r="G19" s="1218"/>
      <c r="H19" s="1239" t="s">
        <v>1316</v>
      </c>
      <c r="I19" s="1227"/>
      <c r="J19" s="1222"/>
      <c r="K19" s="1191"/>
    </row>
    <row r="20" ht="22.5" customHeight="1">
      <c r="A20" s="1187"/>
      <c r="B20" s="1215"/>
      <c r="C20" s="1240"/>
      <c r="D20" s="1241" t="s">
        <v>918</v>
      </c>
      <c r="E20" s="1218"/>
      <c r="F20" s="1242" t="s">
        <v>1317</v>
      </c>
      <c r="G20" s="1218"/>
      <c r="H20" s="1243"/>
      <c r="I20" s="1227"/>
      <c r="J20" s="1222"/>
      <c r="K20" s="1191"/>
    </row>
    <row r="21" ht="22.5" customHeight="1">
      <c r="A21" s="1187"/>
      <c r="B21" s="1215"/>
      <c r="C21" s="1244"/>
      <c r="D21" s="1245" t="s">
        <v>977</v>
      </c>
      <c r="E21" s="1218"/>
      <c r="F21" s="1246" t="s">
        <v>1318</v>
      </c>
      <c r="G21" s="1218"/>
      <c r="H21" s="1247" t="s">
        <v>1319</v>
      </c>
      <c r="I21" s="1227"/>
      <c r="J21" s="1222"/>
      <c r="K21" s="1191"/>
    </row>
    <row r="22" ht="22.5" customHeight="1">
      <c r="A22" s="1187"/>
      <c r="B22" s="1215"/>
      <c r="C22" s="1248"/>
      <c r="D22" s="1249" t="s">
        <v>903</v>
      </c>
      <c r="E22" s="1218"/>
      <c r="F22" s="1250" t="s">
        <v>1320</v>
      </c>
      <c r="G22" s="1218"/>
      <c r="H22" s="1251"/>
      <c r="I22" s="1227"/>
      <c r="J22" s="1222"/>
      <c r="K22" s="1191"/>
    </row>
    <row r="23" ht="22.5" customHeight="1">
      <c r="A23" s="1187"/>
      <c r="B23" s="1215"/>
      <c r="C23" s="1252"/>
      <c r="D23" s="1253" t="s">
        <v>869</v>
      </c>
      <c r="E23" s="1218"/>
      <c r="F23" s="1254" t="s">
        <v>1321</v>
      </c>
      <c r="G23" s="1218"/>
      <c r="H23" s="1255"/>
      <c r="I23" s="1227"/>
      <c r="J23" s="1222"/>
      <c r="K23" s="1191"/>
    </row>
    <row r="24" ht="22.5" customHeight="1">
      <c r="A24" s="1187"/>
      <c r="B24" s="1215"/>
      <c r="C24" s="1256"/>
      <c r="D24" s="1257" t="s">
        <v>976</v>
      </c>
      <c r="E24" s="1218"/>
      <c r="F24" s="1258" t="s">
        <v>1322</v>
      </c>
      <c r="G24" s="1218"/>
      <c r="H24" s="1259" t="s">
        <v>1323</v>
      </c>
      <c r="I24" s="1227"/>
      <c r="J24" s="1222"/>
      <c r="K24" s="1191"/>
    </row>
    <row r="25" ht="22.5" customHeight="1">
      <c r="A25" s="1187"/>
      <c r="B25" s="1215"/>
      <c r="C25" s="1260"/>
      <c r="D25" s="1261" t="s">
        <v>851</v>
      </c>
      <c r="E25" s="1218"/>
      <c r="F25" s="1262" t="s">
        <v>1324</v>
      </c>
      <c r="G25" s="1218"/>
      <c r="H25" s="1263" t="s">
        <v>1325</v>
      </c>
      <c r="I25" s="1227"/>
      <c r="J25" s="1222"/>
      <c r="K25" s="1191"/>
    </row>
    <row r="26" ht="22.5" customHeight="1">
      <c r="A26" s="1187"/>
      <c r="B26" s="1215"/>
      <c r="C26" s="1264"/>
      <c r="D26" s="1265" t="s">
        <v>1040</v>
      </c>
      <c r="E26" s="1218"/>
      <c r="F26" s="1266" t="s">
        <v>1326</v>
      </c>
      <c r="G26" s="1218"/>
      <c r="H26" s="1267"/>
      <c r="I26" s="1227"/>
      <c r="J26" s="1222"/>
      <c r="K26" s="1191"/>
    </row>
    <row r="27" ht="22.5" customHeight="1">
      <c r="A27" s="1187"/>
      <c r="B27" s="1215"/>
      <c r="C27" s="1268"/>
      <c r="D27" s="1269" t="s">
        <v>904</v>
      </c>
      <c r="E27" s="1218"/>
      <c r="F27" s="1270" t="s">
        <v>1327</v>
      </c>
      <c r="G27" s="1218"/>
      <c r="H27" s="1271"/>
      <c r="I27" s="1227"/>
      <c r="J27" s="1222"/>
      <c r="K27" s="1191"/>
    </row>
    <row r="28" ht="22.5" customHeight="1">
      <c r="A28" s="1187"/>
      <c r="B28" s="1215"/>
      <c r="C28" s="1272"/>
      <c r="D28" s="1273" t="s">
        <v>993</v>
      </c>
      <c r="E28" s="1218"/>
      <c r="F28" s="1274" t="s">
        <v>1328</v>
      </c>
      <c r="G28" s="1218"/>
      <c r="H28" s="1275"/>
      <c r="I28" s="1227"/>
      <c r="J28" s="1222"/>
      <c r="K28" s="1191"/>
    </row>
    <row r="29" ht="22.5" customHeight="1">
      <c r="A29" s="1187"/>
      <c r="B29" s="1215"/>
      <c r="C29" s="1272"/>
      <c r="D29" s="1273" t="s">
        <v>875</v>
      </c>
      <c r="E29" s="1218"/>
      <c r="F29" s="1274" t="s">
        <v>1329</v>
      </c>
      <c r="G29" s="1218"/>
      <c r="H29" s="1276" t="s">
        <v>1330</v>
      </c>
      <c r="I29" s="1227"/>
      <c r="J29" s="1222"/>
      <c r="K29" s="1191"/>
    </row>
    <row r="30" ht="22.5" customHeight="1">
      <c r="A30" s="1187"/>
      <c r="B30" s="1215"/>
      <c r="C30" s="1236"/>
      <c r="D30" s="1237" t="s">
        <v>919</v>
      </c>
      <c r="E30" s="1218"/>
      <c r="F30" s="1238" t="s">
        <v>1331</v>
      </c>
      <c r="G30" s="1218"/>
      <c r="H30" s="1239" t="s">
        <v>1316</v>
      </c>
      <c r="I30" s="1227"/>
      <c r="J30" s="1222"/>
      <c r="K30" s="1191"/>
    </row>
    <row r="31" ht="22.5" customHeight="1">
      <c r="A31" s="1187"/>
      <c r="B31" s="1215"/>
      <c r="C31" s="1277"/>
      <c r="D31" s="1278" t="s">
        <v>866</v>
      </c>
      <c r="E31" s="1218"/>
      <c r="F31" s="1279" t="s">
        <v>1332</v>
      </c>
      <c r="G31" s="1218"/>
      <c r="H31" s="1280" t="s">
        <v>1333</v>
      </c>
      <c r="I31" s="1227"/>
      <c r="J31" s="1222"/>
      <c r="K31" s="1191"/>
    </row>
    <row r="32" ht="22.5" customHeight="1">
      <c r="A32" s="1187"/>
      <c r="B32" s="1215"/>
      <c r="C32" s="1281"/>
      <c r="D32" s="1282" t="s">
        <v>1041</v>
      </c>
      <c r="E32" s="1218"/>
      <c r="F32" s="1283" t="s">
        <v>1334</v>
      </c>
      <c r="G32" s="1218"/>
      <c r="H32" s="1284"/>
      <c r="I32" s="1227"/>
      <c r="J32" s="1222"/>
      <c r="K32" s="1191"/>
    </row>
    <row r="33" ht="22.5" customHeight="1">
      <c r="A33" s="1187"/>
      <c r="B33" s="1215"/>
      <c r="C33" s="1285"/>
      <c r="D33" s="1286" t="s">
        <v>847</v>
      </c>
      <c r="E33" s="1218"/>
      <c r="F33" s="1287" t="s">
        <v>1335</v>
      </c>
      <c r="G33" s="1218"/>
      <c r="H33" s="1288" t="s">
        <v>1336</v>
      </c>
      <c r="I33" s="1289"/>
      <c r="J33" s="1222"/>
      <c r="K33" s="1191"/>
    </row>
    <row r="34" ht="7.5" customHeight="1">
      <c r="A34" s="1187"/>
      <c r="B34" s="1290"/>
      <c r="C34" s="1291"/>
      <c r="D34" s="1292"/>
      <c r="E34" s="1293"/>
      <c r="F34" s="1294"/>
      <c r="G34" s="1293"/>
      <c r="H34" s="1291"/>
      <c r="I34" s="1292"/>
      <c r="J34" s="1295"/>
      <c r="K34" s="1191"/>
    </row>
    <row r="35" ht="7.5" customHeight="1">
      <c r="A35" s="1185"/>
      <c r="B35" s="115"/>
      <c r="C35" s="1296"/>
      <c r="D35" s="1296"/>
      <c r="E35" s="1297"/>
      <c r="F35" s="1296"/>
      <c r="G35" s="1297"/>
      <c r="H35" s="1296"/>
      <c r="I35" s="1296"/>
      <c r="J35" s="115"/>
      <c r="K35" s="1185"/>
    </row>
  </sheetData>
  <mergeCells count="30">
    <mergeCell ref="C3:I3"/>
    <mergeCell ref="C5:I5"/>
    <mergeCell ref="C7:I7"/>
    <mergeCell ref="C9:I9"/>
    <mergeCell ref="C11:I11"/>
    <mergeCell ref="C13:D13"/>
    <mergeCell ref="C14:D14"/>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33:I33"/>
    <mergeCell ref="H34:I34"/>
    <mergeCell ref="H27:I27"/>
    <mergeCell ref="H28:I28"/>
    <mergeCell ref="H29:I29"/>
    <mergeCell ref="H30:I30"/>
    <mergeCell ref="H31:I31"/>
    <mergeCell ref="H32:I32"/>
    <mergeCell ref="C34:D3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0707"/>
    <outlinePr summaryBelow="0" summaryRight="0"/>
  </sheetPr>
  <sheetViews>
    <sheetView workbookViewId="0"/>
  </sheetViews>
  <sheetFormatPr customHeight="1" defaultColWidth="12.63" defaultRowHeight="15.75"/>
  <cols>
    <col customWidth="1" min="1" max="2" width="1.38"/>
    <col customWidth="1" min="3" max="3" width="5.13"/>
    <col customWidth="1" min="4" max="4" width="18.88"/>
    <col customWidth="1" min="5" max="5" width="1.63"/>
    <col customWidth="1" min="6" max="6" width="5.13"/>
    <col customWidth="1" min="7" max="7" width="18.88"/>
    <col customWidth="1" min="8" max="9" width="1.63"/>
  </cols>
  <sheetData>
    <row r="1" ht="7.5" customHeight="1">
      <c r="A1" s="394"/>
      <c r="B1" s="395"/>
      <c r="C1" s="395"/>
      <c r="D1" s="395"/>
      <c r="E1" s="395"/>
      <c r="F1" s="395"/>
      <c r="G1" s="395"/>
      <c r="H1" s="395"/>
      <c r="I1" s="394"/>
    </row>
    <row r="2" ht="37.5" customHeight="1">
      <c r="A2" s="396"/>
      <c r="B2" s="1298" t="s">
        <v>1337</v>
      </c>
      <c r="C2" s="564"/>
      <c r="D2" s="564"/>
      <c r="E2" s="564"/>
      <c r="F2" s="564"/>
      <c r="G2" s="564"/>
      <c r="H2" s="404"/>
      <c r="I2" s="401"/>
    </row>
    <row r="3" ht="7.5" customHeight="1">
      <c r="A3" s="396"/>
      <c r="B3" s="1299"/>
      <c r="C3" s="1300"/>
      <c r="D3" s="1300"/>
      <c r="E3" s="1301"/>
      <c r="F3" s="1300"/>
      <c r="G3" s="1300"/>
      <c r="H3" s="1302"/>
      <c r="I3" s="401"/>
    </row>
    <row r="4" ht="22.5" customHeight="1">
      <c r="A4" s="396"/>
      <c r="B4" s="1303"/>
      <c r="C4" s="1304" t="str">
        <f t="array" ref="C4:C8">IFERROR(VLOOKUP(D4:D8,Dex!$B$3:$O10,2,FALSE),"")</f>
        <v/>
      </c>
      <c r="D4" s="1305" t="s">
        <v>889</v>
      </c>
      <c r="E4" s="1306"/>
      <c r="F4" s="1307" t="s">
        <v>1338</v>
      </c>
      <c r="G4" s="1308"/>
      <c r="H4" s="1309"/>
      <c r="I4" s="401"/>
    </row>
    <row r="5" ht="22.5" customHeight="1">
      <c r="A5" s="396"/>
      <c r="B5" s="1303"/>
      <c r="C5" s="1310"/>
      <c r="D5" s="1311" t="s">
        <v>867</v>
      </c>
      <c r="E5" s="1306"/>
      <c r="F5" s="1312"/>
      <c r="G5" s="1313"/>
      <c r="H5" s="1309"/>
      <c r="I5" s="401"/>
    </row>
    <row r="6" ht="22.5" customHeight="1">
      <c r="A6" s="396"/>
      <c r="B6" s="1303"/>
      <c r="C6" s="1314"/>
      <c r="D6" s="1315" t="s">
        <v>978</v>
      </c>
      <c r="E6" s="1306"/>
      <c r="F6" s="1316" t="s">
        <v>1339</v>
      </c>
      <c r="G6" s="1317"/>
      <c r="H6" s="1309"/>
      <c r="I6" s="401"/>
    </row>
    <row r="7" ht="22.5" customHeight="1">
      <c r="A7" s="396"/>
      <c r="B7" s="1303"/>
      <c r="C7" s="1318"/>
      <c r="D7" s="1319" t="s">
        <v>963</v>
      </c>
      <c r="E7" s="1306"/>
      <c r="F7" s="1320"/>
      <c r="G7" s="1045"/>
      <c r="H7" s="1309"/>
      <c r="I7" s="401"/>
    </row>
    <row r="8" ht="22.5" customHeight="1">
      <c r="A8" s="396"/>
      <c r="B8" s="1303"/>
      <c r="C8" s="1321"/>
      <c r="D8" s="1322" t="s">
        <v>870</v>
      </c>
      <c r="E8" s="1323"/>
      <c r="F8" s="1324"/>
      <c r="G8" s="1325"/>
      <c r="H8" s="1309"/>
      <c r="I8" s="401"/>
    </row>
    <row r="9" ht="7.5" customHeight="1">
      <c r="A9" s="396"/>
      <c r="B9" s="1326"/>
      <c r="C9" s="1327"/>
      <c r="D9" s="1328"/>
      <c r="E9" s="1329"/>
      <c r="F9" s="1327"/>
      <c r="G9" s="1328"/>
      <c r="H9" s="1330"/>
      <c r="I9" s="401"/>
    </row>
    <row r="10" ht="7.5" customHeight="1">
      <c r="A10" s="394"/>
      <c r="B10" s="551"/>
      <c r="C10" s="552"/>
      <c r="D10" s="552"/>
      <c r="E10" s="551"/>
      <c r="F10" s="552"/>
      <c r="G10" s="552"/>
      <c r="H10" s="551"/>
      <c r="I10" s="394"/>
    </row>
  </sheetData>
  <mergeCells count="5">
    <mergeCell ref="B2:H2"/>
    <mergeCell ref="F4:G5"/>
    <mergeCell ref="F6:G7"/>
    <mergeCell ref="C9:D9"/>
    <mergeCell ref="F9:G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75"/>
  <cols>
    <col customWidth="1" min="1" max="1" width="1.38"/>
    <col customWidth="1" min="2" max="3" width="6.38"/>
    <col customWidth="1" min="4" max="4" width="0.75"/>
    <col customWidth="1" min="5" max="6" width="6.38"/>
    <col customWidth="1" min="7" max="7" width="1.38"/>
  </cols>
  <sheetData>
    <row r="1" ht="7.5" customHeight="1">
      <c r="A1" s="1331"/>
      <c r="B1" s="1332"/>
      <c r="C1" s="1332"/>
      <c r="D1" s="1332"/>
      <c r="E1" s="1332"/>
      <c r="F1" s="1332"/>
      <c r="G1" s="1331"/>
    </row>
    <row r="2">
      <c r="A2" s="1333"/>
      <c r="B2" s="1334" t="s">
        <v>1340</v>
      </c>
      <c r="C2" s="1335"/>
      <c r="D2" s="1335"/>
      <c r="E2" s="1335"/>
      <c r="F2" s="1336"/>
      <c r="G2" s="1337"/>
    </row>
    <row r="3">
      <c r="A3" s="1333"/>
      <c r="B3" s="1338"/>
      <c r="C3" s="1339"/>
      <c r="D3" s="1339"/>
      <c r="E3" s="1339"/>
      <c r="F3" s="1340"/>
      <c r="G3" s="1337"/>
    </row>
    <row r="4">
      <c r="A4" s="1333"/>
      <c r="B4" s="1341"/>
      <c r="C4" s="1342" t="s">
        <v>1341</v>
      </c>
      <c r="D4" s="1333"/>
      <c r="E4" s="1342" t="s">
        <v>1342</v>
      </c>
      <c r="F4" s="1343"/>
      <c r="G4" s="1337"/>
    </row>
    <row r="5" ht="11.25" customHeight="1">
      <c r="A5" s="1333"/>
      <c r="B5" s="1341"/>
      <c r="C5" s="1344"/>
      <c r="D5" s="1333"/>
      <c r="E5" s="1344" t="str">
        <f>IMAGE("https://raw.githubusercontent.com/msikma/pokesprite/master/items/shard/blue.png",4,32,32)</f>
        <v/>
      </c>
      <c r="F5" s="1343"/>
      <c r="G5" s="1337"/>
    </row>
    <row r="6" ht="11.25" customHeight="1">
      <c r="A6" s="1333"/>
      <c r="B6" s="1341"/>
      <c r="C6" s="1345"/>
      <c r="D6" s="1333"/>
      <c r="E6" s="1345"/>
      <c r="F6" s="1343"/>
      <c r="G6" s="1337"/>
    </row>
    <row r="7" ht="11.25" customHeight="1">
      <c r="A7" s="1333"/>
      <c r="B7" s="1341"/>
      <c r="C7" s="1346"/>
      <c r="D7" s="1333"/>
      <c r="E7" s="1346"/>
      <c r="F7" s="1343"/>
      <c r="G7" s="1337"/>
    </row>
    <row r="8">
      <c r="A8" s="1333"/>
      <c r="B8" s="1341"/>
      <c r="C8" s="1342" t="s">
        <v>1343</v>
      </c>
      <c r="D8" s="1333"/>
      <c r="E8" s="1342" t="s">
        <v>1344</v>
      </c>
      <c r="F8" s="1343"/>
      <c r="G8" s="1337"/>
    </row>
    <row r="9" ht="11.25" customHeight="1">
      <c r="A9" s="1333"/>
      <c r="B9" s="1341"/>
      <c r="C9" s="1344"/>
      <c r="D9" s="1333"/>
      <c r="E9" s="1344" t="str">
        <f>IMAGE("https://raw.githubusercontent.com/msikma/pokesprite/master/items/shard/green.png",4,32,32)</f>
        <v/>
      </c>
      <c r="F9" s="1343"/>
      <c r="G9" s="1337"/>
    </row>
    <row r="10" ht="11.25" customHeight="1">
      <c r="A10" s="1333"/>
      <c r="B10" s="1341"/>
      <c r="C10" s="1345"/>
      <c r="D10" s="1333"/>
      <c r="E10" s="1345"/>
      <c r="F10" s="1343"/>
      <c r="G10" s="1337"/>
    </row>
    <row r="11" ht="11.25" customHeight="1">
      <c r="A11" s="1333"/>
      <c r="B11" s="1341"/>
      <c r="C11" s="1346"/>
      <c r="D11" s="1333"/>
      <c r="E11" s="1346"/>
      <c r="F11" s="1343"/>
      <c r="G11" s="1337"/>
    </row>
    <row r="12">
      <c r="A12" s="1333"/>
      <c r="B12" s="1341"/>
      <c r="C12" s="1342" t="s">
        <v>1345</v>
      </c>
      <c r="D12" s="1333"/>
      <c r="E12" s="1342" t="s">
        <v>1346</v>
      </c>
      <c r="F12" s="1343"/>
      <c r="G12" s="1337"/>
    </row>
    <row r="13" ht="11.25" customHeight="1">
      <c r="A13" s="1333"/>
      <c r="B13" s="1341"/>
      <c r="C13" s="1344"/>
      <c r="D13" s="1333"/>
      <c r="E13" s="1344" t="str">
        <f>IMAGE("https://raw.githubusercontent.com/msikma/pokesprite/master/items/shard/red.png",4,32,32)</f>
        <v/>
      </c>
      <c r="F13" s="1343"/>
      <c r="G13" s="1337"/>
    </row>
    <row r="14" ht="11.25" customHeight="1">
      <c r="A14" s="1333"/>
      <c r="B14" s="1341"/>
      <c r="C14" s="1345"/>
      <c r="D14" s="1333"/>
      <c r="E14" s="1345"/>
      <c r="F14" s="1343"/>
      <c r="G14" s="1337"/>
    </row>
    <row r="15" ht="11.25" customHeight="1">
      <c r="A15" s="1333"/>
      <c r="B15" s="1341"/>
      <c r="C15" s="1346"/>
      <c r="D15" s="1333"/>
      <c r="E15" s="1346"/>
      <c r="F15" s="1343"/>
      <c r="G15" s="1337"/>
    </row>
    <row r="16">
      <c r="A16" s="1333"/>
      <c r="B16" s="1341"/>
      <c r="C16" s="1342" t="s">
        <v>643</v>
      </c>
      <c r="D16" s="1333"/>
      <c r="E16" s="1342" t="s">
        <v>1347</v>
      </c>
      <c r="F16" s="1343"/>
      <c r="G16" s="1337"/>
    </row>
    <row r="17" ht="11.25" customHeight="1">
      <c r="A17" s="1333"/>
      <c r="B17" s="1347"/>
      <c r="C17" s="1344"/>
      <c r="D17" s="1348"/>
      <c r="E17" s="1344" t="str">
        <f>IMAGE("https://raw.githubusercontent.com/msikma/pokesprite/master/items/shard/yellow.png",4,32,32)</f>
        <v/>
      </c>
      <c r="F17" s="1349"/>
      <c r="G17" s="1337"/>
    </row>
    <row r="18" ht="11.25" customHeight="1">
      <c r="A18" s="1333"/>
      <c r="B18" s="1347"/>
      <c r="C18" s="1345"/>
      <c r="D18" s="1348"/>
      <c r="E18" s="1345"/>
      <c r="F18" s="1349"/>
      <c r="G18" s="1337"/>
    </row>
    <row r="19" ht="11.25" customHeight="1">
      <c r="A19" s="1333"/>
      <c r="B19" s="1347"/>
      <c r="C19" s="1346"/>
      <c r="D19" s="1348"/>
      <c r="E19" s="1346"/>
      <c r="F19" s="1349"/>
      <c r="G19" s="1337"/>
    </row>
    <row r="20">
      <c r="A20" s="1333"/>
      <c r="B20" s="1341"/>
      <c r="C20" s="1342" t="s">
        <v>682</v>
      </c>
      <c r="D20" s="1333"/>
      <c r="E20" s="1342"/>
      <c r="F20" s="1343"/>
      <c r="G20" s="1337"/>
    </row>
    <row r="21" ht="11.25" customHeight="1">
      <c r="A21" s="1333"/>
      <c r="B21" s="1347"/>
      <c r="C21" s="1344"/>
      <c r="D21" s="1348"/>
      <c r="E21" s="1344"/>
      <c r="F21" s="1349"/>
      <c r="G21" s="1337"/>
    </row>
    <row r="22" ht="11.25" customHeight="1">
      <c r="A22" s="1333"/>
      <c r="B22" s="1347"/>
      <c r="C22" s="1345"/>
      <c r="D22" s="1348"/>
      <c r="E22" s="1345"/>
      <c r="F22" s="1349"/>
      <c r="G22" s="1337"/>
    </row>
    <row r="23" ht="11.25" customHeight="1">
      <c r="A23" s="1333"/>
      <c r="B23" s="1347"/>
      <c r="C23" s="1346"/>
      <c r="D23" s="1348"/>
      <c r="E23" s="1346"/>
      <c r="F23" s="1349"/>
      <c r="G23" s="1337"/>
    </row>
    <row r="24">
      <c r="A24" s="1333"/>
      <c r="B24" s="1341"/>
      <c r="C24" s="1342" t="s">
        <v>708</v>
      </c>
      <c r="D24" s="1333"/>
      <c r="E24" s="1342"/>
      <c r="F24" s="1343"/>
      <c r="G24" s="1337"/>
    </row>
    <row r="25" ht="11.25" customHeight="1">
      <c r="A25" s="1333"/>
      <c r="B25" s="1347"/>
      <c r="C25" s="1344"/>
      <c r="D25" s="1348"/>
      <c r="E25" s="1344"/>
      <c r="F25" s="1349"/>
      <c r="G25" s="1337"/>
    </row>
    <row r="26" ht="11.25" customHeight="1">
      <c r="A26" s="1333"/>
      <c r="B26" s="1347"/>
      <c r="C26" s="1345"/>
      <c r="D26" s="1348"/>
      <c r="E26" s="1345"/>
      <c r="F26" s="1349"/>
      <c r="G26" s="1337"/>
    </row>
    <row r="27" ht="11.25" customHeight="1">
      <c r="A27" s="1333"/>
      <c r="B27" s="1347"/>
      <c r="C27" s="1346"/>
      <c r="D27" s="1348"/>
      <c r="E27" s="1346"/>
      <c r="F27" s="1349"/>
      <c r="G27" s="1337"/>
    </row>
    <row r="28">
      <c r="A28" s="1333"/>
      <c r="B28" s="1341"/>
      <c r="C28" s="1342" t="s">
        <v>733</v>
      </c>
      <c r="D28" s="1333"/>
      <c r="E28" s="1342"/>
      <c r="F28" s="1343"/>
      <c r="G28" s="1337"/>
    </row>
    <row r="29" ht="11.25" customHeight="1">
      <c r="A29" s="1333"/>
      <c r="B29" s="1347"/>
      <c r="C29" s="1344"/>
      <c r="D29" s="1348"/>
      <c r="E29" s="1344"/>
      <c r="F29" s="1349"/>
      <c r="G29" s="1337"/>
    </row>
    <row r="30" ht="11.25" customHeight="1">
      <c r="A30" s="1333"/>
      <c r="B30" s="1347"/>
      <c r="C30" s="1345"/>
      <c r="D30" s="1348"/>
      <c r="E30" s="1345"/>
      <c r="F30" s="1349"/>
      <c r="G30" s="1337"/>
    </row>
    <row r="31" ht="11.25" customHeight="1">
      <c r="A31" s="1333"/>
      <c r="B31" s="1347"/>
      <c r="C31" s="1346"/>
      <c r="D31" s="1348"/>
      <c r="E31" s="1346"/>
      <c r="F31" s="1349"/>
      <c r="G31" s="1337"/>
    </row>
    <row r="32">
      <c r="A32" s="1333"/>
      <c r="B32" s="1341"/>
      <c r="C32" s="1342" t="s">
        <v>1348</v>
      </c>
      <c r="D32" s="1333"/>
      <c r="E32" s="1342"/>
      <c r="F32" s="1343"/>
      <c r="G32" s="1337"/>
    </row>
    <row r="33" ht="11.25" customHeight="1">
      <c r="A33" s="1333"/>
      <c r="B33" s="1347"/>
      <c r="C33" s="1344"/>
      <c r="D33" s="1348"/>
      <c r="E33" s="1344"/>
      <c r="F33" s="1349"/>
      <c r="G33" s="1337"/>
    </row>
    <row r="34" ht="11.25" customHeight="1">
      <c r="A34" s="1333"/>
      <c r="B34" s="1347"/>
      <c r="C34" s="1345"/>
      <c r="D34" s="1348"/>
      <c r="E34" s="1345"/>
      <c r="F34" s="1349"/>
      <c r="G34" s="1337"/>
    </row>
    <row r="35" ht="11.25" customHeight="1">
      <c r="A35" s="1333"/>
      <c r="B35" s="1347"/>
      <c r="C35" s="1346"/>
      <c r="D35" s="1348"/>
      <c r="E35" s="1346"/>
      <c r="F35" s="1349"/>
      <c r="G35" s="1337"/>
    </row>
    <row r="36">
      <c r="A36" s="1333"/>
      <c r="B36" s="1350"/>
      <c r="C36" s="1351"/>
      <c r="D36" s="1352"/>
      <c r="E36" s="1352"/>
      <c r="F36" s="1353"/>
      <c r="G36" s="1337"/>
    </row>
    <row r="37" ht="7.5" customHeight="1">
      <c r="A37" s="1331"/>
      <c r="B37" s="1354"/>
      <c r="C37" s="1354"/>
      <c r="D37" s="1354"/>
      <c r="E37" s="1354"/>
      <c r="F37" s="1354"/>
      <c r="G37" s="1331"/>
    </row>
  </sheetData>
  <mergeCells count="17">
    <mergeCell ref="E13:E15"/>
    <mergeCell ref="E17:E19"/>
    <mergeCell ref="C21:C23"/>
    <mergeCell ref="E21:E23"/>
    <mergeCell ref="C25:C27"/>
    <mergeCell ref="E25:E27"/>
    <mergeCell ref="C29:C31"/>
    <mergeCell ref="E29:E31"/>
    <mergeCell ref="C33:C35"/>
    <mergeCell ref="E33:E35"/>
    <mergeCell ref="B2:F3"/>
    <mergeCell ref="C5:C7"/>
    <mergeCell ref="E5:E7"/>
    <mergeCell ref="C9:C11"/>
    <mergeCell ref="E9:E11"/>
    <mergeCell ref="C13:C15"/>
    <mergeCell ref="C17:C1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75" outlineLevelCol="1"/>
  <cols>
    <col customWidth="1" min="1" max="1" width="6.38"/>
    <col customWidth="1" min="2" max="2" width="18.25"/>
    <col customWidth="1" min="3" max="3" width="6.38"/>
    <col customWidth="1" min="4" max="4" width="18.25" outlineLevel="1"/>
    <col customWidth="1" min="5" max="5" width="12.63" outlineLevel="1"/>
  </cols>
  <sheetData>
    <row r="1" ht="23.25" customHeight="1">
      <c r="A1" s="1355" t="s">
        <v>1349</v>
      </c>
      <c r="B1" s="1356" t="s">
        <v>1350</v>
      </c>
      <c r="C1" s="1357" t="s">
        <v>1351</v>
      </c>
      <c r="D1" s="1358" t="s">
        <v>1352</v>
      </c>
      <c r="E1" s="1359"/>
    </row>
    <row r="2" ht="23.25" customHeight="1">
      <c r="A2" s="1360"/>
      <c r="B2" s="1360"/>
      <c r="C2" s="1360"/>
      <c r="D2" s="1361"/>
      <c r="E2" s="1362"/>
    </row>
    <row r="3" ht="23.25" customHeight="1">
      <c r="A3" s="1363">
        <v>1.0</v>
      </c>
      <c r="B3" s="1364" t="s">
        <v>411</v>
      </c>
      <c r="C3" s="1365" t="str">
        <f t="array" ref="C3:C11">IMAGE("https://www.serebii.net/pokedex-sv/icon/new/00"&amp;ROW(B1:B9)&amp;".png",3)</f>
        <v/>
      </c>
      <c r="D3" s="1366" t="str">
        <f t="shared" ref="D3:D10" si="1">LOWER(B3)</f>
        <v>bulbasaur</v>
      </c>
      <c r="E3" s="1366" t="str">
        <f t="array" ref="E3:E1178">IMAGE("http://play.pokemonshowdown.com/sprites/gen5/"&amp;D3:D1178&amp;".png", 3)</f>
        <v/>
      </c>
    </row>
    <row r="4" ht="23.25" customHeight="1">
      <c r="A4" s="1367">
        <v>2.0</v>
      </c>
      <c r="B4" s="1368" t="s">
        <v>1353</v>
      </c>
      <c r="C4" s="1369"/>
      <c r="D4" s="1370" t="str">
        <f t="shared" si="1"/>
        <v>ivysaur</v>
      </c>
      <c r="E4" s="1370"/>
    </row>
    <row r="5" ht="23.25" customHeight="1">
      <c r="A5" s="1371">
        <v>3.0</v>
      </c>
      <c r="B5" s="1372" t="s">
        <v>1354</v>
      </c>
      <c r="C5" s="1373"/>
      <c r="D5" s="1366" t="str">
        <f t="shared" si="1"/>
        <v>venusaur</v>
      </c>
      <c r="E5" s="1366"/>
    </row>
    <row r="6" ht="23.25" customHeight="1">
      <c r="A6" s="1374">
        <v>4.0</v>
      </c>
      <c r="B6" s="1375" t="s">
        <v>512</v>
      </c>
      <c r="C6" s="1369"/>
      <c r="D6" s="1370" t="str">
        <f t="shared" si="1"/>
        <v>charmander</v>
      </c>
      <c r="E6" s="1370"/>
    </row>
    <row r="7" ht="23.25" customHeight="1">
      <c r="A7" s="1371">
        <v>5.0</v>
      </c>
      <c r="B7" s="1372" t="s">
        <v>1355</v>
      </c>
      <c r="C7" s="1373"/>
      <c r="D7" s="1373" t="str">
        <f t="shared" si="1"/>
        <v>charmeleon</v>
      </c>
      <c r="E7" s="1373"/>
    </row>
    <row r="8" ht="23.25" customHeight="1">
      <c r="A8" s="1367">
        <v>6.0</v>
      </c>
      <c r="B8" s="1368" t="s">
        <v>1356</v>
      </c>
      <c r="C8" s="1369"/>
      <c r="D8" s="1370" t="str">
        <f t="shared" si="1"/>
        <v>charizard</v>
      </c>
      <c r="E8" s="1370"/>
    </row>
    <row r="9" ht="23.25" customHeight="1">
      <c r="A9" s="1363">
        <v>7.0</v>
      </c>
      <c r="B9" s="1372" t="s">
        <v>1193</v>
      </c>
      <c r="C9" s="1373"/>
      <c r="D9" s="1366" t="str">
        <f t="shared" si="1"/>
        <v>squirtle</v>
      </c>
      <c r="E9" s="1366"/>
    </row>
    <row r="10" ht="23.25" customHeight="1">
      <c r="A10" s="1367">
        <v>8.0</v>
      </c>
      <c r="B10" s="1368" t="s">
        <v>1357</v>
      </c>
      <c r="C10" s="1369"/>
      <c r="D10" s="1370" t="str">
        <f t="shared" si="1"/>
        <v>wartortle</v>
      </c>
      <c r="E10" s="1370"/>
    </row>
    <row r="11" ht="23.25" customHeight="1">
      <c r="A11" s="1371">
        <v>9.0</v>
      </c>
      <c r="B11" s="1372" t="s">
        <v>1358</v>
      </c>
      <c r="C11" s="1373"/>
      <c r="D11" s="1366" t="s">
        <v>1359</v>
      </c>
      <c r="E11" s="1366"/>
    </row>
    <row r="12" ht="23.25" customHeight="1">
      <c r="A12" s="1374">
        <v>10.0</v>
      </c>
      <c r="B12" s="1368" t="s">
        <v>87</v>
      </c>
      <c r="C12" s="1376" t="str">
        <f t="array" ref="C12:C101">IMAGE("https://www.serebii.net/pokedex-sv/icon/new/0"&amp;ROW(B10:B99)&amp;".png",3)</f>
        <v/>
      </c>
      <c r="D12" s="1370" t="s">
        <v>1360</v>
      </c>
      <c r="E12" s="1370"/>
    </row>
    <row r="13" ht="23.25" customHeight="1">
      <c r="A13" s="1371">
        <v>11.0</v>
      </c>
      <c r="B13" s="1372" t="s">
        <v>1361</v>
      </c>
      <c r="C13" s="1373"/>
      <c r="D13" s="1373" t="str">
        <f t="shared" ref="D13:D21" si="2">LOWER(B13)</f>
        <v>metapod</v>
      </c>
      <c r="E13" s="1373"/>
    </row>
    <row r="14" ht="23.25" customHeight="1">
      <c r="A14" s="1367">
        <v>12.0</v>
      </c>
      <c r="B14" s="1368" t="s">
        <v>1362</v>
      </c>
      <c r="C14" s="1369"/>
      <c r="D14" s="1370" t="str">
        <f t="shared" si="2"/>
        <v>butterfree</v>
      </c>
      <c r="E14" s="1370"/>
    </row>
    <row r="15" ht="23.25" customHeight="1">
      <c r="A15" s="1363">
        <v>13.0</v>
      </c>
      <c r="B15" s="1372" t="s">
        <v>168</v>
      </c>
      <c r="C15" s="1373"/>
      <c r="D15" s="1366" t="str">
        <f t="shared" si="2"/>
        <v>weedle</v>
      </c>
      <c r="E15" s="1366"/>
    </row>
    <row r="16" ht="23.25" customHeight="1">
      <c r="A16" s="1367">
        <v>14.0</v>
      </c>
      <c r="B16" s="1368" t="s">
        <v>1363</v>
      </c>
      <c r="C16" s="1369"/>
      <c r="D16" s="1370" t="str">
        <f t="shared" si="2"/>
        <v>kakuna</v>
      </c>
      <c r="E16" s="1370"/>
    </row>
    <row r="17" ht="23.25" customHeight="1">
      <c r="A17" s="1371">
        <v>15.0</v>
      </c>
      <c r="B17" s="1372" t="s">
        <v>1364</v>
      </c>
      <c r="C17" s="1373"/>
      <c r="D17" s="1366" t="str">
        <f t="shared" si="2"/>
        <v>beedrill</v>
      </c>
      <c r="E17" s="1366"/>
    </row>
    <row r="18" ht="23.25" customHeight="1">
      <c r="A18" s="1374">
        <v>16.0</v>
      </c>
      <c r="B18" s="1368" t="s">
        <v>384</v>
      </c>
      <c r="C18" s="1369"/>
      <c r="D18" s="1369" t="str">
        <f t="shared" si="2"/>
        <v>pidgey</v>
      </c>
      <c r="E18" s="1369"/>
    </row>
    <row r="19" ht="23.25" customHeight="1">
      <c r="A19" s="1371">
        <v>17.0</v>
      </c>
      <c r="B19" s="1372" t="s">
        <v>1365</v>
      </c>
      <c r="C19" s="1373"/>
      <c r="D19" s="1366" t="str">
        <f t="shared" si="2"/>
        <v>pidgeotto</v>
      </c>
      <c r="E19" s="1366"/>
    </row>
    <row r="20" ht="23.25" customHeight="1">
      <c r="A20" s="1367">
        <v>18.0</v>
      </c>
      <c r="B20" s="1368" t="s">
        <v>1366</v>
      </c>
      <c r="C20" s="1369"/>
      <c r="D20" s="1370" t="str">
        <f t="shared" si="2"/>
        <v>pidgeot</v>
      </c>
      <c r="E20" s="1370"/>
    </row>
    <row r="21" ht="23.25" customHeight="1">
      <c r="A21" s="1363">
        <v>19.0</v>
      </c>
      <c r="B21" s="1372" t="s">
        <v>217</v>
      </c>
      <c r="C21" s="1373"/>
      <c r="D21" s="1366" t="str">
        <f t="shared" si="2"/>
        <v>rattata</v>
      </c>
      <c r="E21" s="1366"/>
    </row>
    <row r="22" ht="23.25" customHeight="1">
      <c r="A22" s="1367">
        <v>20.0</v>
      </c>
      <c r="B22" s="1368" t="s">
        <v>134</v>
      </c>
      <c r="C22" s="1369"/>
      <c r="D22" s="1370" t="s">
        <v>1367</v>
      </c>
      <c r="E22" s="1370"/>
    </row>
    <row r="23" ht="23.25" customHeight="1">
      <c r="A23" s="1371">
        <v>21.0</v>
      </c>
      <c r="B23" s="1372" t="s">
        <v>225</v>
      </c>
      <c r="C23" s="1373"/>
      <c r="D23" s="1366" t="str">
        <f t="shared" ref="D23:D25" si="3">LOWER(B23)</f>
        <v>spearow</v>
      </c>
      <c r="E23" s="1366"/>
    </row>
    <row r="24" ht="23.25" customHeight="1">
      <c r="A24" s="1374">
        <v>22.0</v>
      </c>
      <c r="B24" s="1368" t="s">
        <v>192</v>
      </c>
      <c r="C24" s="1369"/>
      <c r="D24" s="1370" t="str">
        <f t="shared" si="3"/>
        <v>fearow</v>
      </c>
      <c r="E24" s="1370"/>
    </row>
    <row r="25" ht="23.25" customHeight="1">
      <c r="A25" s="1371">
        <v>23.0</v>
      </c>
      <c r="B25" s="1372" t="s">
        <v>170</v>
      </c>
      <c r="C25" s="1373"/>
      <c r="D25" s="1366" t="str">
        <f t="shared" si="3"/>
        <v>ekans</v>
      </c>
      <c r="E25" s="1366"/>
    </row>
    <row r="26" ht="23.25" customHeight="1">
      <c r="A26" s="1367">
        <v>24.0</v>
      </c>
      <c r="B26" s="1368" t="s">
        <v>1368</v>
      </c>
      <c r="C26" s="1369"/>
      <c r="D26" s="1370" t="s">
        <v>1369</v>
      </c>
      <c r="E26" s="1370"/>
    </row>
    <row r="27" ht="23.25" customHeight="1">
      <c r="A27" s="1363">
        <v>25.0</v>
      </c>
      <c r="B27" s="1372" t="s">
        <v>222</v>
      </c>
      <c r="C27" s="1373"/>
      <c r="D27" s="1366" t="str">
        <f t="shared" ref="D27:D60" si="4">LOWER(B27)</f>
        <v>pikachu</v>
      </c>
      <c r="E27" s="1366"/>
    </row>
    <row r="28" ht="23.25" customHeight="1">
      <c r="A28" s="1367">
        <v>26.0</v>
      </c>
      <c r="B28" s="1368" t="s">
        <v>1370</v>
      </c>
      <c r="C28" s="1369"/>
      <c r="D28" s="1370" t="str">
        <f t="shared" si="4"/>
        <v>raichu</v>
      </c>
      <c r="E28" s="1370"/>
    </row>
    <row r="29" ht="23.25" customHeight="1">
      <c r="A29" s="1371">
        <v>27.0</v>
      </c>
      <c r="B29" s="1372" t="s">
        <v>308</v>
      </c>
      <c r="C29" s="1373"/>
      <c r="D29" s="1366" t="str">
        <f t="shared" si="4"/>
        <v>sandshrew</v>
      </c>
      <c r="E29" s="1366"/>
    </row>
    <row r="30" ht="23.25" customHeight="1">
      <c r="A30" s="1374">
        <v>28.0</v>
      </c>
      <c r="B30" s="1368" t="s">
        <v>111</v>
      </c>
      <c r="C30" s="1369"/>
      <c r="D30" s="1370" t="str">
        <f t="shared" si="4"/>
        <v>sandslash</v>
      </c>
      <c r="E30" s="1370"/>
    </row>
    <row r="31" ht="23.25" customHeight="1">
      <c r="A31" s="1371">
        <v>29.0</v>
      </c>
      <c r="B31" s="1364" t="s">
        <v>583</v>
      </c>
      <c r="C31" s="1373"/>
      <c r="D31" s="1366" t="str">
        <f t="shared" si="4"/>
        <v>nidoran-f</v>
      </c>
      <c r="E31" s="1366"/>
    </row>
    <row r="32" ht="23.25" customHeight="1">
      <c r="A32" s="1367">
        <v>30.0</v>
      </c>
      <c r="B32" s="1368" t="s">
        <v>1371</v>
      </c>
      <c r="C32" s="1369"/>
      <c r="D32" s="1370" t="str">
        <f t="shared" si="4"/>
        <v>nidorina</v>
      </c>
      <c r="E32" s="1370"/>
    </row>
    <row r="33" ht="23.25" customHeight="1">
      <c r="A33" s="1363">
        <v>31.0</v>
      </c>
      <c r="B33" s="1372" t="s">
        <v>1372</v>
      </c>
      <c r="C33" s="1373"/>
      <c r="D33" s="1366" t="str">
        <f t="shared" si="4"/>
        <v>nidoqueen</v>
      </c>
      <c r="E33" s="1366"/>
    </row>
    <row r="34" ht="23.25" customHeight="1">
      <c r="A34" s="1367">
        <v>32.0</v>
      </c>
      <c r="B34" s="1375" t="s">
        <v>278</v>
      </c>
      <c r="C34" s="1369"/>
      <c r="D34" s="1370" t="str">
        <f t="shared" si="4"/>
        <v>nidoran-m</v>
      </c>
      <c r="E34" s="1370"/>
    </row>
    <row r="35" ht="23.25" customHeight="1">
      <c r="A35" s="1371">
        <v>33.0</v>
      </c>
      <c r="B35" s="1372" t="s">
        <v>1373</v>
      </c>
      <c r="C35" s="1373"/>
      <c r="D35" s="1366" t="str">
        <f t="shared" si="4"/>
        <v>nidorino</v>
      </c>
      <c r="E35" s="1366"/>
    </row>
    <row r="36" ht="23.25" customHeight="1">
      <c r="A36" s="1374">
        <v>34.0</v>
      </c>
      <c r="B36" s="1368" t="s">
        <v>1374</v>
      </c>
      <c r="C36" s="1369"/>
      <c r="D36" s="1370" t="str">
        <f t="shared" si="4"/>
        <v>nidoking</v>
      </c>
      <c r="E36" s="1370"/>
    </row>
    <row r="37" ht="23.25" customHeight="1">
      <c r="A37" s="1371">
        <v>35.0</v>
      </c>
      <c r="B37" s="1372" t="s">
        <v>485</v>
      </c>
      <c r="C37" s="1373"/>
      <c r="D37" s="1366" t="str">
        <f t="shared" si="4"/>
        <v>clefairy</v>
      </c>
      <c r="E37" s="1366"/>
    </row>
    <row r="38" ht="23.25" customHeight="1">
      <c r="A38" s="1367">
        <v>36.0</v>
      </c>
      <c r="B38" s="1368" t="s">
        <v>1298</v>
      </c>
      <c r="C38" s="1369"/>
      <c r="D38" s="1370" t="str">
        <f t="shared" si="4"/>
        <v>clefable</v>
      </c>
      <c r="E38" s="1370"/>
    </row>
    <row r="39" ht="23.25" customHeight="1">
      <c r="A39" s="1363">
        <v>37.0</v>
      </c>
      <c r="B39" s="1372" t="s">
        <v>399</v>
      </c>
      <c r="C39" s="1373"/>
      <c r="D39" s="1366" t="str">
        <f t="shared" si="4"/>
        <v>vulpix</v>
      </c>
      <c r="E39" s="1366"/>
    </row>
    <row r="40" ht="23.25" customHeight="1">
      <c r="A40" s="1367">
        <v>38.0</v>
      </c>
      <c r="B40" s="1368" t="s">
        <v>263</v>
      </c>
      <c r="C40" s="1369"/>
      <c r="D40" s="1369" t="str">
        <f t="shared" si="4"/>
        <v>ninetales</v>
      </c>
      <c r="E40" s="1369"/>
    </row>
    <row r="41" ht="23.25" customHeight="1">
      <c r="A41" s="1371">
        <v>39.0</v>
      </c>
      <c r="B41" s="1372" t="s">
        <v>496</v>
      </c>
      <c r="C41" s="1373"/>
      <c r="D41" s="1373" t="str">
        <f t="shared" si="4"/>
        <v>jigglypuff</v>
      </c>
      <c r="E41" s="1373"/>
    </row>
    <row r="42" ht="23.25" customHeight="1">
      <c r="A42" s="1374">
        <v>40.0</v>
      </c>
      <c r="B42" s="1368" t="s">
        <v>1375</v>
      </c>
      <c r="C42" s="1369"/>
      <c r="D42" s="1369" t="str">
        <f t="shared" si="4"/>
        <v>wigglytuff</v>
      </c>
      <c r="E42" s="1369"/>
    </row>
    <row r="43" ht="23.25" customHeight="1">
      <c r="A43" s="1371">
        <v>41.0</v>
      </c>
      <c r="B43" s="1372" t="s">
        <v>171</v>
      </c>
      <c r="C43" s="1373"/>
      <c r="D43" s="1373" t="str">
        <f t="shared" si="4"/>
        <v>zubat</v>
      </c>
      <c r="E43" s="1373"/>
    </row>
    <row r="44" ht="23.25" customHeight="1">
      <c r="A44" s="1367">
        <v>42.0</v>
      </c>
      <c r="B44" s="1368" t="s">
        <v>200</v>
      </c>
      <c r="C44" s="1369"/>
      <c r="D44" s="1369" t="str">
        <f t="shared" si="4"/>
        <v>golbat</v>
      </c>
      <c r="E44" s="1369"/>
    </row>
    <row r="45" ht="23.25" customHeight="1">
      <c r="A45" s="1363">
        <v>43.0</v>
      </c>
      <c r="B45" s="1372" t="s">
        <v>386</v>
      </c>
      <c r="C45" s="1373"/>
      <c r="D45" s="1373" t="str">
        <f t="shared" si="4"/>
        <v>oddish</v>
      </c>
      <c r="E45" s="1373"/>
    </row>
    <row r="46" ht="23.25" customHeight="1">
      <c r="A46" s="1367">
        <v>44.0</v>
      </c>
      <c r="B46" s="1368" t="s">
        <v>1376</v>
      </c>
      <c r="C46" s="1369"/>
      <c r="D46" s="1369" t="str">
        <f t="shared" si="4"/>
        <v>gloom</v>
      </c>
      <c r="E46" s="1369"/>
    </row>
    <row r="47" ht="23.25" customHeight="1">
      <c r="A47" s="1371">
        <v>45.0</v>
      </c>
      <c r="B47" s="1372" t="s">
        <v>1377</v>
      </c>
      <c r="C47" s="1373"/>
      <c r="D47" s="1373" t="str">
        <f t="shared" si="4"/>
        <v>vileplume</v>
      </c>
      <c r="E47" s="1373"/>
    </row>
    <row r="48" ht="23.25" customHeight="1">
      <c r="A48" s="1374">
        <v>46.0</v>
      </c>
      <c r="B48" s="1368" t="s">
        <v>92</v>
      </c>
      <c r="C48" s="1369"/>
      <c r="D48" s="1369" t="str">
        <f t="shared" si="4"/>
        <v>paras</v>
      </c>
      <c r="E48" s="1369"/>
    </row>
    <row r="49" ht="23.25" customHeight="1">
      <c r="A49" s="1371">
        <v>47.0</v>
      </c>
      <c r="B49" s="1372" t="s">
        <v>139</v>
      </c>
      <c r="C49" s="1373"/>
      <c r="D49" s="1373" t="str">
        <f t="shared" si="4"/>
        <v>parasect</v>
      </c>
      <c r="E49" s="1373"/>
    </row>
    <row r="50" ht="23.25" customHeight="1">
      <c r="A50" s="1367">
        <v>48.0</v>
      </c>
      <c r="B50" s="1368" t="s">
        <v>564</v>
      </c>
      <c r="C50" s="1369"/>
      <c r="D50" s="1369" t="str">
        <f t="shared" si="4"/>
        <v>venonat</v>
      </c>
      <c r="E50" s="1369"/>
    </row>
    <row r="51" ht="23.25" customHeight="1">
      <c r="A51" s="1363">
        <v>49.0</v>
      </c>
      <c r="B51" s="1372" t="s">
        <v>1378</v>
      </c>
      <c r="C51" s="1373"/>
      <c r="D51" s="1373" t="str">
        <f t="shared" si="4"/>
        <v>venomoth</v>
      </c>
      <c r="E51" s="1373"/>
    </row>
    <row r="52" ht="23.25" customHeight="1">
      <c r="A52" s="1367">
        <v>50.0</v>
      </c>
      <c r="B52" s="1368" t="s">
        <v>88</v>
      </c>
      <c r="C52" s="1369"/>
      <c r="D52" s="1369" t="str">
        <f t="shared" si="4"/>
        <v>diglett</v>
      </c>
      <c r="E52" s="1369"/>
    </row>
    <row r="53" ht="23.25" customHeight="1">
      <c r="A53" s="1371">
        <v>51.0</v>
      </c>
      <c r="B53" s="1372" t="s">
        <v>486</v>
      </c>
      <c r="C53" s="1373"/>
      <c r="D53" s="1373" t="str">
        <f t="shared" si="4"/>
        <v>dugtrio</v>
      </c>
      <c r="E53" s="1373"/>
    </row>
    <row r="54" ht="23.25" customHeight="1">
      <c r="A54" s="1374">
        <v>52.0</v>
      </c>
      <c r="B54" s="1368" t="s">
        <v>100</v>
      </c>
      <c r="C54" s="1369"/>
      <c r="D54" s="1369" t="str">
        <f t="shared" si="4"/>
        <v>meowth</v>
      </c>
      <c r="E54" s="1369"/>
    </row>
    <row r="55" ht="23.25" customHeight="1">
      <c r="A55" s="1371">
        <v>53.0</v>
      </c>
      <c r="B55" s="1372" t="s">
        <v>1379</v>
      </c>
      <c r="C55" s="1373"/>
      <c r="D55" s="1366" t="str">
        <f t="shared" si="4"/>
        <v>persian</v>
      </c>
      <c r="E55" s="1366"/>
    </row>
    <row r="56" ht="23.25" customHeight="1">
      <c r="A56" s="1367">
        <v>54.0</v>
      </c>
      <c r="B56" s="1368" t="s">
        <v>657</v>
      </c>
      <c r="C56" s="1369"/>
      <c r="D56" s="1370" t="str">
        <f t="shared" si="4"/>
        <v>psyduck</v>
      </c>
      <c r="E56" s="1370"/>
    </row>
    <row r="57" ht="23.25" customHeight="1">
      <c r="A57" s="1363">
        <v>55.0</v>
      </c>
      <c r="B57" s="1372" t="s">
        <v>600</v>
      </c>
      <c r="C57" s="1373"/>
      <c r="D57" s="1366" t="str">
        <f t="shared" si="4"/>
        <v>golduck</v>
      </c>
      <c r="E57" s="1366"/>
    </row>
    <row r="58" ht="23.25" customHeight="1">
      <c r="A58" s="1367">
        <v>56.0</v>
      </c>
      <c r="B58" s="1368" t="s">
        <v>219</v>
      </c>
      <c r="C58" s="1369"/>
      <c r="D58" s="1370" t="str">
        <f t="shared" si="4"/>
        <v>mankey</v>
      </c>
      <c r="E58" s="1370"/>
    </row>
    <row r="59" ht="23.25" customHeight="1">
      <c r="A59" s="1371">
        <v>57.0</v>
      </c>
      <c r="B59" s="1372" t="s">
        <v>130</v>
      </c>
      <c r="C59" s="1373"/>
      <c r="D59" s="1366" t="str">
        <f t="shared" si="4"/>
        <v>primeape</v>
      </c>
      <c r="E59" s="1366"/>
    </row>
    <row r="60" ht="23.25" customHeight="1">
      <c r="A60" s="1374">
        <v>58.0</v>
      </c>
      <c r="B60" s="1368" t="s">
        <v>284</v>
      </c>
      <c r="C60" s="1369"/>
      <c r="D60" s="1370" t="str">
        <f t="shared" si="4"/>
        <v>growlithe</v>
      </c>
      <c r="E60" s="1370"/>
    </row>
    <row r="61" ht="23.25" customHeight="1">
      <c r="A61" s="1371">
        <v>59.0</v>
      </c>
      <c r="B61" s="1372" t="s">
        <v>414</v>
      </c>
      <c r="C61" s="1373"/>
      <c r="D61" s="1366" t="s">
        <v>1380</v>
      </c>
      <c r="E61" s="1366"/>
    </row>
    <row r="62" ht="23.25" customHeight="1">
      <c r="A62" s="1367">
        <v>60.0</v>
      </c>
      <c r="B62" s="1368" t="s">
        <v>692</v>
      </c>
      <c r="C62" s="1369"/>
      <c r="D62" s="1370" t="str">
        <f t="shared" ref="D62:D63" si="5">LOWER(B62)</f>
        <v>poliwag</v>
      </c>
      <c r="E62" s="1370"/>
    </row>
    <row r="63" ht="23.25" customHeight="1">
      <c r="A63" s="1363">
        <v>61.0</v>
      </c>
      <c r="B63" s="1372" t="s">
        <v>719</v>
      </c>
      <c r="C63" s="1373"/>
      <c r="D63" s="1366" t="str">
        <f t="shared" si="5"/>
        <v>poliwhirl</v>
      </c>
      <c r="E63" s="1366"/>
    </row>
    <row r="64" ht="23.25" customHeight="1">
      <c r="A64" s="1367">
        <v>62.0</v>
      </c>
      <c r="B64" s="1368" t="s">
        <v>244</v>
      </c>
      <c r="C64" s="1376"/>
      <c r="D64" s="1370" t="s">
        <v>1381</v>
      </c>
      <c r="E64" s="1370"/>
    </row>
    <row r="65" ht="23.25" customHeight="1">
      <c r="A65" s="1371">
        <v>63.0</v>
      </c>
      <c r="B65" s="1372" t="s">
        <v>481</v>
      </c>
      <c r="C65" s="1373"/>
      <c r="D65" s="1366" t="str">
        <f t="shared" ref="D65:D109" si="6">LOWER(B65)</f>
        <v>abra</v>
      </c>
      <c r="E65" s="1366"/>
    </row>
    <row r="66" ht="23.25" customHeight="1">
      <c r="A66" s="1374">
        <v>64.0</v>
      </c>
      <c r="B66" s="1368" t="s">
        <v>1382</v>
      </c>
      <c r="C66" s="1369"/>
      <c r="D66" s="1370" t="str">
        <f t="shared" si="6"/>
        <v>kadabra</v>
      </c>
      <c r="E66" s="1370"/>
    </row>
    <row r="67" ht="23.25" customHeight="1">
      <c r="A67" s="1371">
        <v>65.0</v>
      </c>
      <c r="B67" s="1364" t="s">
        <v>418</v>
      </c>
      <c r="C67" s="1373"/>
      <c r="D67" s="1366" t="str">
        <f t="shared" si="6"/>
        <v>alakazam</v>
      </c>
      <c r="E67" s="1366"/>
    </row>
    <row r="68" ht="23.25" customHeight="1">
      <c r="A68" s="1367">
        <v>66.0</v>
      </c>
      <c r="B68" s="1368" t="s">
        <v>483</v>
      </c>
      <c r="C68" s="1369"/>
      <c r="D68" s="1370" t="str">
        <f t="shared" si="6"/>
        <v>machop</v>
      </c>
      <c r="E68" s="1370"/>
    </row>
    <row r="69" ht="23.25" customHeight="1">
      <c r="A69" s="1363">
        <v>67.0</v>
      </c>
      <c r="B69" s="1372" t="s">
        <v>1383</v>
      </c>
      <c r="C69" s="1373"/>
      <c r="D69" s="1366" t="str">
        <f t="shared" si="6"/>
        <v>machoke</v>
      </c>
      <c r="E69" s="1366"/>
    </row>
    <row r="70" ht="23.25" customHeight="1">
      <c r="A70" s="1367">
        <v>68.0</v>
      </c>
      <c r="B70" s="1368" t="s">
        <v>254</v>
      </c>
      <c r="C70" s="1369"/>
      <c r="D70" s="1370" t="str">
        <f t="shared" si="6"/>
        <v>machamp</v>
      </c>
      <c r="E70" s="1370"/>
    </row>
    <row r="71" ht="23.25" customHeight="1">
      <c r="A71" s="1371">
        <v>69.0</v>
      </c>
      <c r="B71" s="1372" t="s">
        <v>172</v>
      </c>
      <c r="C71" s="1373"/>
      <c r="D71" s="1366" t="str">
        <f t="shared" si="6"/>
        <v>bellsprout</v>
      </c>
      <c r="E71" s="1366"/>
    </row>
    <row r="72" ht="23.25" customHeight="1">
      <c r="A72" s="1374">
        <v>70.0</v>
      </c>
      <c r="B72" s="1368" t="s">
        <v>1384</v>
      </c>
      <c r="C72" s="1369"/>
      <c r="D72" s="1370" t="str">
        <f t="shared" si="6"/>
        <v>weepinbell</v>
      </c>
      <c r="E72" s="1370"/>
    </row>
    <row r="73" ht="23.25" customHeight="1">
      <c r="A73" s="1371">
        <v>71.0</v>
      </c>
      <c r="B73" s="1372" t="s">
        <v>1385</v>
      </c>
      <c r="C73" s="1373"/>
      <c r="D73" s="1366" t="str">
        <f t="shared" si="6"/>
        <v>victreebel</v>
      </c>
      <c r="E73" s="1366"/>
    </row>
    <row r="74" ht="23.25" customHeight="1">
      <c r="A74" s="1367">
        <v>72.0</v>
      </c>
      <c r="B74" s="1368" t="s">
        <v>656</v>
      </c>
      <c r="C74" s="1369"/>
      <c r="D74" s="1370" t="str">
        <f t="shared" si="6"/>
        <v>tentacool</v>
      </c>
      <c r="E74" s="1370"/>
    </row>
    <row r="75" ht="23.25" customHeight="1">
      <c r="A75" s="1363">
        <v>73.0</v>
      </c>
      <c r="B75" s="1372" t="s">
        <v>736</v>
      </c>
      <c r="C75" s="1373"/>
      <c r="D75" s="1366" t="str">
        <f t="shared" si="6"/>
        <v>tentacruel</v>
      </c>
      <c r="E75" s="1366"/>
    </row>
    <row r="76" ht="23.25" customHeight="1">
      <c r="A76" s="1367">
        <v>74.0</v>
      </c>
      <c r="B76" s="1368" t="s">
        <v>91</v>
      </c>
      <c r="C76" s="1369"/>
      <c r="D76" s="1370" t="str">
        <f t="shared" si="6"/>
        <v>geodude</v>
      </c>
      <c r="E76" s="1370"/>
    </row>
    <row r="77" ht="23.25" customHeight="1">
      <c r="A77" s="1371">
        <v>75.0</v>
      </c>
      <c r="B77" s="1372" t="s">
        <v>109</v>
      </c>
      <c r="C77" s="1373"/>
      <c r="D77" s="1366" t="str">
        <f t="shared" si="6"/>
        <v>graveler</v>
      </c>
      <c r="E77" s="1366"/>
    </row>
    <row r="78" ht="23.25" customHeight="1">
      <c r="A78" s="1374">
        <v>76.0</v>
      </c>
      <c r="B78" s="1368" t="s">
        <v>1386</v>
      </c>
      <c r="C78" s="1369"/>
      <c r="D78" s="1370" t="str">
        <f t="shared" si="6"/>
        <v>golem</v>
      </c>
      <c r="E78" s="1370"/>
    </row>
    <row r="79" ht="23.25" customHeight="1">
      <c r="A79" s="1371">
        <v>77.0</v>
      </c>
      <c r="B79" s="1372" t="s">
        <v>221</v>
      </c>
      <c r="C79" s="1373"/>
      <c r="D79" s="1366" t="str">
        <f t="shared" si="6"/>
        <v>ponyta</v>
      </c>
      <c r="E79" s="1366"/>
    </row>
    <row r="80" ht="23.25" customHeight="1">
      <c r="A80" s="1367">
        <v>78.0</v>
      </c>
      <c r="B80" s="1368" t="s">
        <v>335</v>
      </c>
      <c r="C80" s="1369"/>
      <c r="D80" s="1370" t="str">
        <f t="shared" si="6"/>
        <v>rapidash</v>
      </c>
      <c r="E80" s="1370"/>
    </row>
    <row r="81" ht="23.25" customHeight="1">
      <c r="A81" s="1363">
        <v>79.0</v>
      </c>
      <c r="B81" s="1372" t="s">
        <v>700</v>
      </c>
      <c r="C81" s="1373"/>
      <c r="D81" s="1366" t="str">
        <f t="shared" si="6"/>
        <v>slowpoke</v>
      </c>
      <c r="E81" s="1366"/>
    </row>
    <row r="82" ht="23.25" customHeight="1">
      <c r="A82" s="1367">
        <v>80.0</v>
      </c>
      <c r="B82" s="1368" t="s">
        <v>331</v>
      </c>
      <c r="C82" s="1369"/>
      <c r="D82" s="1370" t="str">
        <f t="shared" si="6"/>
        <v>slowbro</v>
      </c>
      <c r="E82" s="1370"/>
    </row>
    <row r="83" ht="23.25" customHeight="1">
      <c r="A83" s="1371">
        <v>81.0</v>
      </c>
      <c r="B83" s="1372" t="s">
        <v>456</v>
      </c>
      <c r="C83" s="1373"/>
      <c r="D83" s="1366" t="str">
        <f t="shared" si="6"/>
        <v>magnemite</v>
      </c>
      <c r="E83" s="1366"/>
    </row>
    <row r="84" ht="23.25" customHeight="1">
      <c r="A84" s="1374">
        <v>82.0</v>
      </c>
      <c r="B84" s="1368" t="s">
        <v>138</v>
      </c>
      <c r="C84" s="1369"/>
      <c r="D84" s="1370" t="str">
        <f t="shared" si="6"/>
        <v>magneton</v>
      </c>
      <c r="E84" s="1370"/>
    </row>
    <row r="85" ht="23.25" customHeight="1">
      <c r="A85" s="1371">
        <v>83.0</v>
      </c>
      <c r="B85" s="1364" t="s">
        <v>437</v>
      </c>
      <c r="C85" s="1373"/>
      <c r="D85" s="1366" t="str">
        <f t="shared" si="6"/>
        <v>farfetch'd</v>
      </c>
      <c r="E85" s="1366"/>
    </row>
    <row r="86" ht="23.25" customHeight="1">
      <c r="A86" s="1367">
        <v>84.0</v>
      </c>
      <c r="B86" s="1368" t="s">
        <v>362</v>
      </c>
      <c r="C86" s="1369"/>
      <c r="D86" s="1370" t="str">
        <f t="shared" si="6"/>
        <v>doduo</v>
      </c>
      <c r="E86" s="1370"/>
    </row>
    <row r="87" ht="23.25" customHeight="1">
      <c r="A87" s="1363">
        <v>85.0</v>
      </c>
      <c r="B87" s="1372" t="s">
        <v>1387</v>
      </c>
      <c r="C87" s="1373"/>
      <c r="D87" s="1366" t="str">
        <f t="shared" si="6"/>
        <v>dodrio</v>
      </c>
      <c r="E87" s="1366"/>
    </row>
    <row r="88" ht="23.25" customHeight="1">
      <c r="A88" s="1367">
        <v>86.0</v>
      </c>
      <c r="B88" s="1368" t="s">
        <v>676</v>
      </c>
      <c r="C88" s="1369"/>
      <c r="D88" s="1370" t="str">
        <f t="shared" si="6"/>
        <v>seel</v>
      </c>
      <c r="E88" s="1370"/>
    </row>
    <row r="89" ht="23.25" customHeight="1">
      <c r="A89" s="1371">
        <v>87.0</v>
      </c>
      <c r="B89" s="1372" t="s">
        <v>188</v>
      </c>
      <c r="C89" s="1373"/>
      <c r="D89" s="1366" t="str">
        <f t="shared" si="6"/>
        <v>dewgong</v>
      </c>
      <c r="E89" s="1366"/>
    </row>
    <row r="90" ht="23.25" customHeight="1">
      <c r="A90" s="1374">
        <v>88.0</v>
      </c>
      <c r="B90" s="1368" t="s">
        <v>89</v>
      </c>
      <c r="C90" s="1369"/>
      <c r="D90" s="1370" t="str">
        <f t="shared" si="6"/>
        <v>grimer</v>
      </c>
      <c r="E90" s="1370"/>
    </row>
    <row r="91" ht="23.25" customHeight="1">
      <c r="A91" s="1371">
        <v>89.0</v>
      </c>
      <c r="B91" s="1372" t="s">
        <v>243</v>
      </c>
      <c r="C91" s="1373"/>
      <c r="D91" s="1373" t="str">
        <f t="shared" si="6"/>
        <v>muk</v>
      </c>
      <c r="E91" s="1373"/>
    </row>
    <row r="92" ht="23.25" customHeight="1">
      <c r="A92" s="1367">
        <v>90.0</v>
      </c>
      <c r="B92" s="1368" t="s">
        <v>671</v>
      </c>
      <c r="C92" s="1369"/>
      <c r="D92" s="1370" t="str">
        <f t="shared" si="6"/>
        <v>shellder</v>
      </c>
      <c r="E92" s="1370"/>
    </row>
    <row r="93" ht="23.25" customHeight="1">
      <c r="A93" s="1363">
        <v>91.0</v>
      </c>
      <c r="B93" s="1372" t="s">
        <v>1388</v>
      </c>
      <c r="C93" s="1373"/>
      <c r="D93" s="1366" t="str">
        <f t="shared" si="6"/>
        <v>cloyster</v>
      </c>
      <c r="E93" s="1366"/>
    </row>
    <row r="94" ht="23.25" customHeight="1">
      <c r="A94" s="1367">
        <v>92.0</v>
      </c>
      <c r="B94" s="1368" t="s">
        <v>608</v>
      </c>
      <c r="C94" s="1369"/>
      <c r="D94" s="1370" t="str">
        <f t="shared" si="6"/>
        <v>gastly</v>
      </c>
      <c r="E94" s="1370"/>
    </row>
    <row r="95" ht="23.25" customHeight="1">
      <c r="A95" s="1371">
        <v>93.0</v>
      </c>
      <c r="B95" s="1372" t="s">
        <v>117</v>
      </c>
      <c r="C95" s="1373"/>
      <c r="D95" s="1366" t="str">
        <f t="shared" si="6"/>
        <v>haunter</v>
      </c>
      <c r="E95" s="1366"/>
    </row>
    <row r="96" ht="23.25" customHeight="1">
      <c r="A96" s="1374">
        <v>94.0</v>
      </c>
      <c r="B96" s="1368" t="s">
        <v>578</v>
      </c>
      <c r="C96" s="1369"/>
      <c r="D96" s="1370" t="str">
        <f t="shared" si="6"/>
        <v>gengar</v>
      </c>
      <c r="E96" s="1370"/>
    </row>
    <row r="97" ht="23.25" customHeight="1">
      <c r="A97" s="1371">
        <v>95.0</v>
      </c>
      <c r="B97" s="1372" t="s">
        <v>498</v>
      </c>
      <c r="C97" s="1373"/>
      <c r="D97" s="1366" t="str">
        <f t="shared" si="6"/>
        <v>onix</v>
      </c>
      <c r="E97" s="1366"/>
    </row>
    <row r="98" ht="23.25" customHeight="1">
      <c r="A98" s="1367">
        <v>96.0</v>
      </c>
      <c r="B98" s="1368" t="s">
        <v>233</v>
      </c>
      <c r="C98" s="1369"/>
      <c r="D98" s="1370" t="str">
        <f t="shared" si="6"/>
        <v>drowzee</v>
      </c>
      <c r="E98" s="1370"/>
    </row>
    <row r="99" ht="23.25" customHeight="1">
      <c r="A99" s="1363">
        <v>97.0</v>
      </c>
      <c r="B99" s="1372" t="s">
        <v>1389</v>
      </c>
      <c r="C99" s="1373"/>
      <c r="D99" s="1366" t="str">
        <f t="shared" si="6"/>
        <v>hypno</v>
      </c>
      <c r="E99" s="1366"/>
    </row>
    <row r="100" ht="23.25" customHeight="1">
      <c r="A100" s="1367">
        <v>98.0</v>
      </c>
      <c r="B100" s="1368" t="s">
        <v>662</v>
      </c>
      <c r="C100" s="1369"/>
      <c r="D100" s="1370" t="str">
        <f t="shared" si="6"/>
        <v>krabby</v>
      </c>
      <c r="E100" s="1370"/>
    </row>
    <row r="101" ht="23.25" customHeight="1">
      <c r="A101" s="1371">
        <v>99.0</v>
      </c>
      <c r="B101" s="1372" t="s">
        <v>476</v>
      </c>
      <c r="C101" s="1373"/>
      <c r="D101" s="1366" t="str">
        <f t="shared" si="6"/>
        <v>kingler</v>
      </c>
      <c r="E101" s="1366"/>
    </row>
    <row r="102" ht="23.25" customHeight="1">
      <c r="A102" s="1374">
        <v>100.0</v>
      </c>
      <c r="B102" s="1368" t="s">
        <v>107</v>
      </c>
      <c r="C102" s="1376" t="str">
        <f t="array" ref="C102:C1027">IMAGE("https://www.serebii.net/pokedex-sv/icon/new/"&amp;ROW(B100:B1025)&amp;".png",3)</f>
        <v/>
      </c>
      <c r="D102" s="1370" t="str">
        <f t="shared" si="6"/>
        <v>voltorb</v>
      </c>
      <c r="E102" s="1370"/>
    </row>
    <row r="103" ht="23.25" customHeight="1">
      <c r="A103" s="1371">
        <v>101.0</v>
      </c>
      <c r="B103" s="1372" t="s">
        <v>199</v>
      </c>
      <c r="C103" s="1373"/>
      <c r="D103" s="1366" t="str">
        <f t="shared" si="6"/>
        <v>electrode</v>
      </c>
      <c r="E103" s="1366"/>
    </row>
    <row r="104" ht="23.25" customHeight="1">
      <c r="A104" s="1367">
        <v>102.0</v>
      </c>
      <c r="B104" s="1368" t="s">
        <v>178</v>
      </c>
      <c r="C104" s="1369"/>
      <c r="D104" s="1370" t="str">
        <f t="shared" si="6"/>
        <v>exeggcute</v>
      </c>
      <c r="E104" s="1370"/>
    </row>
    <row r="105" ht="23.25" customHeight="1">
      <c r="A105" s="1363">
        <v>103.0</v>
      </c>
      <c r="B105" s="1372" t="s">
        <v>189</v>
      </c>
      <c r="C105" s="1373"/>
      <c r="D105" s="1366" t="str">
        <f t="shared" si="6"/>
        <v>exeggutor</v>
      </c>
      <c r="E105" s="1366"/>
    </row>
    <row r="106" ht="23.25" customHeight="1">
      <c r="A106" s="1367">
        <v>104.0</v>
      </c>
      <c r="B106" s="1368" t="s">
        <v>371</v>
      </c>
      <c r="C106" s="1369"/>
      <c r="D106" s="1370" t="str">
        <f t="shared" si="6"/>
        <v>cubone</v>
      </c>
      <c r="E106" s="1370"/>
    </row>
    <row r="107" ht="23.25" customHeight="1">
      <c r="A107" s="1371">
        <v>105.0</v>
      </c>
      <c r="B107" s="1372" t="s">
        <v>474</v>
      </c>
      <c r="C107" s="1373"/>
      <c r="D107" s="1366" t="str">
        <f t="shared" si="6"/>
        <v>marowak</v>
      </c>
      <c r="E107" s="1366"/>
    </row>
    <row r="108" ht="23.25" customHeight="1">
      <c r="A108" s="1374">
        <v>106.0</v>
      </c>
      <c r="B108" s="1368" t="s">
        <v>1390</v>
      </c>
      <c r="C108" s="1369"/>
      <c r="D108" s="1370" t="str">
        <f t="shared" si="6"/>
        <v>hitmonlee</v>
      </c>
      <c r="E108" s="1370"/>
    </row>
    <row r="109" ht="23.25" customHeight="1">
      <c r="A109" s="1371">
        <v>107.0</v>
      </c>
      <c r="B109" s="1372" t="s">
        <v>1391</v>
      </c>
      <c r="C109" s="1373"/>
      <c r="D109" s="1366" t="str">
        <f t="shared" si="6"/>
        <v>hitmonchan</v>
      </c>
      <c r="E109" s="1366"/>
    </row>
    <row r="110" ht="23.25" customHeight="1">
      <c r="A110" s="1367">
        <v>108.0</v>
      </c>
      <c r="B110" s="1368" t="s">
        <v>400</v>
      </c>
      <c r="C110" s="1369"/>
      <c r="D110" s="1370" t="s">
        <v>1392</v>
      </c>
      <c r="E110" s="1370"/>
    </row>
    <row r="111" ht="23.25" customHeight="1">
      <c r="A111" s="1363">
        <v>109.0</v>
      </c>
      <c r="B111" s="1372" t="s">
        <v>1115</v>
      </c>
      <c r="C111" s="1373"/>
      <c r="D111" s="1366" t="str">
        <f t="shared" ref="D111:D132" si="7">LOWER(B111)</f>
        <v>koffing</v>
      </c>
      <c r="E111" s="1366"/>
    </row>
    <row r="112" ht="23.25" customHeight="1">
      <c r="A112" s="1367">
        <v>110.0</v>
      </c>
      <c r="B112" s="1368" t="s">
        <v>120</v>
      </c>
      <c r="C112" s="1369"/>
      <c r="D112" s="1370" t="str">
        <f t="shared" si="7"/>
        <v>weezing</v>
      </c>
      <c r="E112" s="1370"/>
    </row>
    <row r="113" ht="23.25" customHeight="1">
      <c r="A113" s="1371">
        <v>111.0</v>
      </c>
      <c r="B113" s="1372" t="s">
        <v>242</v>
      </c>
      <c r="C113" s="1373"/>
      <c r="D113" s="1366" t="str">
        <f t="shared" si="7"/>
        <v>rhyhorn</v>
      </c>
      <c r="E113" s="1366"/>
    </row>
    <row r="114" ht="23.25" customHeight="1">
      <c r="A114" s="1374">
        <v>112.0</v>
      </c>
      <c r="B114" s="1368" t="s">
        <v>1393</v>
      </c>
      <c r="C114" s="1369"/>
      <c r="D114" s="1370" t="str">
        <f t="shared" si="7"/>
        <v>rhydon</v>
      </c>
      <c r="E114" s="1370"/>
    </row>
    <row r="115" ht="23.25" customHeight="1">
      <c r="A115" s="1371">
        <v>113.0</v>
      </c>
      <c r="B115" s="1372" t="s">
        <v>757</v>
      </c>
      <c r="C115" s="1373"/>
      <c r="D115" s="1366" t="str">
        <f t="shared" si="7"/>
        <v>chansey</v>
      </c>
      <c r="E115" s="1366"/>
    </row>
    <row r="116" ht="23.25" customHeight="1">
      <c r="A116" s="1367">
        <v>114.0</v>
      </c>
      <c r="B116" s="1368" t="s">
        <v>1119</v>
      </c>
      <c r="C116" s="1369"/>
      <c r="D116" s="1370" t="str">
        <f t="shared" si="7"/>
        <v>tangela</v>
      </c>
      <c r="E116" s="1370"/>
    </row>
    <row r="117" ht="23.25" customHeight="1">
      <c r="A117" s="1363">
        <v>115.0</v>
      </c>
      <c r="B117" s="1372" t="s">
        <v>768</v>
      </c>
      <c r="C117" s="1373"/>
      <c r="D117" s="1366" t="str">
        <f t="shared" si="7"/>
        <v>kangaskhan</v>
      </c>
      <c r="E117" s="1366"/>
    </row>
    <row r="118" ht="23.25" customHeight="1">
      <c r="A118" s="1367">
        <v>116.0</v>
      </c>
      <c r="B118" s="1368" t="s">
        <v>674</v>
      </c>
      <c r="C118" s="1369"/>
      <c r="D118" s="1370" t="str">
        <f t="shared" si="7"/>
        <v>horsea</v>
      </c>
      <c r="E118" s="1370"/>
    </row>
    <row r="119" ht="23.25" customHeight="1">
      <c r="A119" s="1371">
        <v>117.0</v>
      </c>
      <c r="B119" s="1372" t="s">
        <v>716</v>
      </c>
      <c r="C119" s="1373"/>
      <c r="D119" s="1366" t="str">
        <f t="shared" si="7"/>
        <v>seadra</v>
      </c>
      <c r="E119" s="1366"/>
    </row>
    <row r="120" ht="23.25" customHeight="1">
      <c r="A120" s="1374">
        <v>118.0</v>
      </c>
      <c r="B120" s="1368" t="s">
        <v>678</v>
      </c>
      <c r="C120" s="1369"/>
      <c r="D120" s="1370" t="str">
        <f t="shared" si="7"/>
        <v>goldeen</v>
      </c>
      <c r="E120" s="1370"/>
    </row>
    <row r="121" ht="23.25" customHeight="1">
      <c r="A121" s="1371">
        <v>119.0</v>
      </c>
      <c r="B121" s="1372" t="s">
        <v>721</v>
      </c>
      <c r="C121" s="1373"/>
      <c r="D121" s="1366" t="str">
        <f t="shared" si="7"/>
        <v>seaking</v>
      </c>
      <c r="E121" s="1366"/>
    </row>
    <row r="122" ht="23.25" customHeight="1">
      <c r="A122" s="1367">
        <v>120.0</v>
      </c>
      <c r="B122" s="1368" t="s">
        <v>668</v>
      </c>
      <c r="C122" s="1369"/>
      <c r="D122" s="1370" t="str">
        <f t="shared" si="7"/>
        <v>staryu</v>
      </c>
      <c r="E122" s="1370"/>
    </row>
    <row r="123" ht="23.25" customHeight="1">
      <c r="A123" s="1363">
        <v>121.0</v>
      </c>
      <c r="B123" s="1372" t="s">
        <v>762</v>
      </c>
      <c r="C123" s="1373"/>
      <c r="D123" s="1366" t="str">
        <f t="shared" si="7"/>
        <v>starmie</v>
      </c>
      <c r="E123" s="1366"/>
    </row>
    <row r="124" ht="23.25" customHeight="1">
      <c r="A124" s="1367">
        <v>122.0</v>
      </c>
      <c r="B124" s="1375" t="s">
        <v>1394</v>
      </c>
      <c r="C124" s="1369"/>
      <c r="D124" s="1370" t="str">
        <f t="shared" si="7"/>
        <v>mr. mime</v>
      </c>
      <c r="E124" s="1370"/>
    </row>
    <row r="125" ht="23.25" customHeight="1">
      <c r="A125" s="1371">
        <v>123.0</v>
      </c>
      <c r="B125" s="1372" t="s">
        <v>521</v>
      </c>
      <c r="C125" s="1373"/>
      <c r="D125" s="1366" t="str">
        <f t="shared" si="7"/>
        <v>scyther</v>
      </c>
      <c r="E125" s="1366"/>
    </row>
    <row r="126" ht="23.25" customHeight="1">
      <c r="A126" s="1374">
        <v>124.0</v>
      </c>
      <c r="B126" s="1368" t="s">
        <v>516</v>
      </c>
      <c r="C126" s="1369"/>
      <c r="D126" s="1370" t="str">
        <f t="shared" si="7"/>
        <v>jynx</v>
      </c>
      <c r="E126" s="1370"/>
    </row>
    <row r="127" ht="23.25" customHeight="1">
      <c r="A127" s="1371">
        <v>125.0</v>
      </c>
      <c r="B127" s="1372" t="s">
        <v>471</v>
      </c>
      <c r="C127" s="1373"/>
      <c r="D127" s="1366" t="str">
        <f t="shared" si="7"/>
        <v>electabuzz</v>
      </c>
      <c r="E127" s="1366"/>
    </row>
    <row r="128" ht="23.25" customHeight="1">
      <c r="A128" s="1367">
        <v>126.0</v>
      </c>
      <c r="B128" s="1368" t="s">
        <v>336</v>
      </c>
      <c r="C128" s="1369"/>
      <c r="D128" s="1370" t="str">
        <f t="shared" si="7"/>
        <v>magmar</v>
      </c>
      <c r="E128" s="1370"/>
    </row>
    <row r="129" ht="23.25" customHeight="1">
      <c r="A129" s="1363">
        <v>127.0</v>
      </c>
      <c r="B129" s="1372" t="s">
        <v>347</v>
      </c>
      <c r="C129" s="1373"/>
      <c r="D129" s="1366" t="str">
        <f t="shared" si="7"/>
        <v>pinsir</v>
      </c>
      <c r="E129" s="1366"/>
    </row>
    <row r="130" ht="23.25" customHeight="1">
      <c r="A130" s="1367">
        <v>128.0</v>
      </c>
      <c r="B130" s="1368" t="s">
        <v>760</v>
      </c>
      <c r="C130" s="1369"/>
      <c r="D130" s="1370" t="str">
        <f t="shared" si="7"/>
        <v>tauros</v>
      </c>
      <c r="E130" s="1370"/>
    </row>
    <row r="131" ht="23.25" customHeight="1">
      <c r="A131" s="1371">
        <v>129.0</v>
      </c>
      <c r="B131" s="1364" t="s">
        <v>658</v>
      </c>
      <c r="C131" s="1373"/>
      <c r="D131" s="1366" t="str">
        <f t="shared" si="7"/>
        <v>magikarp</v>
      </c>
      <c r="E131" s="1366"/>
    </row>
    <row r="132" ht="23.25" customHeight="1">
      <c r="A132" s="1374">
        <v>130.0</v>
      </c>
      <c r="B132" s="1368" t="s">
        <v>724</v>
      </c>
      <c r="C132" s="1369"/>
      <c r="D132" s="1370" t="str">
        <f t="shared" si="7"/>
        <v>gyarados</v>
      </c>
      <c r="E132" s="1370"/>
    </row>
    <row r="133" ht="23.25" customHeight="1">
      <c r="A133" s="1371">
        <v>131.0</v>
      </c>
      <c r="B133" s="1372" t="s">
        <v>784</v>
      </c>
      <c r="C133" s="1373"/>
      <c r="D133" s="1366" t="s">
        <v>1395</v>
      </c>
      <c r="E133" s="1366"/>
    </row>
    <row r="134" ht="23.25" customHeight="1">
      <c r="A134" s="1367">
        <v>132.0</v>
      </c>
      <c r="B134" s="1368" t="s">
        <v>514</v>
      </c>
      <c r="C134" s="1369"/>
      <c r="D134" s="1370" t="str">
        <f t="shared" ref="D134:D154" si="8">LOWER(B134)</f>
        <v>ditto</v>
      </c>
      <c r="E134" s="1370"/>
    </row>
    <row r="135" ht="23.25" customHeight="1">
      <c r="A135" s="1363">
        <v>133.0</v>
      </c>
      <c r="B135" s="1372" t="s">
        <v>789</v>
      </c>
      <c r="C135" s="1373"/>
      <c r="D135" s="1366" t="str">
        <f t="shared" si="8"/>
        <v>eevee</v>
      </c>
      <c r="E135" s="1366"/>
    </row>
    <row r="136" ht="23.25" customHeight="1">
      <c r="A136" s="1367">
        <v>134.0</v>
      </c>
      <c r="B136" s="1368" t="s">
        <v>1396</v>
      </c>
      <c r="C136" s="1369"/>
      <c r="D136" s="1370" t="str">
        <f t="shared" si="8"/>
        <v>vaporeon</v>
      </c>
      <c r="E136" s="1370"/>
    </row>
    <row r="137" ht="23.25" customHeight="1">
      <c r="A137" s="1371">
        <v>135.0</v>
      </c>
      <c r="B137" s="1372" t="s">
        <v>1397</v>
      </c>
      <c r="C137" s="1373"/>
      <c r="D137" s="1366" t="str">
        <f t="shared" si="8"/>
        <v>jolteon</v>
      </c>
      <c r="E137" s="1366"/>
    </row>
    <row r="138" ht="23.25" customHeight="1">
      <c r="A138" s="1374">
        <v>136.0</v>
      </c>
      <c r="B138" s="1368" t="s">
        <v>1398</v>
      </c>
      <c r="C138" s="1369"/>
      <c r="D138" s="1370" t="str">
        <f t="shared" si="8"/>
        <v>flareon</v>
      </c>
      <c r="E138" s="1370"/>
    </row>
    <row r="139" ht="23.25" customHeight="1">
      <c r="A139" s="1371">
        <v>137.0</v>
      </c>
      <c r="B139" s="1372" t="s">
        <v>505</v>
      </c>
      <c r="C139" s="1373"/>
      <c r="D139" s="1366" t="str">
        <f t="shared" si="8"/>
        <v>porygon</v>
      </c>
      <c r="E139" s="1366"/>
    </row>
    <row r="140" ht="23.25" customHeight="1">
      <c r="A140" s="1367">
        <v>138.0</v>
      </c>
      <c r="B140" s="1368" t="s">
        <v>803</v>
      </c>
      <c r="C140" s="1369"/>
      <c r="D140" s="1370" t="str">
        <f t="shared" si="8"/>
        <v>omanyte</v>
      </c>
      <c r="E140" s="1370"/>
    </row>
    <row r="141" ht="23.25" customHeight="1">
      <c r="A141" s="1363">
        <v>139.0</v>
      </c>
      <c r="B141" s="1372" t="s">
        <v>637</v>
      </c>
      <c r="C141" s="1373"/>
      <c r="D141" s="1366" t="str">
        <f t="shared" si="8"/>
        <v>omastar</v>
      </c>
      <c r="E141" s="1366"/>
    </row>
    <row r="142" ht="23.25" customHeight="1">
      <c r="A142" s="1367">
        <v>140.0</v>
      </c>
      <c r="B142" s="1368" t="s">
        <v>806</v>
      </c>
      <c r="C142" s="1369"/>
      <c r="D142" s="1370" t="str">
        <f t="shared" si="8"/>
        <v>kabuto</v>
      </c>
      <c r="E142" s="1370"/>
    </row>
    <row r="143" ht="23.25" customHeight="1">
      <c r="A143" s="1371">
        <v>141.0</v>
      </c>
      <c r="B143" s="1372" t="s">
        <v>463</v>
      </c>
      <c r="C143" s="1373"/>
      <c r="D143" s="1366" t="str">
        <f t="shared" si="8"/>
        <v>kabutops</v>
      </c>
      <c r="E143" s="1366"/>
    </row>
    <row r="144" ht="23.25" customHeight="1">
      <c r="A144" s="1374">
        <v>142.0</v>
      </c>
      <c r="B144" s="1368" t="s">
        <v>443</v>
      </c>
      <c r="C144" s="1369"/>
      <c r="D144" s="1370" t="str">
        <f t="shared" si="8"/>
        <v>aerodactyl</v>
      </c>
      <c r="E144" s="1370"/>
    </row>
    <row r="145" ht="23.25" customHeight="1">
      <c r="A145" s="1371">
        <v>143.0</v>
      </c>
      <c r="B145" s="1372" t="s">
        <v>812</v>
      </c>
      <c r="C145" s="1373"/>
      <c r="D145" s="1366" t="str">
        <f t="shared" si="8"/>
        <v>snorlax</v>
      </c>
      <c r="E145" s="1366"/>
    </row>
    <row r="146" ht="23.25" customHeight="1">
      <c r="A146" s="1367">
        <v>144.0</v>
      </c>
      <c r="B146" s="1368" t="s">
        <v>814</v>
      </c>
      <c r="C146" s="1369"/>
      <c r="D146" s="1370" t="str">
        <f t="shared" si="8"/>
        <v>articuno</v>
      </c>
      <c r="E146" s="1370"/>
    </row>
    <row r="147" ht="23.25" customHeight="1">
      <c r="A147" s="1363">
        <v>145.0</v>
      </c>
      <c r="B147" s="1372" t="s">
        <v>818</v>
      </c>
      <c r="C147" s="1373"/>
      <c r="D147" s="1366" t="str">
        <f t="shared" si="8"/>
        <v>zapdos</v>
      </c>
      <c r="E147" s="1366"/>
    </row>
    <row r="148" ht="23.25" customHeight="1">
      <c r="A148" s="1367">
        <v>146.0</v>
      </c>
      <c r="B148" s="1368" t="s">
        <v>822</v>
      </c>
      <c r="C148" s="1369"/>
      <c r="D148" s="1370" t="str">
        <f t="shared" si="8"/>
        <v>moltres</v>
      </c>
      <c r="E148" s="1370"/>
    </row>
    <row r="149" ht="23.25" customHeight="1">
      <c r="A149" s="1371">
        <v>147.0</v>
      </c>
      <c r="B149" s="1372" t="s">
        <v>1231</v>
      </c>
      <c r="C149" s="1373"/>
      <c r="D149" s="1373" t="str">
        <f t="shared" si="8"/>
        <v>dratini</v>
      </c>
      <c r="E149" s="1373"/>
    </row>
    <row r="150" ht="23.25" customHeight="1">
      <c r="A150" s="1374">
        <v>148.0</v>
      </c>
      <c r="B150" s="1368" t="s">
        <v>1399</v>
      </c>
      <c r="C150" s="1369"/>
      <c r="D150" s="1370" t="str">
        <f t="shared" si="8"/>
        <v>dragonair</v>
      </c>
      <c r="E150" s="1370"/>
    </row>
    <row r="151" ht="23.25" customHeight="1">
      <c r="A151" s="1371">
        <v>149.0</v>
      </c>
      <c r="B151" s="1372" t="s">
        <v>148</v>
      </c>
      <c r="C151" s="1373"/>
      <c r="D151" s="1366" t="str">
        <f t="shared" si="8"/>
        <v>dragonite</v>
      </c>
      <c r="E151" s="1366"/>
    </row>
    <row r="152" ht="23.25" customHeight="1">
      <c r="A152" s="1367">
        <v>150.0</v>
      </c>
      <c r="B152" s="1368" t="s">
        <v>826</v>
      </c>
      <c r="C152" s="1369"/>
      <c r="D152" s="1370" t="str">
        <f t="shared" si="8"/>
        <v>mewtwo</v>
      </c>
      <c r="E152" s="1370"/>
    </row>
    <row r="153" ht="23.25" customHeight="1">
      <c r="A153" s="1363">
        <v>151.0</v>
      </c>
      <c r="B153" s="1372" t="s">
        <v>828</v>
      </c>
      <c r="C153" s="1373"/>
      <c r="D153" s="1366" t="str">
        <f t="shared" si="8"/>
        <v>mew</v>
      </c>
      <c r="E153" s="1366"/>
    </row>
    <row r="154" ht="23.25" customHeight="1">
      <c r="A154" s="1367">
        <v>152.0</v>
      </c>
      <c r="B154" s="1368" t="s">
        <v>1195</v>
      </c>
      <c r="C154" s="1369"/>
      <c r="D154" s="1370" t="str">
        <f t="shared" si="8"/>
        <v>chikorita</v>
      </c>
      <c r="E154" s="1370"/>
    </row>
    <row r="155" ht="23.25" customHeight="1">
      <c r="A155" s="1371">
        <v>153.0</v>
      </c>
      <c r="B155" s="1372" t="s">
        <v>1400</v>
      </c>
      <c r="C155" s="1373"/>
      <c r="D155" s="1366" t="s">
        <v>1401</v>
      </c>
      <c r="E155" s="1366"/>
    </row>
    <row r="156" ht="23.25" customHeight="1">
      <c r="A156" s="1374">
        <v>154.0</v>
      </c>
      <c r="B156" s="1368" t="s">
        <v>256</v>
      </c>
      <c r="C156" s="1369"/>
      <c r="D156" s="1370" t="str">
        <f t="shared" ref="D156:D181" si="9">LOWER(B156)</f>
        <v>meganium</v>
      </c>
      <c r="E156" s="1370"/>
    </row>
    <row r="157" ht="23.25" customHeight="1">
      <c r="A157" s="1371">
        <v>155.0</v>
      </c>
      <c r="B157" s="1372" t="s">
        <v>1197</v>
      </c>
      <c r="C157" s="1373"/>
      <c r="D157" s="1366" t="str">
        <f t="shared" si="9"/>
        <v>cyndaquil</v>
      </c>
      <c r="E157" s="1366"/>
    </row>
    <row r="158" ht="23.25" customHeight="1">
      <c r="A158" s="1367">
        <v>156.0</v>
      </c>
      <c r="B158" s="1368" t="s">
        <v>1402</v>
      </c>
      <c r="C158" s="1369"/>
      <c r="D158" s="1370" t="str">
        <f t="shared" si="9"/>
        <v>quilava</v>
      </c>
      <c r="E158" s="1370"/>
    </row>
    <row r="159" ht="23.25" customHeight="1">
      <c r="A159" s="1363">
        <v>157.0</v>
      </c>
      <c r="B159" s="1372" t="s">
        <v>340</v>
      </c>
      <c r="C159" s="1373"/>
      <c r="D159" s="1366" t="str">
        <f t="shared" si="9"/>
        <v>typhlosion</v>
      </c>
      <c r="E159" s="1366"/>
    </row>
    <row r="160" ht="23.25" customHeight="1">
      <c r="A160" s="1367">
        <v>158.0</v>
      </c>
      <c r="B160" s="1368" t="s">
        <v>1196</v>
      </c>
      <c r="C160" s="1369"/>
      <c r="D160" s="1370" t="str">
        <f t="shared" si="9"/>
        <v>totodile</v>
      </c>
      <c r="E160" s="1370"/>
    </row>
    <row r="161" ht="23.25" customHeight="1">
      <c r="A161" s="1371">
        <v>159.0</v>
      </c>
      <c r="B161" s="1372" t="s">
        <v>1403</v>
      </c>
      <c r="C161" s="1373"/>
      <c r="D161" s="1366" t="str">
        <f t="shared" si="9"/>
        <v>croconaw</v>
      </c>
      <c r="E161" s="1366"/>
    </row>
    <row r="162" ht="23.25" customHeight="1">
      <c r="A162" s="1374">
        <v>160.0</v>
      </c>
      <c r="B162" s="1368" t="s">
        <v>1404</v>
      </c>
      <c r="C162" s="1369"/>
      <c r="D162" s="1370" t="str">
        <f t="shared" si="9"/>
        <v>feraligatr</v>
      </c>
      <c r="E162" s="1370"/>
    </row>
    <row r="163" ht="23.25" customHeight="1">
      <c r="A163" s="1371">
        <v>161.0</v>
      </c>
      <c r="B163" s="1372" t="s">
        <v>167</v>
      </c>
      <c r="C163" s="1373"/>
      <c r="D163" s="1366" t="str">
        <f t="shared" si="9"/>
        <v>sentret</v>
      </c>
      <c r="E163" s="1366"/>
    </row>
    <row r="164" ht="23.25" customHeight="1">
      <c r="A164" s="1367">
        <v>162.0</v>
      </c>
      <c r="B164" s="1368" t="s">
        <v>1253</v>
      </c>
      <c r="C164" s="1369"/>
      <c r="D164" s="1370" t="str">
        <f t="shared" si="9"/>
        <v>furret</v>
      </c>
      <c r="E164" s="1370"/>
    </row>
    <row r="165" ht="23.25" customHeight="1">
      <c r="A165" s="1363">
        <v>163.0</v>
      </c>
      <c r="B165" s="1372" t="s">
        <v>603</v>
      </c>
      <c r="C165" s="1373"/>
      <c r="D165" s="1366" t="str">
        <f t="shared" si="9"/>
        <v>hoothoot</v>
      </c>
      <c r="E165" s="1366"/>
    </row>
    <row r="166" ht="23.25" customHeight="1">
      <c r="A166" s="1367">
        <v>164.0</v>
      </c>
      <c r="B166" s="1368" t="s">
        <v>1155</v>
      </c>
      <c r="C166" s="1369"/>
      <c r="D166" s="1370" t="str">
        <f t="shared" si="9"/>
        <v>noctowl</v>
      </c>
      <c r="E166" s="1370"/>
    </row>
    <row r="167" ht="23.25" customHeight="1">
      <c r="A167" s="1371">
        <v>165.0</v>
      </c>
      <c r="B167" s="1372" t="s">
        <v>389</v>
      </c>
      <c r="C167" s="1373"/>
      <c r="D167" s="1366" t="str">
        <f t="shared" si="9"/>
        <v>ledyba</v>
      </c>
      <c r="E167" s="1366"/>
    </row>
    <row r="168" ht="23.25" customHeight="1">
      <c r="A168" s="1374">
        <v>166.0</v>
      </c>
      <c r="B168" s="1368" t="s">
        <v>1405</v>
      </c>
      <c r="C168" s="1369"/>
      <c r="D168" s="1370" t="str">
        <f t="shared" si="9"/>
        <v>ledian</v>
      </c>
      <c r="E168" s="1370"/>
    </row>
    <row r="169" ht="23.25" customHeight="1">
      <c r="A169" s="1371">
        <v>167.0</v>
      </c>
      <c r="B169" s="1372" t="s">
        <v>531</v>
      </c>
      <c r="C169" s="1373"/>
      <c r="D169" s="1366" t="str">
        <f t="shared" si="9"/>
        <v>spinarak</v>
      </c>
      <c r="E169" s="1366"/>
    </row>
    <row r="170" ht="23.25" customHeight="1">
      <c r="A170" s="1367">
        <v>168.0</v>
      </c>
      <c r="B170" s="1368" t="s">
        <v>252</v>
      </c>
      <c r="C170" s="1369"/>
      <c r="D170" s="1370" t="str">
        <f t="shared" si="9"/>
        <v>ariados</v>
      </c>
      <c r="E170" s="1370"/>
    </row>
    <row r="171" ht="23.25" customHeight="1">
      <c r="A171" s="1363">
        <v>169.0</v>
      </c>
      <c r="B171" s="1372" t="s">
        <v>1406</v>
      </c>
      <c r="C171" s="1373"/>
      <c r="D171" s="1366" t="str">
        <f t="shared" si="9"/>
        <v>crobat</v>
      </c>
      <c r="E171" s="1366"/>
    </row>
    <row r="172" ht="23.25" customHeight="1">
      <c r="A172" s="1367">
        <v>170.0</v>
      </c>
      <c r="B172" s="1368" t="s">
        <v>660</v>
      </c>
      <c r="C172" s="1369"/>
      <c r="D172" s="1370" t="str">
        <f t="shared" si="9"/>
        <v>chinchou</v>
      </c>
      <c r="E172" s="1370"/>
    </row>
    <row r="173" ht="23.25" customHeight="1">
      <c r="A173" s="1371">
        <v>171.0</v>
      </c>
      <c r="B173" s="1372" t="s">
        <v>720</v>
      </c>
      <c r="C173" s="1373"/>
      <c r="D173" s="1366" t="str">
        <f t="shared" si="9"/>
        <v>lanturn</v>
      </c>
      <c r="E173" s="1366"/>
    </row>
    <row r="174" ht="23.25" customHeight="1">
      <c r="A174" s="1374">
        <v>172.0</v>
      </c>
      <c r="B174" s="1368" t="s">
        <v>1407</v>
      </c>
      <c r="C174" s="1369"/>
      <c r="D174" s="1370" t="str">
        <f t="shared" si="9"/>
        <v>pichu</v>
      </c>
      <c r="E174" s="1370"/>
    </row>
    <row r="175" ht="23.25" customHeight="1">
      <c r="A175" s="1371">
        <v>173.0</v>
      </c>
      <c r="B175" s="1372" t="s">
        <v>1408</v>
      </c>
      <c r="C175" s="1373"/>
      <c r="D175" s="1366" t="str">
        <f t="shared" si="9"/>
        <v>cleffa</v>
      </c>
      <c r="E175" s="1366"/>
    </row>
    <row r="176" ht="23.25" customHeight="1">
      <c r="A176" s="1367">
        <v>174.0</v>
      </c>
      <c r="B176" s="1368" t="s">
        <v>1409</v>
      </c>
      <c r="C176" s="1369"/>
      <c r="D176" s="1370" t="str">
        <f t="shared" si="9"/>
        <v>igglybuff</v>
      </c>
      <c r="E176" s="1370"/>
    </row>
    <row r="177" ht="23.25" customHeight="1">
      <c r="A177" s="1363">
        <v>175.0</v>
      </c>
      <c r="B177" s="1372" t="s">
        <v>502</v>
      </c>
      <c r="C177" s="1373"/>
      <c r="D177" s="1366" t="str">
        <f t="shared" si="9"/>
        <v>togepi</v>
      </c>
      <c r="E177" s="1366"/>
    </row>
    <row r="178" ht="23.25" customHeight="1">
      <c r="A178" s="1367">
        <v>176.0</v>
      </c>
      <c r="B178" s="1368" t="s">
        <v>1410</v>
      </c>
      <c r="C178" s="1369"/>
      <c r="D178" s="1370" t="str">
        <f t="shared" si="9"/>
        <v>togetic</v>
      </c>
      <c r="E178" s="1370"/>
    </row>
    <row r="179" ht="23.25" customHeight="1">
      <c r="A179" s="1371">
        <v>177.0</v>
      </c>
      <c r="B179" s="1372" t="s">
        <v>223</v>
      </c>
      <c r="C179" s="1373"/>
      <c r="D179" s="1366" t="str">
        <f t="shared" si="9"/>
        <v>natu</v>
      </c>
      <c r="E179" s="1366"/>
    </row>
    <row r="180" ht="23.25" customHeight="1">
      <c r="A180" s="1374">
        <v>178.0</v>
      </c>
      <c r="B180" s="1368" t="s">
        <v>122</v>
      </c>
      <c r="C180" s="1369"/>
      <c r="D180" s="1370" t="str">
        <f t="shared" si="9"/>
        <v>xatu</v>
      </c>
      <c r="E180" s="1370"/>
    </row>
    <row r="181" ht="23.25" customHeight="1">
      <c r="A181" s="1371">
        <v>179.0</v>
      </c>
      <c r="B181" s="1372" t="s">
        <v>388</v>
      </c>
      <c r="C181" s="1373"/>
      <c r="D181" s="1366" t="str">
        <f t="shared" si="9"/>
        <v>mareep</v>
      </c>
      <c r="E181" s="1366"/>
    </row>
    <row r="182" ht="23.25" customHeight="1">
      <c r="A182" s="1367">
        <v>180.0</v>
      </c>
      <c r="B182" s="1368" t="s">
        <v>1411</v>
      </c>
      <c r="C182" s="1369"/>
      <c r="D182" s="1370" t="s">
        <v>1412</v>
      </c>
      <c r="E182" s="1370"/>
    </row>
    <row r="183" ht="23.25" customHeight="1">
      <c r="A183" s="1363">
        <v>181.0</v>
      </c>
      <c r="B183" s="1372" t="s">
        <v>337</v>
      </c>
      <c r="C183" s="1373"/>
      <c r="D183" s="1366" t="s">
        <v>1413</v>
      </c>
      <c r="E183" s="1366"/>
    </row>
    <row r="184" ht="23.25" customHeight="1">
      <c r="A184" s="1367">
        <v>182.0</v>
      </c>
      <c r="B184" s="1368" t="s">
        <v>1414</v>
      </c>
      <c r="C184" s="1369"/>
      <c r="D184" s="1370" t="str">
        <f t="shared" ref="D184:D194" si="10">LOWER(B184)</f>
        <v>bellossom</v>
      </c>
      <c r="E184" s="1370"/>
    </row>
    <row r="185" ht="23.25" customHeight="1">
      <c r="A185" s="1371">
        <v>183.0</v>
      </c>
      <c r="B185" s="1372" t="s">
        <v>397</v>
      </c>
      <c r="C185" s="1373"/>
      <c r="D185" s="1366" t="str">
        <f t="shared" si="10"/>
        <v>marill</v>
      </c>
      <c r="E185" s="1366"/>
    </row>
    <row r="186" ht="23.25" customHeight="1">
      <c r="A186" s="1374">
        <v>184.0</v>
      </c>
      <c r="B186" s="1368" t="s">
        <v>1415</v>
      </c>
      <c r="C186" s="1369"/>
      <c r="D186" s="1370" t="str">
        <f t="shared" si="10"/>
        <v>azumarill</v>
      </c>
      <c r="E186" s="1370"/>
    </row>
    <row r="187" ht="23.25" customHeight="1">
      <c r="A187" s="1371">
        <v>185.0</v>
      </c>
      <c r="B187" s="1372" t="s">
        <v>1416</v>
      </c>
      <c r="C187" s="1373"/>
      <c r="D187" s="1366" t="str">
        <f t="shared" si="10"/>
        <v>sudowoodo</v>
      </c>
      <c r="E187" s="1366"/>
    </row>
    <row r="188" ht="23.25" customHeight="1">
      <c r="A188" s="1367">
        <v>186.0</v>
      </c>
      <c r="B188" s="1368" t="s">
        <v>570</v>
      </c>
      <c r="C188" s="1369"/>
      <c r="D188" s="1370" t="str">
        <f t="shared" si="10"/>
        <v>politoed</v>
      </c>
      <c r="E188" s="1370"/>
    </row>
    <row r="189" ht="23.25" customHeight="1">
      <c r="A189" s="1363">
        <v>187.0</v>
      </c>
      <c r="B189" s="1372" t="s">
        <v>309</v>
      </c>
      <c r="C189" s="1373"/>
      <c r="D189" s="1366" t="str">
        <f t="shared" si="10"/>
        <v>hoppip</v>
      </c>
      <c r="E189" s="1366"/>
    </row>
    <row r="190" ht="23.25" customHeight="1">
      <c r="A190" s="1367">
        <v>188.0</v>
      </c>
      <c r="B190" s="1368" t="s">
        <v>1417</v>
      </c>
      <c r="C190" s="1369"/>
      <c r="D190" s="1370" t="str">
        <f t="shared" si="10"/>
        <v>skiploom</v>
      </c>
      <c r="E190" s="1370"/>
    </row>
    <row r="191" ht="23.25" customHeight="1">
      <c r="A191" s="1371">
        <v>189.0</v>
      </c>
      <c r="B191" s="1372" t="s">
        <v>374</v>
      </c>
      <c r="C191" s="1373"/>
      <c r="D191" s="1366" t="str">
        <f t="shared" si="10"/>
        <v>jumpluff</v>
      </c>
      <c r="E191" s="1366"/>
    </row>
    <row r="192" ht="23.25" customHeight="1">
      <c r="A192" s="1374">
        <v>190.0</v>
      </c>
      <c r="B192" s="1368" t="s">
        <v>398</v>
      </c>
      <c r="C192" s="1369"/>
      <c r="D192" s="1370" t="str">
        <f t="shared" si="10"/>
        <v>aipom</v>
      </c>
      <c r="E192" s="1370"/>
    </row>
    <row r="193" ht="23.25" customHeight="1">
      <c r="A193" s="1371">
        <v>191.0</v>
      </c>
      <c r="B193" s="1372" t="s">
        <v>102</v>
      </c>
      <c r="C193" s="1373"/>
      <c r="D193" s="1366" t="str">
        <f t="shared" si="10"/>
        <v>sunkern</v>
      </c>
      <c r="E193" s="1366"/>
    </row>
    <row r="194" ht="23.25" customHeight="1">
      <c r="A194" s="1367">
        <v>192.0</v>
      </c>
      <c r="B194" s="1368" t="s">
        <v>1418</v>
      </c>
      <c r="C194" s="1369"/>
      <c r="D194" s="1370" t="str">
        <f t="shared" si="10"/>
        <v>sunflora</v>
      </c>
      <c r="E194" s="1370"/>
    </row>
    <row r="195" ht="23.25" customHeight="1">
      <c r="A195" s="1363">
        <v>193.0</v>
      </c>
      <c r="B195" s="1372" t="s">
        <v>185</v>
      </c>
      <c r="C195" s="1373"/>
      <c r="D195" s="1366" t="s">
        <v>1419</v>
      </c>
      <c r="E195" s="1366"/>
    </row>
    <row r="196" ht="23.25" customHeight="1">
      <c r="A196" s="1367">
        <v>194.0</v>
      </c>
      <c r="B196" s="1368" t="s">
        <v>86</v>
      </c>
      <c r="C196" s="1369"/>
      <c r="D196" s="1370" t="str">
        <f t="shared" ref="D196:D210" si="11">LOWER(B196)</f>
        <v>wooper</v>
      </c>
      <c r="E196" s="1370"/>
    </row>
    <row r="197" ht="23.25" customHeight="1">
      <c r="A197" s="1371">
        <v>195.0</v>
      </c>
      <c r="B197" s="1372" t="s">
        <v>1420</v>
      </c>
      <c r="C197" s="1373"/>
      <c r="D197" s="1366" t="str">
        <f t="shared" si="11"/>
        <v>quagsire</v>
      </c>
      <c r="E197" s="1366"/>
    </row>
    <row r="198" ht="23.25" customHeight="1">
      <c r="A198" s="1374">
        <v>196.0</v>
      </c>
      <c r="B198" s="1368" t="s">
        <v>1421</v>
      </c>
      <c r="C198" s="1369"/>
      <c r="D198" s="1369" t="str">
        <f t="shared" si="11"/>
        <v>espeon</v>
      </c>
      <c r="E198" s="1369"/>
    </row>
    <row r="199" ht="23.25" customHeight="1">
      <c r="A199" s="1371">
        <v>197.0</v>
      </c>
      <c r="B199" s="1372" t="s">
        <v>1422</v>
      </c>
      <c r="C199" s="1373"/>
      <c r="D199" s="1373" t="str">
        <f t="shared" si="11"/>
        <v>umbreon</v>
      </c>
      <c r="E199" s="1373"/>
    </row>
    <row r="200" ht="23.25" customHeight="1">
      <c r="A200" s="1367">
        <v>198.0</v>
      </c>
      <c r="B200" s="1368" t="s">
        <v>625</v>
      </c>
      <c r="C200" s="1369"/>
      <c r="D200" s="1370" t="str">
        <f t="shared" si="11"/>
        <v>murkrow</v>
      </c>
      <c r="E200" s="1370"/>
    </row>
    <row r="201" ht="23.25" customHeight="1">
      <c r="A201" s="1363">
        <v>199.0</v>
      </c>
      <c r="B201" s="1372" t="s">
        <v>332</v>
      </c>
      <c r="C201" s="1373"/>
      <c r="D201" s="1366" t="str">
        <f t="shared" si="11"/>
        <v>slowking</v>
      </c>
      <c r="E201" s="1366"/>
    </row>
    <row r="202" ht="23.25" customHeight="1">
      <c r="A202" s="1367">
        <v>200.0</v>
      </c>
      <c r="B202" s="1368" t="s">
        <v>631</v>
      </c>
      <c r="C202" s="1369"/>
      <c r="D202" s="1370" t="str">
        <f t="shared" si="11"/>
        <v>misdreavus</v>
      </c>
      <c r="E202" s="1370"/>
    </row>
    <row r="203" ht="23.25" customHeight="1">
      <c r="A203" s="1371">
        <v>201.0</v>
      </c>
      <c r="B203" s="1372" t="s">
        <v>143</v>
      </c>
      <c r="C203" s="1373"/>
      <c r="D203" s="1366" t="str">
        <f t="shared" si="11"/>
        <v>unown</v>
      </c>
      <c r="E203" s="1366"/>
    </row>
    <row r="204" ht="23.25" customHeight="1">
      <c r="A204" s="1374">
        <v>202.0</v>
      </c>
      <c r="B204" s="1368" t="s">
        <v>765</v>
      </c>
      <c r="C204" s="1369"/>
      <c r="D204" s="1370" t="str">
        <f t="shared" si="11"/>
        <v>wobbuffet</v>
      </c>
      <c r="E204" s="1370"/>
    </row>
    <row r="205" ht="23.25" customHeight="1">
      <c r="A205" s="1371">
        <v>203.0</v>
      </c>
      <c r="B205" s="1372" t="s">
        <v>458</v>
      </c>
      <c r="C205" s="1373"/>
      <c r="D205" s="1366" t="str">
        <f t="shared" si="11"/>
        <v>girafarig</v>
      </c>
      <c r="E205" s="1366"/>
    </row>
    <row r="206" ht="23.25" customHeight="1">
      <c r="A206" s="1367">
        <v>204.0</v>
      </c>
      <c r="B206" s="1368" t="s">
        <v>230</v>
      </c>
      <c r="C206" s="1369"/>
      <c r="D206" s="1370" t="str">
        <f t="shared" si="11"/>
        <v>pineco</v>
      </c>
      <c r="E206" s="1370"/>
    </row>
    <row r="207" ht="23.25" customHeight="1">
      <c r="A207" s="1363">
        <v>205.0</v>
      </c>
      <c r="B207" s="1372" t="s">
        <v>558</v>
      </c>
      <c r="C207" s="1373"/>
      <c r="D207" s="1366" t="str">
        <f t="shared" si="11"/>
        <v>forretress</v>
      </c>
      <c r="E207" s="1366"/>
    </row>
    <row r="208" ht="23.25" customHeight="1">
      <c r="A208" s="1367">
        <v>206.0</v>
      </c>
      <c r="B208" s="1368" t="s">
        <v>162</v>
      </c>
      <c r="C208" s="1369"/>
      <c r="D208" s="1370" t="str">
        <f t="shared" si="11"/>
        <v>dunsparce</v>
      </c>
      <c r="E208" s="1370"/>
    </row>
    <row r="209" ht="23.25" customHeight="1">
      <c r="A209" s="1371">
        <v>207.0</v>
      </c>
      <c r="B209" s="1372" t="s">
        <v>439</v>
      </c>
      <c r="C209" s="1373"/>
      <c r="D209" s="1366" t="str">
        <f t="shared" si="11"/>
        <v>gligar</v>
      </c>
      <c r="E209" s="1366"/>
    </row>
    <row r="210" ht="23.25" customHeight="1">
      <c r="A210" s="1374">
        <v>208.0</v>
      </c>
      <c r="B210" s="1368" t="s">
        <v>301</v>
      </c>
      <c r="C210" s="1369"/>
      <c r="D210" s="1370" t="str">
        <f t="shared" si="11"/>
        <v>steelix</v>
      </c>
      <c r="E210" s="1370"/>
    </row>
    <row r="211" ht="23.25" customHeight="1">
      <c r="A211" s="1371">
        <v>209.0</v>
      </c>
      <c r="B211" s="1372" t="s">
        <v>96</v>
      </c>
      <c r="C211" s="1373"/>
      <c r="D211" s="1366" t="s">
        <v>1423</v>
      </c>
      <c r="E211" s="1366"/>
    </row>
    <row r="212" ht="23.25" customHeight="1">
      <c r="A212" s="1367">
        <v>210.0</v>
      </c>
      <c r="B212" s="1368" t="s">
        <v>1141</v>
      </c>
      <c r="C212" s="1369"/>
      <c r="D212" s="1370" t="str">
        <f t="shared" ref="D212:D221" si="12">LOWER(B212)</f>
        <v>granbull</v>
      </c>
      <c r="E212" s="1370"/>
    </row>
    <row r="213" ht="23.25" customHeight="1">
      <c r="A213" s="1363">
        <v>211.0</v>
      </c>
      <c r="B213" s="1372" t="s">
        <v>697</v>
      </c>
      <c r="C213" s="1373"/>
      <c r="D213" s="1366" t="str">
        <f t="shared" si="12"/>
        <v>qwilfish</v>
      </c>
      <c r="E213" s="1366"/>
    </row>
    <row r="214" ht="23.25" customHeight="1">
      <c r="A214" s="1367">
        <v>212.0</v>
      </c>
      <c r="B214" s="1368" t="s">
        <v>422</v>
      </c>
      <c r="C214" s="1369"/>
      <c r="D214" s="1370" t="str">
        <f t="shared" si="12"/>
        <v>scizor</v>
      </c>
      <c r="E214" s="1370"/>
    </row>
    <row r="215" ht="23.25" customHeight="1">
      <c r="A215" s="1371">
        <v>213.0</v>
      </c>
      <c r="B215" s="1372" t="s">
        <v>237</v>
      </c>
      <c r="C215" s="1373"/>
      <c r="D215" s="1366" t="str">
        <f t="shared" si="12"/>
        <v>shuckle</v>
      </c>
      <c r="E215" s="1366"/>
    </row>
    <row r="216" ht="23.25" customHeight="1">
      <c r="A216" s="1374">
        <v>214.0</v>
      </c>
      <c r="B216" s="1368" t="s">
        <v>119</v>
      </c>
      <c r="C216" s="1369"/>
      <c r="D216" s="1370" t="str">
        <f t="shared" si="12"/>
        <v>heracross</v>
      </c>
      <c r="E216" s="1370"/>
    </row>
    <row r="217" ht="23.25" customHeight="1">
      <c r="A217" s="1371">
        <v>215.0</v>
      </c>
      <c r="B217" s="1372" t="s">
        <v>124</v>
      </c>
      <c r="C217" s="1373"/>
      <c r="D217" s="1366" t="str">
        <f t="shared" si="12"/>
        <v>sneasel</v>
      </c>
      <c r="E217" s="1366"/>
    </row>
    <row r="218" ht="23.25" customHeight="1">
      <c r="A218" s="1367">
        <v>216.0</v>
      </c>
      <c r="B218" s="1368" t="s">
        <v>358</v>
      </c>
      <c r="C218" s="1369"/>
      <c r="D218" s="1370" t="str">
        <f t="shared" si="12"/>
        <v>teddiursa</v>
      </c>
      <c r="E218" s="1370"/>
    </row>
    <row r="219" ht="23.25" customHeight="1">
      <c r="A219" s="1363">
        <v>217.0</v>
      </c>
      <c r="B219" s="1372" t="s">
        <v>1424</v>
      </c>
      <c r="C219" s="1373"/>
      <c r="D219" s="1366" t="str">
        <f t="shared" si="12"/>
        <v>ursaring</v>
      </c>
      <c r="E219" s="1366"/>
    </row>
    <row r="220" ht="23.25" customHeight="1">
      <c r="A220" s="1367">
        <v>218.0</v>
      </c>
      <c r="B220" s="1368" t="s">
        <v>280</v>
      </c>
      <c r="C220" s="1369"/>
      <c r="D220" s="1370" t="str">
        <f t="shared" si="12"/>
        <v>slugma</v>
      </c>
      <c r="E220" s="1370"/>
    </row>
    <row r="221" ht="23.25" customHeight="1">
      <c r="A221" s="1371">
        <v>219.0</v>
      </c>
      <c r="B221" s="1372" t="s">
        <v>208</v>
      </c>
      <c r="C221" s="1373"/>
      <c r="D221" s="1366" t="str">
        <f t="shared" si="12"/>
        <v>magcargo</v>
      </c>
      <c r="E221" s="1366"/>
    </row>
    <row r="222" ht="23.25" customHeight="1">
      <c r="A222" s="1374">
        <v>220.0</v>
      </c>
      <c r="B222" s="1368" t="s">
        <v>238</v>
      </c>
      <c r="C222" s="1369"/>
      <c r="D222" s="1370" t="s">
        <v>1425</v>
      </c>
      <c r="E222" s="1370"/>
    </row>
    <row r="223" ht="23.25" customHeight="1">
      <c r="A223" s="1371">
        <v>221.0</v>
      </c>
      <c r="B223" s="1372" t="s">
        <v>131</v>
      </c>
      <c r="C223" s="1373"/>
      <c r="D223" s="1366" t="s">
        <v>1426</v>
      </c>
      <c r="E223" s="1366"/>
    </row>
    <row r="224" ht="23.25" customHeight="1">
      <c r="A224" s="1367">
        <v>222.0</v>
      </c>
      <c r="B224" s="1368" t="s">
        <v>680</v>
      </c>
      <c r="C224" s="1369"/>
      <c r="D224" s="1370" t="str">
        <f t="shared" ref="D224:D245" si="13">LOWER(B224)</f>
        <v>corsola</v>
      </c>
      <c r="E224" s="1370"/>
    </row>
    <row r="225" ht="23.25" customHeight="1">
      <c r="A225" s="1363">
        <v>223.0</v>
      </c>
      <c r="B225" s="1372" t="s">
        <v>679</v>
      </c>
      <c r="C225" s="1373"/>
      <c r="D225" s="1366" t="str">
        <f t="shared" si="13"/>
        <v>remoraid</v>
      </c>
      <c r="E225" s="1366"/>
    </row>
    <row r="226" ht="23.25" customHeight="1">
      <c r="A226" s="1367">
        <v>224.0</v>
      </c>
      <c r="B226" s="1368" t="s">
        <v>712</v>
      </c>
      <c r="C226" s="1369"/>
      <c r="D226" s="1370" t="str">
        <f t="shared" si="13"/>
        <v>octillery</v>
      </c>
      <c r="E226" s="1370"/>
    </row>
    <row r="227" ht="23.25" customHeight="1">
      <c r="A227" s="1371">
        <v>225.0</v>
      </c>
      <c r="B227" s="1372" t="s">
        <v>517</v>
      </c>
      <c r="C227" s="1373"/>
      <c r="D227" s="1366" t="str">
        <f t="shared" si="13"/>
        <v>delibird</v>
      </c>
      <c r="E227" s="1366"/>
    </row>
    <row r="228" ht="23.25" customHeight="1">
      <c r="A228" s="1374">
        <v>226.0</v>
      </c>
      <c r="B228" s="1368" t="s">
        <v>729</v>
      </c>
      <c r="C228" s="1369"/>
      <c r="D228" s="1370" t="str">
        <f t="shared" si="13"/>
        <v>mantine</v>
      </c>
      <c r="E228" s="1370"/>
    </row>
    <row r="229" ht="23.25" customHeight="1">
      <c r="A229" s="1371">
        <v>227.0</v>
      </c>
      <c r="B229" s="1372" t="s">
        <v>408</v>
      </c>
      <c r="C229" s="1373"/>
      <c r="D229" s="1366" t="str">
        <f t="shared" si="13"/>
        <v>skarmory</v>
      </c>
      <c r="E229" s="1366"/>
    </row>
    <row r="230" ht="23.25" customHeight="1">
      <c r="A230" s="1367">
        <v>228.0</v>
      </c>
      <c r="B230" s="1368" t="s">
        <v>621</v>
      </c>
      <c r="C230" s="1369"/>
      <c r="D230" s="1370" t="str">
        <f t="shared" si="13"/>
        <v>houndour</v>
      </c>
      <c r="E230" s="1370"/>
    </row>
    <row r="231" ht="23.25" customHeight="1">
      <c r="A231" s="1363">
        <v>229.0</v>
      </c>
      <c r="B231" s="1372" t="s">
        <v>415</v>
      </c>
      <c r="C231" s="1373"/>
      <c r="D231" s="1366" t="str">
        <f t="shared" si="13"/>
        <v>houndoom</v>
      </c>
      <c r="E231" s="1366"/>
    </row>
    <row r="232" ht="23.25" customHeight="1">
      <c r="A232" s="1367">
        <v>230.0</v>
      </c>
      <c r="B232" s="1368" t="s">
        <v>1427</v>
      </c>
      <c r="C232" s="1369"/>
      <c r="D232" s="1370" t="str">
        <f t="shared" si="13"/>
        <v>kingdra</v>
      </c>
      <c r="E232" s="1370"/>
    </row>
    <row r="233" ht="23.25" customHeight="1">
      <c r="A233" s="1371">
        <v>231.0</v>
      </c>
      <c r="B233" s="1372" t="s">
        <v>273</v>
      </c>
      <c r="C233" s="1373"/>
      <c r="D233" s="1366" t="str">
        <f t="shared" si="13"/>
        <v>phanpy</v>
      </c>
      <c r="E233" s="1366"/>
    </row>
    <row r="234" ht="23.25" customHeight="1">
      <c r="A234" s="1374">
        <v>232.0</v>
      </c>
      <c r="B234" s="1368" t="s">
        <v>1428</v>
      </c>
      <c r="C234" s="1369"/>
      <c r="D234" s="1370" t="str">
        <f t="shared" si="13"/>
        <v>donphan</v>
      </c>
      <c r="E234" s="1370"/>
    </row>
    <row r="235" ht="23.25" customHeight="1">
      <c r="A235" s="1371">
        <v>233.0</v>
      </c>
      <c r="B235" s="1372" t="s">
        <v>1429</v>
      </c>
      <c r="C235" s="1373"/>
      <c r="D235" s="1366" t="str">
        <f t="shared" si="13"/>
        <v>porygon2</v>
      </c>
      <c r="E235" s="1366"/>
    </row>
    <row r="236" ht="23.25" customHeight="1">
      <c r="A236" s="1367">
        <v>234.0</v>
      </c>
      <c r="B236" s="1368" t="s">
        <v>635</v>
      </c>
      <c r="C236" s="1369"/>
      <c r="D236" s="1370" t="str">
        <f t="shared" si="13"/>
        <v>stantler</v>
      </c>
      <c r="E236" s="1370"/>
    </row>
    <row r="237" ht="23.25" customHeight="1">
      <c r="A237" s="1363">
        <v>235.0</v>
      </c>
      <c r="B237" s="1372" t="s">
        <v>206</v>
      </c>
      <c r="C237" s="1373"/>
      <c r="D237" s="1366" t="str">
        <f t="shared" si="13"/>
        <v>smeargle</v>
      </c>
      <c r="E237" s="1366"/>
    </row>
    <row r="238" ht="23.25" customHeight="1">
      <c r="A238" s="1367">
        <v>236.0</v>
      </c>
      <c r="B238" s="1375" t="s">
        <v>448</v>
      </c>
      <c r="C238" s="1369"/>
      <c r="D238" s="1370" t="str">
        <f t="shared" si="13"/>
        <v>tyrogue</v>
      </c>
      <c r="E238" s="1370"/>
    </row>
    <row r="239" ht="23.25" customHeight="1">
      <c r="A239" s="1371">
        <v>237.0</v>
      </c>
      <c r="B239" s="1372" t="s">
        <v>1430</v>
      </c>
      <c r="C239" s="1373"/>
      <c r="D239" s="1366" t="str">
        <f t="shared" si="13"/>
        <v>hitmontop</v>
      </c>
      <c r="E239" s="1366"/>
    </row>
    <row r="240" ht="23.25" customHeight="1">
      <c r="A240" s="1374">
        <v>238.0</v>
      </c>
      <c r="B240" s="1368" t="s">
        <v>435</v>
      </c>
      <c r="C240" s="1369"/>
      <c r="D240" s="1370" t="str">
        <f t="shared" si="13"/>
        <v>smoochum</v>
      </c>
      <c r="E240" s="1370"/>
    </row>
    <row r="241" ht="23.25" customHeight="1">
      <c r="A241" s="1371">
        <v>239.0</v>
      </c>
      <c r="B241" s="1372" t="s">
        <v>314</v>
      </c>
      <c r="C241" s="1373"/>
      <c r="D241" s="1366" t="str">
        <f t="shared" si="13"/>
        <v>elekid</v>
      </c>
      <c r="E241" s="1366"/>
    </row>
    <row r="242" ht="23.25" customHeight="1">
      <c r="A242" s="1367">
        <v>240.0</v>
      </c>
      <c r="B242" s="1368" t="s">
        <v>591</v>
      </c>
      <c r="C242" s="1369"/>
      <c r="D242" s="1370" t="str">
        <f t="shared" si="13"/>
        <v>magby</v>
      </c>
      <c r="E242" s="1370"/>
    </row>
    <row r="243" ht="23.25" customHeight="1">
      <c r="A243" s="1363">
        <v>241.0</v>
      </c>
      <c r="B243" s="1372" t="s">
        <v>506</v>
      </c>
      <c r="C243" s="1373"/>
      <c r="D243" s="1366" t="str">
        <f t="shared" si="13"/>
        <v>miltank</v>
      </c>
      <c r="E243" s="1366"/>
    </row>
    <row r="244" ht="23.25" customHeight="1">
      <c r="A244" s="1367">
        <v>242.0</v>
      </c>
      <c r="B244" s="1368" t="s">
        <v>1431</v>
      </c>
      <c r="C244" s="1369"/>
      <c r="D244" s="1370" t="str">
        <f t="shared" si="13"/>
        <v>blissey</v>
      </c>
      <c r="E244" s="1370"/>
    </row>
    <row r="245" ht="23.25" customHeight="1">
      <c r="A245" s="1371">
        <v>243.0</v>
      </c>
      <c r="B245" s="1372" t="s">
        <v>830</v>
      </c>
      <c r="C245" s="1373"/>
      <c r="D245" s="1366" t="str">
        <f t="shared" si="13"/>
        <v>raikou</v>
      </c>
      <c r="E245" s="1366"/>
    </row>
    <row r="246" ht="23.25" customHeight="1">
      <c r="A246" s="1374">
        <v>244.0</v>
      </c>
      <c r="B246" s="1368" t="s">
        <v>832</v>
      </c>
      <c r="C246" s="1369"/>
      <c r="D246" s="1370" t="s">
        <v>1432</v>
      </c>
      <c r="E246" s="1369"/>
    </row>
    <row r="247" ht="23.25" customHeight="1">
      <c r="A247" s="1371">
        <v>245.0</v>
      </c>
      <c r="B247" s="1372" t="s">
        <v>833</v>
      </c>
      <c r="C247" s="1373"/>
      <c r="D247" s="1366" t="str">
        <f t="shared" ref="D247:D331" si="14">LOWER(B247)</f>
        <v>suicune</v>
      </c>
      <c r="E247" s="1366"/>
    </row>
    <row r="248" ht="23.25" customHeight="1">
      <c r="A248" s="1367">
        <v>246.0</v>
      </c>
      <c r="B248" s="1368" t="s">
        <v>1233</v>
      </c>
      <c r="C248" s="1369"/>
      <c r="D248" s="1370" t="str">
        <f t="shared" si="14"/>
        <v>larvitar</v>
      </c>
      <c r="E248" s="1370"/>
    </row>
    <row r="249" ht="23.25" customHeight="1">
      <c r="A249" s="1363">
        <v>247.0</v>
      </c>
      <c r="B249" s="1372" t="s">
        <v>1433</v>
      </c>
      <c r="C249" s="1373"/>
      <c r="D249" s="1366" t="str">
        <f t="shared" si="14"/>
        <v>pupitar</v>
      </c>
      <c r="E249" s="1366"/>
    </row>
    <row r="250" ht="23.25" customHeight="1">
      <c r="A250" s="1367">
        <v>248.0</v>
      </c>
      <c r="B250" s="1368" t="s">
        <v>259</v>
      </c>
      <c r="C250" s="1369"/>
      <c r="D250" s="1370" t="str">
        <f t="shared" si="14"/>
        <v>tyranitar</v>
      </c>
      <c r="E250" s="1370"/>
    </row>
    <row r="251" ht="23.25" customHeight="1">
      <c r="A251" s="1371">
        <v>249.0</v>
      </c>
      <c r="B251" s="1372" t="s">
        <v>834</v>
      </c>
      <c r="C251" s="1373"/>
      <c r="D251" s="1366" t="str">
        <f t="shared" si="14"/>
        <v>lugia</v>
      </c>
      <c r="E251" s="1366"/>
    </row>
    <row r="252" ht="23.25" customHeight="1">
      <c r="A252" s="1374">
        <v>250.0</v>
      </c>
      <c r="B252" s="1375" t="s">
        <v>835</v>
      </c>
      <c r="C252" s="1369"/>
      <c r="D252" s="1370" t="str">
        <f t="shared" si="14"/>
        <v>ho-oh</v>
      </c>
      <c r="E252" s="1370"/>
    </row>
    <row r="253" ht="23.25" customHeight="1">
      <c r="A253" s="1371">
        <v>251.0</v>
      </c>
      <c r="B253" s="1372" t="s">
        <v>836</v>
      </c>
      <c r="C253" s="1373"/>
      <c r="D253" s="1366" t="str">
        <f t="shared" si="14"/>
        <v>celebi</v>
      </c>
      <c r="E253" s="1366"/>
    </row>
    <row r="254" ht="23.25" customHeight="1">
      <c r="A254" s="1367">
        <v>252.0</v>
      </c>
      <c r="B254" s="1368" t="s">
        <v>1199</v>
      </c>
      <c r="C254" s="1369"/>
      <c r="D254" s="1370" t="str">
        <f t="shared" si="14"/>
        <v>treecko</v>
      </c>
      <c r="E254" s="1370"/>
    </row>
    <row r="255" ht="23.25" customHeight="1">
      <c r="A255" s="1363">
        <v>253.0</v>
      </c>
      <c r="B255" s="1372" t="s">
        <v>1434</v>
      </c>
      <c r="C255" s="1373"/>
      <c r="D255" s="1366" t="str">
        <f t="shared" si="14"/>
        <v>grovyle</v>
      </c>
      <c r="E255" s="1366"/>
    </row>
    <row r="256" ht="23.25" customHeight="1">
      <c r="A256" s="1367">
        <v>254.0</v>
      </c>
      <c r="B256" s="1368" t="s">
        <v>1435</v>
      </c>
      <c r="C256" s="1369"/>
      <c r="D256" s="1370" t="str">
        <f t="shared" si="14"/>
        <v>sceptile</v>
      </c>
      <c r="E256" s="1370"/>
    </row>
    <row r="257" ht="23.25" customHeight="1">
      <c r="A257" s="1371">
        <v>255.0</v>
      </c>
      <c r="B257" s="1372" t="s">
        <v>1201</v>
      </c>
      <c r="C257" s="1373"/>
      <c r="D257" s="1366" t="str">
        <f t="shared" si="14"/>
        <v>torchic</v>
      </c>
      <c r="E257" s="1366"/>
    </row>
    <row r="258" ht="23.25" customHeight="1">
      <c r="A258" s="1374">
        <v>256.0</v>
      </c>
      <c r="B258" s="1368" t="s">
        <v>1436</v>
      </c>
      <c r="C258" s="1369"/>
      <c r="D258" s="1370" t="str">
        <f t="shared" si="14"/>
        <v>combusken</v>
      </c>
      <c r="E258" s="1370"/>
    </row>
    <row r="259" ht="23.25" customHeight="1">
      <c r="A259" s="1371">
        <v>257.0</v>
      </c>
      <c r="B259" s="1372" t="s">
        <v>420</v>
      </c>
      <c r="C259" s="1373"/>
      <c r="D259" s="1366" t="str">
        <f t="shared" si="14"/>
        <v>blaziken</v>
      </c>
      <c r="E259" s="1366"/>
    </row>
    <row r="260" ht="23.25" customHeight="1">
      <c r="A260" s="1367">
        <v>258.0</v>
      </c>
      <c r="B260" s="1368" t="s">
        <v>1200</v>
      </c>
      <c r="C260" s="1369"/>
      <c r="D260" s="1370" t="str">
        <f t="shared" si="14"/>
        <v>mudkip</v>
      </c>
      <c r="E260" s="1370"/>
    </row>
    <row r="261" ht="23.25" customHeight="1">
      <c r="A261" s="1363">
        <v>259.0</v>
      </c>
      <c r="B261" s="1372" t="s">
        <v>1437</v>
      </c>
      <c r="C261" s="1373"/>
      <c r="D261" s="1366" t="str">
        <f t="shared" si="14"/>
        <v>marshtomp</v>
      </c>
      <c r="E261" s="1366"/>
    </row>
    <row r="262" ht="23.25" customHeight="1">
      <c r="A262" s="1367">
        <v>260.0</v>
      </c>
      <c r="B262" s="1368" t="s">
        <v>1438</v>
      </c>
      <c r="C262" s="1369"/>
      <c r="D262" s="1370" t="str">
        <f t="shared" si="14"/>
        <v>swampert</v>
      </c>
      <c r="E262" s="1370"/>
    </row>
    <row r="263" ht="23.25" customHeight="1">
      <c r="A263" s="1371">
        <v>261.0</v>
      </c>
      <c r="B263" s="1372" t="s">
        <v>218</v>
      </c>
      <c r="C263" s="1373"/>
      <c r="D263" s="1366" t="str">
        <f t="shared" si="14"/>
        <v>poochyena</v>
      </c>
      <c r="E263" s="1366"/>
    </row>
    <row r="264" ht="23.25" customHeight="1">
      <c r="A264" s="1374">
        <v>262.0</v>
      </c>
      <c r="B264" s="1368" t="s">
        <v>379</v>
      </c>
      <c r="C264" s="1369"/>
      <c r="D264" s="1370" t="str">
        <f t="shared" si="14"/>
        <v>mightyena</v>
      </c>
      <c r="E264" s="1370"/>
    </row>
    <row r="265" ht="23.25" customHeight="1">
      <c r="A265" s="1371">
        <v>263.0</v>
      </c>
      <c r="B265" s="1372" t="s">
        <v>163</v>
      </c>
      <c r="C265" s="1373"/>
      <c r="D265" s="1366" t="str">
        <f t="shared" si="14"/>
        <v>zigzagoon</v>
      </c>
      <c r="E265" s="1366"/>
    </row>
    <row r="266" ht="23.25" customHeight="1">
      <c r="A266" s="1367">
        <v>264.0</v>
      </c>
      <c r="B266" s="1368" t="s">
        <v>1439</v>
      </c>
      <c r="C266" s="1369"/>
      <c r="D266" s="1370" t="str">
        <f t="shared" si="14"/>
        <v>linoone</v>
      </c>
      <c r="E266" s="1370"/>
    </row>
    <row r="267" ht="23.25" customHeight="1">
      <c r="A267" s="1363">
        <v>265.0</v>
      </c>
      <c r="B267" s="1372" t="s">
        <v>552</v>
      </c>
      <c r="C267" s="1373"/>
      <c r="D267" s="1366" t="str">
        <f t="shared" si="14"/>
        <v>wurmple</v>
      </c>
      <c r="E267" s="1366"/>
    </row>
    <row r="268" ht="23.25" customHeight="1">
      <c r="A268" s="1367">
        <v>266.0</v>
      </c>
      <c r="B268" s="1368" t="s">
        <v>1440</v>
      </c>
      <c r="C268" s="1369"/>
      <c r="D268" s="1370" t="str">
        <f t="shared" si="14"/>
        <v>silcoon</v>
      </c>
      <c r="E268" s="1370"/>
    </row>
    <row r="269" ht="23.25" customHeight="1">
      <c r="A269" s="1371">
        <v>267.0</v>
      </c>
      <c r="B269" s="1372" t="s">
        <v>1441</v>
      </c>
      <c r="C269" s="1373"/>
      <c r="D269" s="1366" t="str">
        <f t="shared" si="14"/>
        <v>beautifly</v>
      </c>
      <c r="E269" s="1366"/>
    </row>
    <row r="270" ht="23.25" customHeight="1">
      <c r="A270" s="1374">
        <v>268.0</v>
      </c>
      <c r="B270" s="1368" t="s">
        <v>1442</v>
      </c>
      <c r="C270" s="1369"/>
      <c r="D270" s="1370" t="str">
        <f t="shared" si="14"/>
        <v>cascoon</v>
      </c>
      <c r="E270" s="1370"/>
    </row>
    <row r="271" ht="23.25" customHeight="1">
      <c r="A271" s="1371">
        <v>269.0</v>
      </c>
      <c r="B271" s="1372" t="s">
        <v>1443</v>
      </c>
      <c r="C271" s="1373"/>
      <c r="D271" s="1366" t="str">
        <f t="shared" si="14"/>
        <v>dustox</v>
      </c>
      <c r="E271" s="1366"/>
    </row>
    <row r="272" ht="23.25" customHeight="1">
      <c r="A272" s="1367">
        <v>270.0</v>
      </c>
      <c r="B272" s="1368" t="s">
        <v>640</v>
      </c>
      <c r="C272" s="1369"/>
      <c r="D272" s="1370" t="str">
        <f t="shared" si="14"/>
        <v>lotad</v>
      </c>
      <c r="E272" s="1370"/>
    </row>
    <row r="273" ht="23.25" customHeight="1">
      <c r="A273" s="1363">
        <v>271.0</v>
      </c>
      <c r="B273" s="1372" t="s">
        <v>1444</v>
      </c>
      <c r="C273" s="1373"/>
      <c r="D273" s="1366" t="str">
        <f t="shared" si="14"/>
        <v>lombre</v>
      </c>
      <c r="E273" s="1366"/>
    </row>
    <row r="274" ht="23.25" customHeight="1">
      <c r="A274" s="1367">
        <v>272.0</v>
      </c>
      <c r="B274" s="1368" t="s">
        <v>1445</v>
      </c>
      <c r="C274" s="1369"/>
      <c r="D274" s="1370" t="str">
        <f t="shared" si="14"/>
        <v>ludicolo</v>
      </c>
      <c r="E274" s="1370"/>
    </row>
    <row r="275" ht="23.25" customHeight="1">
      <c r="A275" s="1371">
        <v>273.0</v>
      </c>
      <c r="B275" s="1372" t="s">
        <v>627</v>
      </c>
      <c r="C275" s="1373"/>
      <c r="D275" s="1366" t="str">
        <f t="shared" si="14"/>
        <v>seedot</v>
      </c>
      <c r="E275" s="1366"/>
    </row>
    <row r="276" ht="23.25" customHeight="1">
      <c r="A276" s="1374">
        <v>274.0</v>
      </c>
      <c r="B276" s="1368" t="s">
        <v>1446</v>
      </c>
      <c r="C276" s="1369"/>
      <c r="D276" s="1370" t="str">
        <f t="shared" si="14"/>
        <v>nuzleaf</v>
      </c>
      <c r="E276" s="1370"/>
    </row>
    <row r="277" ht="23.25" customHeight="1">
      <c r="A277" s="1371">
        <v>275.0</v>
      </c>
      <c r="B277" s="1372" t="s">
        <v>577</v>
      </c>
      <c r="C277" s="1373"/>
      <c r="D277" s="1366" t="str">
        <f t="shared" si="14"/>
        <v>shiftry</v>
      </c>
      <c r="E277" s="1366"/>
    </row>
    <row r="278" ht="23.25" customHeight="1">
      <c r="A278" s="1367">
        <v>276.0</v>
      </c>
      <c r="B278" s="1368" t="s">
        <v>174</v>
      </c>
      <c r="C278" s="1369"/>
      <c r="D278" s="1370" t="str">
        <f t="shared" si="14"/>
        <v>taillow</v>
      </c>
      <c r="E278" s="1370"/>
    </row>
    <row r="279" ht="23.25" customHeight="1">
      <c r="A279" s="1363">
        <v>277.0</v>
      </c>
      <c r="B279" s="1372" t="s">
        <v>1447</v>
      </c>
      <c r="C279" s="1373"/>
      <c r="D279" s="1366" t="str">
        <f t="shared" si="14"/>
        <v>swellow</v>
      </c>
      <c r="E279" s="1366"/>
    </row>
    <row r="280" ht="23.25" customHeight="1">
      <c r="A280" s="1367">
        <v>278.0</v>
      </c>
      <c r="B280" s="1368" t="s">
        <v>387</v>
      </c>
      <c r="C280" s="1369"/>
      <c r="D280" s="1370" t="str">
        <f t="shared" si="14"/>
        <v>wingull</v>
      </c>
      <c r="E280" s="1370"/>
    </row>
    <row r="281" ht="23.25" customHeight="1">
      <c r="A281" s="1371">
        <v>279.0</v>
      </c>
      <c r="B281" s="1372" t="s">
        <v>128</v>
      </c>
      <c r="C281" s="1373"/>
      <c r="D281" s="1366" t="str">
        <f t="shared" si="14"/>
        <v>pelipper</v>
      </c>
      <c r="E281" s="1366"/>
    </row>
    <row r="282" ht="23.25" customHeight="1">
      <c r="A282" s="1374">
        <v>280.0</v>
      </c>
      <c r="B282" s="1368" t="s">
        <v>451</v>
      </c>
      <c r="C282" s="1369"/>
      <c r="D282" s="1370" t="str">
        <f t="shared" si="14"/>
        <v>ralts</v>
      </c>
      <c r="E282" s="1370"/>
    </row>
    <row r="283" ht="23.25" customHeight="1">
      <c r="A283" s="1371">
        <v>281.0</v>
      </c>
      <c r="B283" s="1372" t="s">
        <v>1448</v>
      </c>
      <c r="C283" s="1373"/>
      <c r="D283" s="1366" t="str">
        <f t="shared" si="14"/>
        <v>kirlia</v>
      </c>
      <c r="E283" s="1366"/>
    </row>
    <row r="284" ht="23.25" customHeight="1">
      <c r="A284" s="1367">
        <v>282.0</v>
      </c>
      <c r="B284" s="1368" t="s">
        <v>423</v>
      </c>
      <c r="C284" s="1369"/>
      <c r="D284" s="1370" t="str">
        <f t="shared" si="14"/>
        <v>gardevoir</v>
      </c>
      <c r="E284" s="1370"/>
    </row>
    <row r="285" ht="23.25" customHeight="1">
      <c r="A285" s="1363">
        <v>283.0</v>
      </c>
      <c r="B285" s="1372" t="s">
        <v>432</v>
      </c>
      <c r="C285" s="1373"/>
      <c r="D285" s="1366" t="str">
        <f t="shared" si="14"/>
        <v>surskit</v>
      </c>
      <c r="E285" s="1366"/>
    </row>
    <row r="286" ht="23.25" customHeight="1">
      <c r="A286" s="1367">
        <v>284.0</v>
      </c>
      <c r="B286" s="1368" t="s">
        <v>744</v>
      </c>
      <c r="C286" s="1369"/>
      <c r="D286" s="1370" t="str">
        <f t="shared" si="14"/>
        <v>masquerain</v>
      </c>
      <c r="E286" s="1370"/>
    </row>
    <row r="287" ht="23.25" customHeight="1">
      <c r="A287" s="1371">
        <v>285.0</v>
      </c>
      <c r="B287" s="1372" t="s">
        <v>356</v>
      </c>
      <c r="C287" s="1373"/>
      <c r="D287" s="1366" t="str">
        <f t="shared" si="14"/>
        <v>shroomish</v>
      </c>
      <c r="E287" s="1366"/>
    </row>
    <row r="288" ht="23.25" customHeight="1">
      <c r="A288" s="1374">
        <v>286.0</v>
      </c>
      <c r="B288" s="1368" t="s">
        <v>1145</v>
      </c>
      <c r="C288" s="1369"/>
      <c r="D288" s="1370" t="str">
        <f t="shared" si="14"/>
        <v>breloom</v>
      </c>
      <c r="E288" s="1370"/>
    </row>
    <row r="289" ht="23.25" customHeight="1">
      <c r="A289" s="1371">
        <v>287.0</v>
      </c>
      <c r="B289" s="1372" t="s">
        <v>390</v>
      </c>
      <c r="C289" s="1373"/>
      <c r="D289" s="1366" t="str">
        <f t="shared" si="14"/>
        <v>slakoth</v>
      </c>
      <c r="E289" s="1366"/>
    </row>
    <row r="290" ht="23.25" customHeight="1">
      <c r="A290" s="1367">
        <v>288.0</v>
      </c>
      <c r="B290" s="1368" t="s">
        <v>1449</v>
      </c>
      <c r="C290" s="1369"/>
      <c r="D290" s="1370" t="str">
        <f t="shared" si="14"/>
        <v>vigoroth</v>
      </c>
      <c r="E290" s="1370"/>
    </row>
    <row r="291" ht="23.25" customHeight="1">
      <c r="A291" s="1363">
        <v>289.0</v>
      </c>
      <c r="B291" s="1372" t="s">
        <v>1450</v>
      </c>
      <c r="C291" s="1373"/>
      <c r="D291" s="1366" t="str">
        <f t="shared" si="14"/>
        <v>slaking</v>
      </c>
      <c r="E291" s="1366"/>
    </row>
    <row r="292" ht="23.25" customHeight="1">
      <c r="A292" s="1367">
        <v>290.0</v>
      </c>
      <c r="B292" s="1368" t="s">
        <v>588</v>
      </c>
      <c r="C292" s="1369"/>
      <c r="D292" s="1370" t="str">
        <f t="shared" si="14"/>
        <v>nincada</v>
      </c>
      <c r="E292" s="1370"/>
    </row>
    <row r="293" ht="23.25" customHeight="1">
      <c r="A293" s="1371">
        <v>291.0</v>
      </c>
      <c r="B293" s="1372" t="s">
        <v>1451</v>
      </c>
      <c r="C293" s="1373"/>
      <c r="D293" s="1366" t="str">
        <f t="shared" si="14"/>
        <v>ninjask</v>
      </c>
      <c r="E293" s="1366"/>
    </row>
    <row r="294" ht="23.25" customHeight="1">
      <c r="A294" s="1374">
        <v>292.0</v>
      </c>
      <c r="B294" s="1368" t="s">
        <v>1452</v>
      </c>
      <c r="C294" s="1369"/>
      <c r="D294" s="1370" t="str">
        <f t="shared" si="14"/>
        <v>shedinja</v>
      </c>
      <c r="E294" s="1370"/>
    </row>
    <row r="295" ht="23.25" customHeight="1">
      <c r="A295" s="1371">
        <v>293.0</v>
      </c>
      <c r="B295" s="1372" t="s">
        <v>438</v>
      </c>
      <c r="C295" s="1373"/>
      <c r="D295" s="1366" t="str">
        <f t="shared" si="14"/>
        <v>whismur</v>
      </c>
      <c r="E295" s="1366"/>
    </row>
    <row r="296" ht="23.25" customHeight="1">
      <c r="A296" s="1367">
        <v>294.0</v>
      </c>
      <c r="B296" s="1368" t="s">
        <v>1453</v>
      </c>
      <c r="C296" s="1369"/>
      <c r="D296" s="1370" t="str">
        <f t="shared" si="14"/>
        <v>loudred</v>
      </c>
      <c r="E296" s="1370"/>
    </row>
    <row r="297" ht="23.25" customHeight="1">
      <c r="A297" s="1363">
        <v>295.0</v>
      </c>
      <c r="B297" s="1372" t="s">
        <v>1152</v>
      </c>
      <c r="C297" s="1373"/>
      <c r="D297" s="1366" t="str">
        <f t="shared" si="14"/>
        <v>exploud</v>
      </c>
      <c r="E297" s="1366"/>
    </row>
    <row r="298" ht="23.25" customHeight="1">
      <c r="A298" s="1367">
        <v>296.0</v>
      </c>
      <c r="B298" s="1368" t="s">
        <v>393</v>
      </c>
      <c r="C298" s="1369"/>
      <c r="D298" s="1370" t="str">
        <f t="shared" si="14"/>
        <v>makuhita</v>
      </c>
      <c r="E298" s="1370"/>
    </row>
    <row r="299" ht="23.25" customHeight="1">
      <c r="A299" s="1371">
        <v>297.0</v>
      </c>
      <c r="B299" s="1372" t="s">
        <v>1454</v>
      </c>
      <c r="C299" s="1373"/>
      <c r="D299" s="1366" t="str">
        <f t="shared" si="14"/>
        <v>hariyama</v>
      </c>
      <c r="E299" s="1366"/>
    </row>
    <row r="300" ht="23.25" customHeight="1">
      <c r="A300" s="1374">
        <v>298.0</v>
      </c>
      <c r="B300" s="1368" t="s">
        <v>1455</v>
      </c>
      <c r="C300" s="1369"/>
      <c r="D300" s="1370" t="str">
        <f t="shared" si="14"/>
        <v>azurill</v>
      </c>
      <c r="E300" s="1370"/>
    </row>
    <row r="301" ht="23.25" customHeight="1">
      <c r="A301" s="1371">
        <v>299.0</v>
      </c>
      <c r="B301" s="1372" t="s">
        <v>597</v>
      </c>
      <c r="C301" s="1373"/>
      <c r="D301" s="1366" t="str">
        <f t="shared" si="14"/>
        <v>nosepass</v>
      </c>
      <c r="E301" s="1366"/>
    </row>
    <row r="302" ht="23.25" customHeight="1">
      <c r="A302" s="1367">
        <v>300.0</v>
      </c>
      <c r="B302" s="1368" t="s">
        <v>366</v>
      </c>
      <c r="C302" s="1369"/>
      <c r="D302" s="1370" t="str">
        <f t="shared" si="14"/>
        <v>skitty</v>
      </c>
      <c r="E302" s="1370"/>
    </row>
    <row r="303" ht="23.25" customHeight="1">
      <c r="A303" s="1363">
        <v>301.0</v>
      </c>
      <c r="B303" s="1372" t="s">
        <v>1456</v>
      </c>
      <c r="C303" s="1373"/>
      <c r="D303" s="1366" t="str">
        <f t="shared" si="14"/>
        <v>delcatty</v>
      </c>
      <c r="E303" s="1366"/>
    </row>
    <row r="304" ht="23.25" customHeight="1">
      <c r="A304" s="1367">
        <v>302.0</v>
      </c>
      <c r="B304" s="1368" t="s">
        <v>441</v>
      </c>
      <c r="C304" s="1369"/>
      <c r="D304" s="1370" t="str">
        <f t="shared" si="14"/>
        <v>sableye</v>
      </c>
      <c r="E304" s="1370"/>
    </row>
    <row r="305" ht="23.25" customHeight="1">
      <c r="A305" s="1371">
        <v>303.0</v>
      </c>
      <c r="B305" s="1372" t="s">
        <v>302</v>
      </c>
      <c r="C305" s="1373"/>
      <c r="D305" s="1366" t="str">
        <f t="shared" si="14"/>
        <v>mawile</v>
      </c>
      <c r="E305" s="1366"/>
    </row>
    <row r="306" ht="23.25" customHeight="1">
      <c r="A306" s="1374">
        <v>304.0</v>
      </c>
      <c r="B306" s="1368" t="s">
        <v>180</v>
      </c>
      <c r="C306" s="1369"/>
      <c r="D306" s="1370" t="str">
        <f t="shared" si="14"/>
        <v>aron</v>
      </c>
      <c r="E306" s="1370"/>
    </row>
    <row r="307" ht="23.25" customHeight="1">
      <c r="A307" s="1371">
        <v>305.0</v>
      </c>
      <c r="B307" s="1372" t="s">
        <v>1457</v>
      </c>
      <c r="C307" s="1373"/>
      <c r="D307" s="1366" t="str">
        <f t="shared" si="14"/>
        <v>lairon</v>
      </c>
      <c r="E307" s="1366"/>
    </row>
    <row r="308" ht="23.25" customHeight="1">
      <c r="A308" s="1367">
        <v>306.0</v>
      </c>
      <c r="B308" s="1368" t="s">
        <v>576</v>
      </c>
      <c r="C308" s="1369"/>
      <c r="D308" s="1370" t="str">
        <f t="shared" si="14"/>
        <v>aggron</v>
      </c>
      <c r="E308" s="1370"/>
    </row>
    <row r="309" ht="23.25" customHeight="1">
      <c r="A309" s="1363">
        <v>307.0</v>
      </c>
      <c r="B309" s="1372" t="s">
        <v>305</v>
      </c>
      <c r="C309" s="1373"/>
      <c r="D309" s="1366" t="str">
        <f t="shared" si="14"/>
        <v>meditite</v>
      </c>
      <c r="E309" s="1366"/>
    </row>
    <row r="310" ht="23.25" customHeight="1">
      <c r="A310" s="1367">
        <v>308.0</v>
      </c>
      <c r="B310" s="1368" t="s">
        <v>255</v>
      </c>
      <c r="C310" s="1369"/>
      <c r="D310" s="1370" t="str">
        <f t="shared" si="14"/>
        <v>medicham</v>
      </c>
      <c r="E310" s="1370"/>
    </row>
    <row r="311" ht="23.25" customHeight="1">
      <c r="A311" s="1371">
        <v>309.0</v>
      </c>
      <c r="B311" s="1372" t="s">
        <v>556</v>
      </c>
      <c r="C311" s="1373"/>
      <c r="D311" s="1366" t="str">
        <f t="shared" si="14"/>
        <v>electrike</v>
      </c>
      <c r="E311" s="1366"/>
    </row>
    <row r="312" ht="23.25" customHeight="1">
      <c r="A312" s="1374">
        <v>310.0</v>
      </c>
      <c r="B312" s="1368" t="s">
        <v>571</v>
      </c>
      <c r="C312" s="1369"/>
      <c r="D312" s="1370" t="str">
        <f t="shared" si="14"/>
        <v>manectric</v>
      </c>
      <c r="E312" s="1370"/>
    </row>
    <row r="313" ht="23.25" customHeight="1">
      <c r="A313" s="1371">
        <v>311.0</v>
      </c>
      <c r="B313" s="1372" t="s">
        <v>321</v>
      </c>
      <c r="C313" s="1373"/>
      <c r="D313" s="1366" t="str">
        <f t="shared" si="14"/>
        <v>plusle</v>
      </c>
      <c r="E313" s="1366"/>
    </row>
    <row r="314" ht="23.25" customHeight="1">
      <c r="A314" s="1367">
        <v>312.0</v>
      </c>
      <c r="B314" s="1368" t="s">
        <v>596</v>
      </c>
      <c r="C314" s="1369"/>
      <c r="D314" s="1370" t="str">
        <f t="shared" si="14"/>
        <v>minun</v>
      </c>
      <c r="E314" s="1370"/>
    </row>
    <row r="315" ht="23.25" customHeight="1">
      <c r="A315" s="1363">
        <v>313.0</v>
      </c>
      <c r="B315" s="1372" t="s">
        <v>361</v>
      </c>
      <c r="C315" s="1373"/>
      <c r="D315" s="1366" t="str">
        <f t="shared" si="14"/>
        <v>volbeat</v>
      </c>
      <c r="E315" s="1366"/>
    </row>
    <row r="316" ht="23.25" customHeight="1">
      <c r="A316" s="1367">
        <v>314.0</v>
      </c>
      <c r="B316" s="1368" t="s">
        <v>606</v>
      </c>
      <c r="C316" s="1369"/>
      <c r="D316" s="1370" t="str">
        <f t="shared" si="14"/>
        <v>illumise</v>
      </c>
      <c r="E316" s="1370"/>
    </row>
    <row r="317" ht="23.25" customHeight="1">
      <c r="A317" s="1371">
        <v>315.0</v>
      </c>
      <c r="B317" s="1372" t="s">
        <v>246</v>
      </c>
      <c r="C317" s="1373"/>
      <c r="D317" s="1366" t="str">
        <f t="shared" si="14"/>
        <v>roselia</v>
      </c>
      <c r="E317" s="1366"/>
    </row>
    <row r="318" ht="23.25" customHeight="1">
      <c r="A318" s="1374">
        <v>316.0</v>
      </c>
      <c r="B318" s="1368" t="s">
        <v>232</v>
      </c>
      <c r="C318" s="1369"/>
      <c r="D318" s="1370" t="str">
        <f t="shared" si="14"/>
        <v>gulpin</v>
      </c>
      <c r="E318" s="1370"/>
    </row>
    <row r="319" ht="23.25" customHeight="1">
      <c r="A319" s="1371">
        <v>317.0</v>
      </c>
      <c r="B319" s="1372" t="s">
        <v>299</v>
      </c>
      <c r="C319" s="1373"/>
      <c r="D319" s="1366" t="str">
        <f t="shared" si="14"/>
        <v>swalot</v>
      </c>
      <c r="E319" s="1366"/>
    </row>
    <row r="320" ht="23.25" customHeight="1">
      <c r="A320" s="1367">
        <v>318.0</v>
      </c>
      <c r="B320" s="1368" t="s">
        <v>659</v>
      </c>
      <c r="C320" s="1369"/>
      <c r="D320" s="1370" t="str">
        <f t="shared" si="14"/>
        <v>carvanha</v>
      </c>
      <c r="E320" s="1370"/>
    </row>
    <row r="321" ht="23.25" customHeight="1">
      <c r="A321" s="1363">
        <v>319.0</v>
      </c>
      <c r="B321" s="1372" t="s">
        <v>703</v>
      </c>
      <c r="C321" s="1373"/>
      <c r="D321" s="1366" t="str">
        <f t="shared" si="14"/>
        <v>sharpedo</v>
      </c>
      <c r="E321" s="1366"/>
    </row>
    <row r="322" ht="23.25" customHeight="1">
      <c r="A322" s="1367">
        <v>320.0</v>
      </c>
      <c r="B322" s="1368" t="s">
        <v>687</v>
      </c>
      <c r="C322" s="1369"/>
      <c r="D322" s="1370" t="str">
        <f t="shared" si="14"/>
        <v>wailmer</v>
      </c>
      <c r="E322" s="1370"/>
    </row>
    <row r="323" ht="23.25" customHeight="1">
      <c r="A323" s="1371">
        <v>321.0</v>
      </c>
      <c r="B323" s="1372" t="s">
        <v>728</v>
      </c>
      <c r="C323" s="1373"/>
      <c r="D323" s="1366" t="str">
        <f t="shared" si="14"/>
        <v>wailord</v>
      </c>
      <c r="E323" s="1366"/>
    </row>
    <row r="324" ht="23.25" customHeight="1">
      <c r="A324" s="1374">
        <v>322.0</v>
      </c>
      <c r="B324" s="1368" t="s">
        <v>224</v>
      </c>
      <c r="C324" s="1369"/>
      <c r="D324" s="1370" t="str">
        <f t="shared" si="14"/>
        <v>numel</v>
      </c>
      <c r="E324" s="1370"/>
    </row>
    <row r="325" ht="23.25" customHeight="1">
      <c r="A325" s="1371">
        <v>323.0</v>
      </c>
      <c r="B325" s="1372" t="s">
        <v>1458</v>
      </c>
      <c r="C325" s="1373"/>
      <c r="D325" s="1366" t="str">
        <f t="shared" si="14"/>
        <v>camerupt</v>
      </c>
      <c r="E325" s="1366"/>
    </row>
    <row r="326" ht="23.25" customHeight="1">
      <c r="A326" s="1367">
        <v>324.0</v>
      </c>
      <c r="B326" s="1368" t="s">
        <v>153</v>
      </c>
      <c r="C326" s="1369"/>
      <c r="D326" s="1370" t="str">
        <f t="shared" si="14"/>
        <v>torkoal</v>
      </c>
      <c r="E326" s="1370"/>
    </row>
    <row r="327" ht="23.25" customHeight="1">
      <c r="A327" s="1363">
        <v>325.0</v>
      </c>
      <c r="B327" s="1372" t="s">
        <v>277</v>
      </c>
      <c r="C327" s="1373"/>
      <c r="D327" s="1366" t="str">
        <f t="shared" si="14"/>
        <v>spoink</v>
      </c>
      <c r="E327" s="1366"/>
    </row>
    <row r="328" ht="23.25" customHeight="1">
      <c r="A328" s="1367">
        <v>326.0</v>
      </c>
      <c r="B328" s="1368" t="s">
        <v>326</v>
      </c>
      <c r="C328" s="1369"/>
      <c r="D328" s="1370" t="str">
        <f t="shared" si="14"/>
        <v>grumpig</v>
      </c>
      <c r="E328" s="1370"/>
    </row>
    <row r="329" ht="23.25" customHeight="1">
      <c r="A329" s="1371">
        <v>327.0</v>
      </c>
      <c r="B329" s="1372" t="s">
        <v>754</v>
      </c>
      <c r="C329" s="1373"/>
      <c r="D329" s="1366" t="str">
        <f t="shared" si="14"/>
        <v>spinda</v>
      </c>
      <c r="E329" s="1366"/>
    </row>
    <row r="330" ht="23.25" customHeight="1">
      <c r="A330" s="1374">
        <v>328.0</v>
      </c>
      <c r="B330" s="1368" t="s">
        <v>391</v>
      </c>
      <c r="C330" s="1369"/>
      <c r="D330" s="1370" t="str">
        <f t="shared" si="14"/>
        <v>trapinch</v>
      </c>
      <c r="E330" s="1370"/>
    </row>
    <row r="331" ht="23.25" customHeight="1">
      <c r="A331" s="1371">
        <v>329.0</v>
      </c>
      <c r="B331" s="1372" t="s">
        <v>1459</v>
      </c>
      <c r="C331" s="1373"/>
      <c r="D331" s="1366" t="str">
        <f t="shared" si="14"/>
        <v>vibrava</v>
      </c>
      <c r="E331" s="1366"/>
    </row>
    <row r="332" ht="23.25" customHeight="1">
      <c r="A332" s="1367">
        <v>330.0</v>
      </c>
      <c r="B332" s="1368" t="s">
        <v>343</v>
      </c>
      <c r="C332" s="1369"/>
      <c r="D332" s="1370" t="s">
        <v>1460</v>
      </c>
      <c r="E332" s="1370"/>
    </row>
    <row r="333" ht="23.25" customHeight="1">
      <c r="A333" s="1363">
        <v>331.0</v>
      </c>
      <c r="B333" s="1372" t="s">
        <v>593</v>
      </c>
      <c r="C333" s="1373"/>
      <c r="D333" s="1366" t="str">
        <f t="shared" ref="D333:D334" si="15">LOWER(B333)</f>
        <v>cacnea</v>
      </c>
      <c r="E333" s="1366"/>
    </row>
    <row r="334" ht="23.25" customHeight="1">
      <c r="A334" s="1367">
        <v>332.0</v>
      </c>
      <c r="B334" s="1368" t="s">
        <v>1461</v>
      </c>
      <c r="C334" s="1369"/>
      <c r="D334" s="1370" t="str">
        <f t="shared" si="15"/>
        <v>cacturne</v>
      </c>
      <c r="E334" s="1370"/>
    </row>
    <row r="335" ht="23.25" customHeight="1">
      <c r="A335" s="1371">
        <v>333.0</v>
      </c>
      <c r="B335" s="1372" t="s">
        <v>98</v>
      </c>
      <c r="C335" s="1373"/>
      <c r="D335" s="1366" t="s">
        <v>1462</v>
      </c>
      <c r="E335" s="1366"/>
    </row>
    <row r="336" ht="23.25" customHeight="1">
      <c r="A336" s="1374">
        <v>334.0</v>
      </c>
      <c r="B336" s="1368" t="s">
        <v>327</v>
      </c>
      <c r="C336" s="1369"/>
      <c r="D336" s="1370" t="s">
        <v>1463</v>
      </c>
      <c r="E336" s="1370"/>
    </row>
    <row r="337" ht="23.25" customHeight="1">
      <c r="A337" s="1371">
        <v>335.0</v>
      </c>
      <c r="B337" s="1372" t="s">
        <v>500</v>
      </c>
      <c r="C337" s="1373"/>
      <c r="D337" s="1366" t="s">
        <v>1464</v>
      </c>
      <c r="E337" s="1366"/>
    </row>
    <row r="338" ht="23.25" customHeight="1">
      <c r="A338" s="1367">
        <v>336.0</v>
      </c>
      <c r="B338" s="1368" t="s">
        <v>198</v>
      </c>
      <c r="C338" s="1369"/>
      <c r="D338" s="1370" t="s">
        <v>1465</v>
      </c>
      <c r="E338" s="1370"/>
    </row>
    <row r="339" ht="23.25" customHeight="1">
      <c r="A339" s="1363">
        <v>337.0</v>
      </c>
      <c r="B339" s="1372" t="s">
        <v>585</v>
      </c>
      <c r="C339" s="1373"/>
      <c r="D339" s="1366" t="s">
        <v>1466</v>
      </c>
      <c r="E339" s="1366"/>
    </row>
    <row r="340" ht="23.25" customHeight="1">
      <c r="A340" s="1367">
        <v>338.0</v>
      </c>
      <c r="B340" s="1368" t="s">
        <v>290</v>
      </c>
      <c r="C340" s="1369"/>
      <c r="D340" s="1370" t="s">
        <v>1467</v>
      </c>
      <c r="E340" s="1370"/>
    </row>
    <row r="341" ht="23.25" customHeight="1">
      <c r="A341" s="1371">
        <v>339.0</v>
      </c>
      <c r="B341" s="1372" t="s">
        <v>684</v>
      </c>
      <c r="C341" s="1373"/>
      <c r="D341" s="1366" t="s">
        <v>1468</v>
      </c>
      <c r="E341" s="1366"/>
    </row>
    <row r="342" ht="23.25" customHeight="1">
      <c r="A342" s="1374">
        <v>340.0</v>
      </c>
      <c r="B342" s="1368" t="s">
        <v>713</v>
      </c>
      <c r="C342" s="1369"/>
      <c r="D342" s="1370" t="s">
        <v>1469</v>
      </c>
      <c r="E342" s="1370"/>
    </row>
    <row r="343" ht="23.25" customHeight="1">
      <c r="A343" s="1371">
        <v>341.0</v>
      </c>
      <c r="B343" s="1372" t="s">
        <v>670</v>
      </c>
      <c r="C343" s="1373"/>
      <c r="D343" s="1366" t="s">
        <v>1470</v>
      </c>
      <c r="E343" s="1366"/>
    </row>
    <row r="344" ht="23.25" customHeight="1">
      <c r="A344" s="1367">
        <v>342.0</v>
      </c>
      <c r="B344" s="1368" t="s">
        <v>333</v>
      </c>
      <c r="C344" s="1369"/>
      <c r="D344" s="1370" t="str">
        <f t="shared" ref="D344:D488" si="16">LOWER(B344)</f>
        <v>crawdaunt</v>
      </c>
      <c r="E344" s="1370"/>
    </row>
    <row r="345" ht="23.25" customHeight="1">
      <c r="A345" s="1363">
        <v>343.0</v>
      </c>
      <c r="B345" s="1372" t="s">
        <v>286</v>
      </c>
      <c r="C345" s="1373"/>
      <c r="D345" s="1366" t="str">
        <f t="shared" si="16"/>
        <v>baltoy</v>
      </c>
      <c r="E345" s="1366"/>
    </row>
    <row r="346" ht="23.25" customHeight="1">
      <c r="A346" s="1367">
        <v>344.0</v>
      </c>
      <c r="B346" s="1368" t="s">
        <v>1471</v>
      </c>
      <c r="C346" s="1369"/>
      <c r="D346" s="1370" t="str">
        <f t="shared" si="16"/>
        <v>claydol</v>
      </c>
      <c r="E346" s="1370"/>
    </row>
    <row r="347" ht="23.25" customHeight="1">
      <c r="A347" s="1371">
        <v>345.0</v>
      </c>
      <c r="B347" s="1372" t="s">
        <v>802</v>
      </c>
      <c r="C347" s="1373"/>
      <c r="D347" s="1366" t="str">
        <f t="shared" si="16"/>
        <v>lileep</v>
      </c>
      <c r="E347" s="1366"/>
    </row>
    <row r="348" ht="23.25" customHeight="1">
      <c r="A348" s="1374">
        <v>346.0</v>
      </c>
      <c r="B348" s="1368" t="s">
        <v>1472</v>
      </c>
      <c r="C348" s="1369"/>
      <c r="D348" s="1370" t="str">
        <f t="shared" si="16"/>
        <v>cradily</v>
      </c>
      <c r="E348" s="1370"/>
    </row>
    <row r="349" ht="23.25" customHeight="1">
      <c r="A349" s="1371">
        <v>347.0</v>
      </c>
      <c r="B349" s="1372" t="s">
        <v>804</v>
      </c>
      <c r="C349" s="1373"/>
      <c r="D349" s="1366" t="str">
        <f t="shared" si="16"/>
        <v>anorith</v>
      </c>
      <c r="E349" s="1366"/>
    </row>
    <row r="350" ht="23.25" customHeight="1">
      <c r="A350" s="1367">
        <v>348.0</v>
      </c>
      <c r="B350" s="1368" t="s">
        <v>1473</v>
      </c>
      <c r="C350" s="1369"/>
      <c r="D350" s="1370" t="str">
        <f t="shared" si="16"/>
        <v>armaldo</v>
      </c>
      <c r="E350" s="1370"/>
    </row>
    <row r="351" ht="23.25" customHeight="1">
      <c r="A351" s="1363">
        <v>349.0</v>
      </c>
      <c r="B351" s="1372" t="s">
        <v>667</v>
      </c>
      <c r="C351" s="1373"/>
      <c r="D351" s="1366" t="str">
        <f t="shared" si="16"/>
        <v>feebas</v>
      </c>
      <c r="E351" s="1366"/>
    </row>
    <row r="352" ht="23.25" customHeight="1">
      <c r="A352" s="1367">
        <v>350.0</v>
      </c>
      <c r="B352" s="1368" t="s">
        <v>749</v>
      </c>
      <c r="C352" s="1369"/>
      <c r="D352" s="1370" t="str">
        <f t="shared" si="16"/>
        <v>milotic</v>
      </c>
      <c r="E352" s="1370"/>
    </row>
    <row r="353" ht="23.25" customHeight="1">
      <c r="A353" s="1371">
        <v>351.0</v>
      </c>
      <c r="B353" s="1372" t="s">
        <v>759</v>
      </c>
      <c r="C353" s="1373"/>
      <c r="D353" s="1366" t="str">
        <f t="shared" si="16"/>
        <v>castform</v>
      </c>
      <c r="E353" s="1366"/>
    </row>
    <row r="354" ht="23.25" customHeight="1">
      <c r="A354" s="1374">
        <v>352.0</v>
      </c>
      <c r="B354" s="1368" t="s">
        <v>753</v>
      </c>
      <c r="C354" s="1369"/>
      <c r="D354" s="1370" t="str">
        <f t="shared" si="16"/>
        <v>kecleon</v>
      </c>
      <c r="E354" s="1370"/>
    </row>
    <row r="355" ht="23.25" customHeight="1">
      <c r="A355" s="1371">
        <v>353.0</v>
      </c>
      <c r="B355" s="1372" t="s">
        <v>449</v>
      </c>
      <c r="C355" s="1373"/>
      <c r="D355" s="1366" t="str">
        <f t="shared" si="16"/>
        <v>shuppet</v>
      </c>
      <c r="E355" s="1366"/>
    </row>
    <row r="356" ht="23.25" customHeight="1">
      <c r="A356" s="1367">
        <v>354.0</v>
      </c>
      <c r="B356" s="1368" t="s">
        <v>469</v>
      </c>
      <c r="C356" s="1369"/>
      <c r="D356" s="1370" t="str">
        <f t="shared" si="16"/>
        <v>banette</v>
      </c>
      <c r="E356" s="1370"/>
    </row>
    <row r="357" ht="23.25" customHeight="1">
      <c r="A357" s="1363">
        <v>355.0</v>
      </c>
      <c r="B357" s="1372" t="s">
        <v>1474</v>
      </c>
      <c r="C357" s="1373"/>
      <c r="D357" s="1366" t="str">
        <f t="shared" si="16"/>
        <v>duskull</v>
      </c>
      <c r="E357" s="1366"/>
    </row>
    <row r="358" ht="23.25" customHeight="1">
      <c r="A358" s="1367">
        <v>356.0</v>
      </c>
      <c r="B358" s="1368" t="s">
        <v>241</v>
      </c>
      <c r="C358" s="1369"/>
      <c r="D358" s="1370" t="str">
        <f t="shared" si="16"/>
        <v>dusclops</v>
      </c>
      <c r="E358" s="1370"/>
    </row>
    <row r="359" ht="23.25" customHeight="1">
      <c r="A359" s="1371">
        <v>357.0</v>
      </c>
      <c r="B359" s="1372" t="s">
        <v>455</v>
      </c>
      <c r="C359" s="1373"/>
      <c r="D359" s="1366" t="str">
        <f t="shared" si="16"/>
        <v>tropius</v>
      </c>
      <c r="E359" s="1366"/>
    </row>
    <row r="360" ht="23.25" customHeight="1">
      <c r="A360" s="1374">
        <v>358.0</v>
      </c>
      <c r="B360" s="1368" t="s">
        <v>518</v>
      </c>
      <c r="C360" s="1369"/>
      <c r="D360" s="1370" t="str">
        <f t="shared" si="16"/>
        <v>chimecho</v>
      </c>
      <c r="E360" s="1370"/>
    </row>
    <row r="361" ht="23.25" customHeight="1">
      <c r="A361" s="1371">
        <v>359.0</v>
      </c>
      <c r="B361" s="1372" t="s">
        <v>149</v>
      </c>
      <c r="C361" s="1373"/>
      <c r="D361" s="1366" t="str">
        <f t="shared" si="16"/>
        <v>absol</v>
      </c>
      <c r="E361" s="1366"/>
    </row>
    <row r="362" ht="23.25" customHeight="1">
      <c r="A362" s="1367">
        <v>360.0</v>
      </c>
      <c r="B362" s="1368" t="s">
        <v>1475</v>
      </c>
      <c r="C362" s="1369"/>
      <c r="D362" s="1370" t="str">
        <f t="shared" si="16"/>
        <v>wynaut</v>
      </c>
      <c r="E362" s="1370"/>
    </row>
    <row r="363" ht="23.25" customHeight="1">
      <c r="A363" s="1363">
        <v>361.0</v>
      </c>
      <c r="B363" s="1372" t="s">
        <v>193</v>
      </c>
      <c r="C363" s="1373"/>
      <c r="D363" s="1366" t="str">
        <f t="shared" si="16"/>
        <v>snorunt</v>
      </c>
      <c r="E363" s="1366"/>
    </row>
    <row r="364" ht="23.25" customHeight="1">
      <c r="A364" s="1367">
        <v>362.0</v>
      </c>
      <c r="B364" s="1368" t="s">
        <v>295</v>
      </c>
      <c r="C364" s="1369"/>
      <c r="D364" s="1370" t="str">
        <f t="shared" si="16"/>
        <v>glalie</v>
      </c>
      <c r="E364" s="1370"/>
    </row>
    <row r="365" ht="23.25" customHeight="1">
      <c r="A365" s="1371">
        <v>363.0</v>
      </c>
      <c r="B365" s="1372" t="s">
        <v>664</v>
      </c>
      <c r="C365" s="1373"/>
      <c r="D365" s="1366" t="str">
        <f t="shared" si="16"/>
        <v>spheal</v>
      </c>
      <c r="E365" s="1366"/>
    </row>
    <row r="366" ht="23.25" customHeight="1">
      <c r="A366" s="1374">
        <v>364.0</v>
      </c>
      <c r="B366" s="1368" t="s">
        <v>699</v>
      </c>
      <c r="C366" s="1369"/>
      <c r="D366" s="1370" t="str">
        <f t="shared" si="16"/>
        <v>sealeo</v>
      </c>
      <c r="E366" s="1370"/>
    </row>
    <row r="367" ht="23.25" customHeight="1">
      <c r="A367" s="1371">
        <v>365.0</v>
      </c>
      <c r="B367" s="1364" t="s">
        <v>245</v>
      </c>
      <c r="C367" s="1373"/>
      <c r="D367" s="1366" t="str">
        <f t="shared" si="16"/>
        <v>walrein</v>
      </c>
      <c r="E367" s="1366"/>
    </row>
    <row r="368" ht="23.25" customHeight="1">
      <c r="A368" s="1367">
        <v>366.0</v>
      </c>
      <c r="B368" s="1368" t="s">
        <v>666</v>
      </c>
      <c r="C368" s="1369"/>
      <c r="D368" s="1370" t="str">
        <f t="shared" si="16"/>
        <v>clamperl</v>
      </c>
      <c r="E368" s="1370"/>
    </row>
    <row r="369" ht="23.25" customHeight="1">
      <c r="A369" s="1363">
        <v>367.0</v>
      </c>
      <c r="B369" s="1372" t="s">
        <v>722</v>
      </c>
      <c r="C369" s="1373"/>
      <c r="D369" s="1366" t="str">
        <f t="shared" si="16"/>
        <v>huntail</v>
      </c>
      <c r="E369" s="1366"/>
    </row>
    <row r="370" ht="23.25" customHeight="1">
      <c r="A370" s="1367">
        <v>368.0</v>
      </c>
      <c r="B370" s="1368" t="s">
        <v>726</v>
      </c>
      <c r="C370" s="1369"/>
      <c r="D370" s="1370" t="str">
        <f t="shared" si="16"/>
        <v>gorebyss</v>
      </c>
      <c r="E370" s="1370"/>
    </row>
    <row r="371" ht="23.25" customHeight="1">
      <c r="A371" s="1371">
        <v>369.0</v>
      </c>
      <c r="B371" s="1372" t="s">
        <v>707</v>
      </c>
      <c r="C371" s="1373"/>
      <c r="D371" s="1366" t="str">
        <f t="shared" si="16"/>
        <v>relicanth</v>
      </c>
      <c r="E371" s="1366"/>
    </row>
    <row r="372" ht="23.25" customHeight="1">
      <c r="A372" s="1374">
        <v>370.0</v>
      </c>
      <c r="B372" s="1368" t="s">
        <v>710</v>
      </c>
      <c r="C372" s="1369"/>
      <c r="D372" s="1370" t="str">
        <f t="shared" si="16"/>
        <v>luvdisc</v>
      </c>
      <c r="E372" s="1370"/>
    </row>
    <row r="373" ht="23.25" customHeight="1">
      <c r="A373" s="1371">
        <v>371.0</v>
      </c>
      <c r="B373" s="1372" t="s">
        <v>1238</v>
      </c>
      <c r="C373" s="1373"/>
      <c r="D373" s="1366" t="str">
        <f t="shared" si="16"/>
        <v>bagon</v>
      </c>
      <c r="E373" s="1366"/>
    </row>
    <row r="374" ht="23.25" customHeight="1">
      <c r="A374" s="1367">
        <v>372.0</v>
      </c>
      <c r="B374" s="1368" t="s">
        <v>1476</v>
      </c>
      <c r="C374" s="1369"/>
      <c r="D374" s="1370" t="str">
        <f t="shared" si="16"/>
        <v>shelgon</v>
      </c>
      <c r="E374" s="1370"/>
    </row>
    <row r="375" ht="23.25" customHeight="1">
      <c r="A375" s="1363">
        <v>373.0</v>
      </c>
      <c r="B375" s="1372" t="s">
        <v>380</v>
      </c>
      <c r="C375" s="1373"/>
      <c r="D375" s="1366" t="str">
        <f t="shared" si="16"/>
        <v>salamence</v>
      </c>
      <c r="E375" s="1366"/>
    </row>
    <row r="376" ht="23.25" customHeight="1">
      <c r="A376" s="1367">
        <v>374.0</v>
      </c>
      <c r="B376" s="1368" t="s">
        <v>1235</v>
      </c>
      <c r="C376" s="1369"/>
      <c r="D376" s="1370" t="str">
        <f t="shared" si="16"/>
        <v>beldum</v>
      </c>
      <c r="E376" s="1370"/>
    </row>
    <row r="377" ht="23.25" customHeight="1">
      <c r="A377" s="1371">
        <v>375.0</v>
      </c>
      <c r="B377" s="1372" t="s">
        <v>1477</v>
      </c>
      <c r="C377" s="1373"/>
      <c r="D377" s="1366" t="str">
        <f t="shared" si="16"/>
        <v>metang</v>
      </c>
      <c r="E377" s="1366"/>
    </row>
    <row r="378" ht="23.25" customHeight="1">
      <c r="A378" s="1374">
        <v>376.0</v>
      </c>
      <c r="B378" s="1368" t="s">
        <v>203</v>
      </c>
      <c r="C378" s="1369"/>
      <c r="D378" s="1370" t="str">
        <f t="shared" si="16"/>
        <v>metagross</v>
      </c>
      <c r="E378" s="1370"/>
    </row>
    <row r="379" ht="23.25" customHeight="1">
      <c r="A379" s="1371">
        <v>377.0</v>
      </c>
      <c r="B379" s="1372" t="s">
        <v>838</v>
      </c>
      <c r="C379" s="1373"/>
      <c r="D379" s="1366" t="str">
        <f t="shared" si="16"/>
        <v>regirock</v>
      </c>
      <c r="E379" s="1366"/>
    </row>
    <row r="380" ht="23.25" customHeight="1">
      <c r="A380" s="1367">
        <v>378.0</v>
      </c>
      <c r="B380" s="1368" t="s">
        <v>840</v>
      </c>
      <c r="C380" s="1369"/>
      <c r="D380" s="1370" t="str">
        <f t="shared" si="16"/>
        <v>regice</v>
      </c>
      <c r="E380" s="1370"/>
    </row>
    <row r="381" ht="23.25" customHeight="1">
      <c r="A381" s="1363">
        <v>379.0</v>
      </c>
      <c r="B381" s="1372" t="s">
        <v>841</v>
      </c>
      <c r="C381" s="1373"/>
      <c r="D381" s="1366" t="str">
        <f t="shared" si="16"/>
        <v>registeel</v>
      </c>
      <c r="E381" s="1366"/>
    </row>
    <row r="382" ht="23.25" customHeight="1">
      <c r="A382" s="1367">
        <v>380.0</v>
      </c>
      <c r="B382" s="1368" t="s">
        <v>842</v>
      </c>
      <c r="C382" s="1369"/>
      <c r="D382" s="1370" t="str">
        <f t="shared" si="16"/>
        <v>latias</v>
      </c>
      <c r="E382" s="1370"/>
    </row>
    <row r="383" ht="23.25" customHeight="1">
      <c r="A383" s="1371">
        <v>381.0</v>
      </c>
      <c r="B383" s="1372" t="s">
        <v>844</v>
      </c>
      <c r="C383" s="1373"/>
      <c r="D383" s="1366" t="str">
        <f t="shared" si="16"/>
        <v>latios</v>
      </c>
      <c r="E383" s="1366"/>
    </row>
    <row r="384" ht="23.25" customHeight="1">
      <c r="A384" s="1374">
        <v>382.0</v>
      </c>
      <c r="B384" s="1368" t="s">
        <v>845</v>
      </c>
      <c r="C384" s="1369"/>
      <c r="D384" s="1370" t="str">
        <f t="shared" si="16"/>
        <v>kyogre</v>
      </c>
      <c r="E384" s="1370"/>
    </row>
    <row r="385" ht="23.25" customHeight="1">
      <c r="A385" s="1371">
        <v>383.0</v>
      </c>
      <c r="B385" s="1372" t="s">
        <v>847</v>
      </c>
      <c r="C385" s="1373"/>
      <c r="D385" s="1366" t="str">
        <f t="shared" si="16"/>
        <v>groudon</v>
      </c>
      <c r="E385" s="1366"/>
    </row>
    <row r="386" ht="23.25" customHeight="1">
      <c r="A386" s="1367">
        <v>384.0</v>
      </c>
      <c r="B386" s="1368" t="s">
        <v>848</v>
      </c>
      <c r="C386" s="1369"/>
      <c r="D386" s="1370" t="str">
        <f t="shared" si="16"/>
        <v>rayquaza</v>
      </c>
      <c r="E386" s="1370"/>
    </row>
    <row r="387" ht="23.25" customHeight="1">
      <c r="A387" s="1363">
        <v>385.0</v>
      </c>
      <c r="B387" s="1372" t="s">
        <v>849</v>
      </c>
      <c r="C387" s="1373"/>
      <c r="D387" s="1366" t="str">
        <f t="shared" si="16"/>
        <v>jirachi</v>
      </c>
      <c r="E387" s="1366"/>
    </row>
    <row r="388" ht="23.25" customHeight="1">
      <c r="A388" s="1367">
        <v>386.0</v>
      </c>
      <c r="B388" s="1368" t="s">
        <v>851</v>
      </c>
      <c r="C388" s="1369"/>
      <c r="D388" s="1370" t="str">
        <f t="shared" si="16"/>
        <v>deoxys</v>
      </c>
      <c r="E388" s="1370"/>
    </row>
    <row r="389" ht="23.25" customHeight="1">
      <c r="A389" s="1371">
        <v>387.0</v>
      </c>
      <c r="B389" s="1372" t="s">
        <v>1203</v>
      </c>
      <c r="C389" s="1373"/>
      <c r="D389" s="1366" t="str">
        <f t="shared" si="16"/>
        <v>turtwig</v>
      </c>
      <c r="E389" s="1366"/>
    </row>
    <row r="390" ht="23.25" customHeight="1">
      <c r="A390" s="1374">
        <v>388.0</v>
      </c>
      <c r="B390" s="1368" t="s">
        <v>1478</v>
      </c>
      <c r="C390" s="1369"/>
      <c r="D390" s="1370" t="str">
        <f t="shared" si="16"/>
        <v>grotle</v>
      </c>
      <c r="E390" s="1370"/>
    </row>
    <row r="391" ht="23.25" customHeight="1">
      <c r="A391" s="1371">
        <v>389.0</v>
      </c>
      <c r="B391" s="1372" t="s">
        <v>1479</v>
      </c>
      <c r="C391" s="1373"/>
      <c r="D391" s="1366" t="str">
        <f t="shared" si="16"/>
        <v>torterra</v>
      </c>
      <c r="E391" s="1366"/>
    </row>
    <row r="392" ht="23.25" customHeight="1">
      <c r="A392" s="1367">
        <v>390.0</v>
      </c>
      <c r="B392" s="1368" t="s">
        <v>1205</v>
      </c>
      <c r="C392" s="1369"/>
      <c r="D392" s="1370" t="str">
        <f t="shared" si="16"/>
        <v>chimchar</v>
      </c>
      <c r="E392" s="1370"/>
    </row>
    <row r="393" ht="23.25" customHeight="1">
      <c r="A393" s="1363">
        <v>391.0</v>
      </c>
      <c r="B393" s="1372" t="s">
        <v>1480</v>
      </c>
      <c r="C393" s="1373"/>
      <c r="D393" s="1366" t="str">
        <f t="shared" si="16"/>
        <v>monferno</v>
      </c>
      <c r="E393" s="1366"/>
    </row>
    <row r="394" ht="23.25" customHeight="1">
      <c r="A394" s="1367">
        <v>392.0</v>
      </c>
      <c r="B394" s="1368" t="s">
        <v>575</v>
      </c>
      <c r="C394" s="1369"/>
      <c r="D394" s="1370" t="str">
        <f t="shared" si="16"/>
        <v>infernape</v>
      </c>
      <c r="E394" s="1370"/>
    </row>
    <row r="395" ht="23.25" customHeight="1">
      <c r="A395" s="1371">
        <v>393.0</v>
      </c>
      <c r="B395" s="1372" t="s">
        <v>1204</v>
      </c>
      <c r="C395" s="1373"/>
      <c r="D395" s="1366" t="str">
        <f t="shared" si="16"/>
        <v>piplup</v>
      </c>
      <c r="E395" s="1366"/>
    </row>
    <row r="396" ht="23.25" customHeight="1">
      <c r="A396" s="1374">
        <v>394.0</v>
      </c>
      <c r="B396" s="1368" t="s">
        <v>1481</v>
      </c>
      <c r="C396" s="1369"/>
      <c r="D396" s="1370" t="str">
        <f t="shared" si="16"/>
        <v>prinplup</v>
      </c>
      <c r="E396" s="1370"/>
    </row>
    <row r="397" ht="23.25" customHeight="1">
      <c r="A397" s="1371">
        <v>395.0</v>
      </c>
      <c r="B397" s="1372" t="s">
        <v>419</v>
      </c>
      <c r="C397" s="1373"/>
      <c r="D397" s="1366" t="str">
        <f t="shared" si="16"/>
        <v>empoleon</v>
      </c>
      <c r="E397" s="1366"/>
    </row>
    <row r="398" ht="23.25" customHeight="1">
      <c r="A398" s="1367">
        <v>396.0</v>
      </c>
      <c r="B398" s="1368" t="s">
        <v>85</v>
      </c>
      <c r="C398" s="1369"/>
      <c r="D398" s="1370" t="str">
        <f t="shared" si="16"/>
        <v>starly</v>
      </c>
      <c r="E398" s="1370"/>
    </row>
    <row r="399" ht="23.25" customHeight="1">
      <c r="A399" s="1363">
        <v>397.0</v>
      </c>
      <c r="B399" s="1372" t="s">
        <v>1482</v>
      </c>
      <c r="C399" s="1373"/>
      <c r="D399" s="1366" t="str">
        <f t="shared" si="16"/>
        <v>staravia</v>
      </c>
      <c r="E399" s="1366"/>
    </row>
    <row r="400" ht="23.25" customHeight="1">
      <c r="A400" s="1367">
        <v>398.0</v>
      </c>
      <c r="B400" s="1368" t="s">
        <v>515</v>
      </c>
      <c r="C400" s="1369"/>
      <c r="D400" s="1370" t="str">
        <f t="shared" si="16"/>
        <v>staraptor</v>
      </c>
      <c r="E400" s="1370"/>
    </row>
    <row r="401" ht="23.25" customHeight="1">
      <c r="A401" s="1371">
        <v>399.0</v>
      </c>
      <c r="B401" s="1372" t="s">
        <v>83</v>
      </c>
      <c r="C401" s="1373"/>
      <c r="D401" s="1366" t="str">
        <f t="shared" si="16"/>
        <v>bidoof</v>
      </c>
      <c r="E401" s="1366"/>
    </row>
    <row r="402" ht="23.25" customHeight="1">
      <c r="A402" s="1374">
        <v>400.0</v>
      </c>
      <c r="B402" s="1368" t="s">
        <v>1483</v>
      </c>
      <c r="C402" s="1369"/>
      <c r="D402" s="1370" t="str">
        <f t="shared" si="16"/>
        <v>bibarel</v>
      </c>
      <c r="E402" s="1370"/>
    </row>
    <row r="403" ht="23.25" customHeight="1">
      <c r="A403" s="1371">
        <v>401.0</v>
      </c>
      <c r="B403" s="1372" t="s">
        <v>355</v>
      </c>
      <c r="C403" s="1373"/>
      <c r="D403" s="1366" t="str">
        <f t="shared" si="16"/>
        <v>kricketot</v>
      </c>
      <c r="E403" s="1366"/>
    </row>
    <row r="404" ht="23.25" customHeight="1">
      <c r="A404" s="1367">
        <v>402.0</v>
      </c>
      <c r="B404" s="1375" t="s">
        <v>1484</v>
      </c>
      <c r="C404" s="1369"/>
      <c r="D404" s="1370" t="str">
        <f t="shared" si="16"/>
        <v>kricketune</v>
      </c>
      <c r="E404" s="1370"/>
    </row>
    <row r="405" ht="23.25" customHeight="1">
      <c r="A405" s="1363">
        <v>403.0</v>
      </c>
      <c r="B405" s="1372" t="s">
        <v>84</v>
      </c>
      <c r="C405" s="1373"/>
      <c r="D405" s="1366" t="str">
        <f t="shared" si="16"/>
        <v>shinx</v>
      </c>
      <c r="E405" s="1366"/>
    </row>
    <row r="406" ht="23.25" customHeight="1">
      <c r="A406" s="1367">
        <v>404.0</v>
      </c>
      <c r="B406" s="1368" t="s">
        <v>1485</v>
      </c>
      <c r="C406" s="1369"/>
      <c r="D406" s="1370" t="str">
        <f t="shared" si="16"/>
        <v>luxio</v>
      </c>
      <c r="E406" s="1370"/>
    </row>
    <row r="407" ht="23.25" customHeight="1">
      <c r="A407" s="1371">
        <v>405.0</v>
      </c>
      <c r="B407" s="1372" t="s">
        <v>1486</v>
      </c>
      <c r="C407" s="1373"/>
      <c r="D407" s="1366" t="str">
        <f t="shared" si="16"/>
        <v>luxray</v>
      </c>
      <c r="E407" s="1366"/>
    </row>
    <row r="408" ht="23.25" customHeight="1">
      <c r="A408" s="1374">
        <v>406.0</v>
      </c>
      <c r="B408" s="1368" t="s">
        <v>165</v>
      </c>
      <c r="C408" s="1369"/>
      <c r="D408" s="1370" t="str">
        <f t="shared" si="16"/>
        <v>budew</v>
      </c>
      <c r="E408" s="1370"/>
    </row>
    <row r="409" ht="23.25" customHeight="1">
      <c r="A409" s="1371">
        <v>407.0</v>
      </c>
      <c r="B409" s="1372" t="s">
        <v>479</v>
      </c>
      <c r="C409" s="1373"/>
      <c r="D409" s="1366" t="str">
        <f t="shared" si="16"/>
        <v>roserade</v>
      </c>
      <c r="E409" s="1366"/>
    </row>
    <row r="410" ht="23.25" customHeight="1">
      <c r="A410" s="1367">
        <v>408.0</v>
      </c>
      <c r="B410" s="1368" t="s">
        <v>312</v>
      </c>
      <c r="C410" s="1369"/>
      <c r="D410" s="1370" t="str">
        <f t="shared" si="16"/>
        <v>cranidos</v>
      </c>
      <c r="E410" s="1370"/>
    </row>
    <row r="411" ht="23.25" customHeight="1">
      <c r="A411" s="1363">
        <v>409.0</v>
      </c>
      <c r="B411" s="1372" t="s">
        <v>1487</v>
      </c>
      <c r="C411" s="1373"/>
      <c r="D411" s="1366" t="str">
        <f t="shared" si="16"/>
        <v>rampardos</v>
      </c>
      <c r="E411" s="1366"/>
    </row>
    <row r="412" ht="23.25" customHeight="1">
      <c r="A412" s="1367">
        <v>410.0</v>
      </c>
      <c r="B412" s="1368" t="s">
        <v>590</v>
      </c>
      <c r="C412" s="1369"/>
      <c r="D412" s="1370" t="str">
        <f t="shared" si="16"/>
        <v>shieldon</v>
      </c>
      <c r="E412" s="1370"/>
    </row>
    <row r="413" ht="23.25" customHeight="1">
      <c r="A413" s="1371">
        <v>411.0</v>
      </c>
      <c r="B413" s="1372" t="s">
        <v>1488</v>
      </c>
      <c r="C413" s="1373"/>
      <c r="D413" s="1366" t="str">
        <f t="shared" si="16"/>
        <v>bastiodon</v>
      </c>
      <c r="E413" s="1366"/>
    </row>
    <row r="414" ht="23.25" customHeight="1">
      <c r="A414" s="1374">
        <v>412.0</v>
      </c>
      <c r="B414" s="1368" t="s">
        <v>275</v>
      </c>
      <c r="C414" s="1369"/>
      <c r="D414" s="1370" t="str">
        <f t="shared" si="16"/>
        <v>burmy</v>
      </c>
      <c r="E414" s="1370"/>
    </row>
    <row r="415" ht="23.25" customHeight="1">
      <c r="A415" s="1371">
        <v>413.0</v>
      </c>
      <c r="B415" s="1372" t="s">
        <v>1489</v>
      </c>
      <c r="C415" s="1373"/>
      <c r="D415" s="1366" t="str">
        <f t="shared" si="16"/>
        <v>wormadam</v>
      </c>
      <c r="E415" s="1366"/>
    </row>
    <row r="416" ht="23.25" customHeight="1">
      <c r="A416" s="1367">
        <v>414.0</v>
      </c>
      <c r="B416" s="1368" t="s">
        <v>1490</v>
      </c>
      <c r="C416" s="1369"/>
      <c r="D416" s="1370" t="str">
        <f t="shared" si="16"/>
        <v>mothim</v>
      </c>
      <c r="E416" s="1370"/>
    </row>
    <row r="417" ht="23.25" customHeight="1">
      <c r="A417" s="1363">
        <v>415.0</v>
      </c>
      <c r="B417" s="1372" t="s">
        <v>307</v>
      </c>
      <c r="C417" s="1373"/>
      <c r="D417" s="1366" t="str">
        <f t="shared" si="16"/>
        <v>combee</v>
      </c>
      <c r="E417" s="1366"/>
    </row>
    <row r="418" ht="23.25" customHeight="1">
      <c r="A418" s="1367">
        <v>416.0</v>
      </c>
      <c r="B418" s="1368" t="s">
        <v>1491</v>
      </c>
      <c r="C418" s="1369"/>
      <c r="D418" s="1370" t="str">
        <f t="shared" si="16"/>
        <v>vespiquen</v>
      </c>
      <c r="E418" s="1370"/>
    </row>
    <row r="419" ht="23.25" customHeight="1">
      <c r="A419" s="1371">
        <v>417.0</v>
      </c>
      <c r="B419" s="1372" t="s">
        <v>281</v>
      </c>
      <c r="C419" s="1373"/>
      <c r="D419" s="1366" t="str">
        <f t="shared" si="16"/>
        <v>pachirisu</v>
      </c>
      <c r="E419" s="1366"/>
    </row>
    <row r="420" ht="23.25" customHeight="1">
      <c r="A420" s="1374">
        <v>418.0</v>
      </c>
      <c r="B420" s="1368" t="s">
        <v>611</v>
      </c>
      <c r="C420" s="1369"/>
      <c r="D420" s="1370" t="str">
        <f t="shared" si="16"/>
        <v>buizel</v>
      </c>
      <c r="E420" s="1370"/>
    </row>
    <row r="421" ht="23.25" customHeight="1">
      <c r="A421" s="1371">
        <v>419.0</v>
      </c>
      <c r="B421" s="1372" t="s">
        <v>776</v>
      </c>
      <c r="C421" s="1373"/>
      <c r="D421" s="1366" t="str">
        <f t="shared" si="16"/>
        <v>floatzel</v>
      </c>
      <c r="E421" s="1366"/>
    </row>
    <row r="422" ht="23.25" customHeight="1">
      <c r="A422" s="1367">
        <v>420.0</v>
      </c>
      <c r="B422" s="1368" t="s">
        <v>176</v>
      </c>
      <c r="C422" s="1369"/>
      <c r="D422" s="1370" t="str">
        <f t="shared" si="16"/>
        <v>cherubi</v>
      </c>
      <c r="E422" s="1370"/>
    </row>
    <row r="423" ht="23.25" customHeight="1">
      <c r="A423" s="1363">
        <v>421.0</v>
      </c>
      <c r="B423" s="1372" t="s">
        <v>1492</v>
      </c>
      <c r="C423" s="1373"/>
      <c r="D423" s="1366" t="str">
        <f t="shared" si="16"/>
        <v>cherrim</v>
      </c>
      <c r="E423" s="1366"/>
    </row>
    <row r="424" ht="23.25" customHeight="1">
      <c r="A424" s="1367">
        <v>422.0</v>
      </c>
      <c r="B424" s="1368" t="s">
        <v>594</v>
      </c>
      <c r="C424" s="1369"/>
      <c r="D424" s="1370" t="str">
        <f t="shared" si="16"/>
        <v>shellos</v>
      </c>
      <c r="E424" s="1370"/>
    </row>
    <row r="425" ht="23.25" customHeight="1">
      <c r="A425" s="1371">
        <v>423.0</v>
      </c>
      <c r="B425" s="1364" t="s">
        <v>1493</v>
      </c>
      <c r="C425" s="1373"/>
      <c r="D425" s="1366" t="str">
        <f t="shared" si="16"/>
        <v>gastrodon</v>
      </c>
      <c r="E425" s="1366"/>
    </row>
    <row r="426" ht="23.25" customHeight="1">
      <c r="A426" s="1374">
        <v>424.0</v>
      </c>
      <c r="B426" s="1368" t="s">
        <v>191</v>
      </c>
      <c r="C426" s="1369"/>
      <c r="D426" s="1370" t="str">
        <f t="shared" si="16"/>
        <v>ambipom</v>
      </c>
      <c r="E426" s="1370"/>
    </row>
    <row r="427" ht="23.25" customHeight="1">
      <c r="A427" s="1371">
        <v>425.0</v>
      </c>
      <c r="B427" s="1372" t="s">
        <v>501</v>
      </c>
      <c r="C427" s="1373"/>
      <c r="D427" s="1366" t="str">
        <f t="shared" si="16"/>
        <v>drifloon</v>
      </c>
      <c r="E427" s="1366"/>
    </row>
    <row r="428" ht="23.25" customHeight="1">
      <c r="A428" s="1367">
        <v>426.0</v>
      </c>
      <c r="B428" s="1368" t="s">
        <v>1494</v>
      </c>
      <c r="C428" s="1369"/>
      <c r="D428" s="1370" t="str">
        <f t="shared" si="16"/>
        <v>drifblim</v>
      </c>
      <c r="E428" s="1370"/>
    </row>
    <row r="429" ht="23.25" customHeight="1">
      <c r="A429" s="1363">
        <v>427.0</v>
      </c>
      <c r="B429" s="1372" t="s">
        <v>392</v>
      </c>
      <c r="C429" s="1373"/>
      <c r="D429" s="1366" t="str">
        <f t="shared" si="16"/>
        <v>buneary</v>
      </c>
      <c r="E429" s="1366"/>
    </row>
    <row r="430" ht="23.25" customHeight="1">
      <c r="A430" s="1367">
        <v>428.0</v>
      </c>
      <c r="B430" s="1368" t="s">
        <v>338</v>
      </c>
      <c r="C430" s="1369"/>
      <c r="D430" s="1370" t="str">
        <f t="shared" si="16"/>
        <v>lopunny</v>
      </c>
      <c r="E430" s="1370"/>
    </row>
    <row r="431" ht="23.25" customHeight="1">
      <c r="A431" s="1371">
        <v>429.0</v>
      </c>
      <c r="B431" s="1372" t="s">
        <v>292</v>
      </c>
      <c r="C431" s="1373"/>
      <c r="D431" s="1366" t="str">
        <f t="shared" si="16"/>
        <v>mismagius</v>
      </c>
      <c r="E431" s="1366"/>
    </row>
    <row r="432" ht="23.25" customHeight="1">
      <c r="A432" s="1374">
        <v>430.0</v>
      </c>
      <c r="B432" s="1368" t="s">
        <v>1495</v>
      </c>
      <c r="C432" s="1369"/>
      <c r="D432" s="1370" t="str">
        <f t="shared" si="16"/>
        <v>honchkrow</v>
      </c>
      <c r="E432" s="1370"/>
    </row>
    <row r="433" ht="23.25" customHeight="1">
      <c r="A433" s="1371">
        <v>431.0</v>
      </c>
      <c r="B433" s="1372" t="s">
        <v>313</v>
      </c>
      <c r="C433" s="1373"/>
      <c r="D433" s="1366" t="str">
        <f t="shared" si="16"/>
        <v>glameow</v>
      </c>
      <c r="E433" s="1366"/>
    </row>
    <row r="434" ht="23.25" customHeight="1">
      <c r="A434" s="1367">
        <v>432.0</v>
      </c>
      <c r="B434" s="1368" t="s">
        <v>1496</v>
      </c>
      <c r="C434" s="1369"/>
      <c r="D434" s="1370" t="str">
        <f t="shared" si="16"/>
        <v>purugly</v>
      </c>
      <c r="E434" s="1370"/>
    </row>
    <row r="435" ht="23.25" customHeight="1">
      <c r="A435" s="1363">
        <v>433.0</v>
      </c>
      <c r="B435" s="1372" t="s">
        <v>562</v>
      </c>
      <c r="C435" s="1373"/>
      <c r="D435" s="1366" t="str">
        <f t="shared" si="16"/>
        <v>chingling</v>
      </c>
      <c r="E435" s="1366"/>
    </row>
    <row r="436" ht="23.25" customHeight="1">
      <c r="A436" s="1367">
        <v>434.0</v>
      </c>
      <c r="B436" s="1368" t="s">
        <v>484</v>
      </c>
      <c r="C436" s="1369"/>
      <c r="D436" s="1370" t="str">
        <f t="shared" si="16"/>
        <v>stunky</v>
      </c>
      <c r="E436" s="1370"/>
    </row>
    <row r="437" ht="23.25" customHeight="1">
      <c r="A437" s="1371">
        <v>435.0</v>
      </c>
      <c r="B437" s="1372" t="s">
        <v>378</v>
      </c>
      <c r="C437" s="1373"/>
      <c r="D437" s="1366" t="str">
        <f t="shared" si="16"/>
        <v>skuntank</v>
      </c>
      <c r="E437" s="1366"/>
    </row>
    <row r="438" ht="23.25" customHeight="1">
      <c r="A438" s="1374">
        <v>436.0</v>
      </c>
      <c r="B438" s="1368" t="s">
        <v>323</v>
      </c>
      <c r="C438" s="1369"/>
      <c r="D438" s="1370" t="str">
        <f t="shared" si="16"/>
        <v>bronzor</v>
      </c>
      <c r="E438" s="1370"/>
    </row>
    <row r="439" ht="23.25" customHeight="1">
      <c r="A439" s="1371">
        <v>437.0</v>
      </c>
      <c r="B439" s="1372" t="s">
        <v>1497</v>
      </c>
      <c r="C439" s="1373"/>
      <c r="D439" s="1366" t="str">
        <f t="shared" si="16"/>
        <v>bronzong</v>
      </c>
      <c r="E439" s="1366"/>
    </row>
    <row r="440" ht="23.25" customHeight="1">
      <c r="A440" s="1367">
        <v>438.0</v>
      </c>
      <c r="B440" s="1368" t="s">
        <v>368</v>
      </c>
      <c r="C440" s="1369"/>
      <c r="D440" s="1370" t="str">
        <f t="shared" si="16"/>
        <v>bonsly</v>
      </c>
      <c r="E440" s="1370"/>
    </row>
    <row r="441" ht="23.25" customHeight="1">
      <c r="A441" s="1363">
        <v>439.0</v>
      </c>
      <c r="B441" s="1364" t="s">
        <v>402</v>
      </c>
      <c r="C441" s="1373"/>
      <c r="D441" s="1366" t="str">
        <f t="shared" si="16"/>
        <v>mime jr.</v>
      </c>
      <c r="E441" s="1366"/>
    </row>
    <row r="442" ht="23.25" customHeight="1">
      <c r="A442" s="1367">
        <v>440.0</v>
      </c>
      <c r="B442" s="1368" t="s">
        <v>1498</v>
      </c>
      <c r="C442" s="1369"/>
      <c r="D442" s="1370" t="str">
        <f t="shared" si="16"/>
        <v>happiny</v>
      </c>
      <c r="E442" s="1370"/>
    </row>
    <row r="443" ht="23.25" customHeight="1">
      <c r="A443" s="1371">
        <v>441.0</v>
      </c>
      <c r="B443" s="1372" t="s">
        <v>786</v>
      </c>
      <c r="C443" s="1373"/>
      <c r="D443" s="1366" t="str">
        <f t="shared" si="16"/>
        <v>chatot</v>
      </c>
      <c r="E443" s="1366"/>
    </row>
    <row r="444" ht="23.25" customHeight="1">
      <c r="A444" s="1374">
        <v>442.0</v>
      </c>
      <c r="B444" s="1368" t="s">
        <v>349</v>
      </c>
      <c r="C444" s="1369"/>
      <c r="D444" s="1370" t="str">
        <f t="shared" si="16"/>
        <v>spiritomb</v>
      </c>
      <c r="E444" s="1370"/>
    </row>
    <row r="445" ht="23.25" customHeight="1">
      <c r="A445" s="1371">
        <v>443.0</v>
      </c>
      <c r="B445" s="1372" t="s">
        <v>1234</v>
      </c>
      <c r="C445" s="1373"/>
      <c r="D445" s="1366" t="str">
        <f t="shared" si="16"/>
        <v>gible</v>
      </c>
      <c r="E445" s="1366"/>
    </row>
    <row r="446" ht="23.25" customHeight="1">
      <c r="A446" s="1367">
        <v>444.0</v>
      </c>
      <c r="B446" s="1368" t="s">
        <v>1499</v>
      </c>
      <c r="C446" s="1369"/>
      <c r="D446" s="1370" t="str">
        <f t="shared" si="16"/>
        <v>gabite</v>
      </c>
      <c r="E446" s="1370"/>
    </row>
    <row r="447" ht="23.25" customHeight="1">
      <c r="A447" s="1363">
        <v>445.0</v>
      </c>
      <c r="B447" s="1372" t="s">
        <v>204</v>
      </c>
      <c r="C447" s="1373"/>
      <c r="D447" s="1366" t="str">
        <f t="shared" si="16"/>
        <v>garchomp</v>
      </c>
      <c r="E447" s="1366"/>
    </row>
    <row r="448" ht="23.25" customHeight="1">
      <c r="A448" s="1367">
        <v>446.0</v>
      </c>
      <c r="B448" s="1368" t="s">
        <v>787</v>
      </c>
      <c r="C448" s="1369"/>
      <c r="D448" s="1370" t="str">
        <f t="shared" si="16"/>
        <v>munchlax</v>
      </c>
      <c r="E448" s="1369"/>
    </row>
    <row r="449" ht="23.25" customHeight="1">
      <c r="A449" s="1371">
        <v>447.0</v>
      </c>
      <c r="B449" s="1372" t="s">
        <v>525</v>
      </c>
      <c r="C449" s="1373"/>
      <c r="D449" s="1366" t="str">
        <f t="shared" si="16"/>
        <v>riolu</v>
      </c>
      <c r="E449" s="1373"/>
    </row>
    <row r="450" ht="23.25" customHeight="1">
      <c r="A450" s="1374">
        <v>448.0</v>
      </c>
      <c r="B450" s="1368" t="s">
        <v>381</v>
      </c>
      <c r="C450" s="1369"/>
      <c r="D450" s="1370" t="str">
        <f t="shared" si="16"/>
        <v>lucario</v>
      </c>
      <c r="E450" s="1369"/>
    </row>
    <row r="451" ht="23.25" customHeight="1">
      <c r="A451" s="1371">
        <v>449.0</v>
      </c>
      <c r="B451" s="1372" t="s">
        <v>503</v>
      </c>
      <c r="C451" s="1373"/>
      <c r="D451" s="1366" t="str">
        <f t="shared" si="16"/>
        <v>hippopotas</v>
      </c>
      <c r="E451" s="1366"/>
    </row>
    <row r="452" ht="23.25" customHeight="1">
      <c r="A452" s="1367">
        <v>450.0</v>
      </c>
      <c r="B452" s="1368" t="s">
        <v>779</v>
      </c>
      <c r="C452" s="1369"/>
      <c r="D452" s="1370" t="str">
        <f t="shared" si="16"/>
        <v>hippowdon</v>
      </c>
      <c r="E452" s="1370"/>
    </row>
    <row r="453" ht="23.25" customHeight="1">
      <c r="A453" s="1363">
        <v>451.0</v>
      </c>
      <c r="B453" s="1372" t="s">
        <v>294</v>
      </c>
      <c r="C453" s="1373"/>
      <c r="D453" s="1366" t="str">
        <f t="shared" si="16"/>
        <v>skorupi</v>
      </c>
      <c r="E453" s="1366"/>
    </row>
    <row r="454" ht="23.25" customHeight="1">
      <c r="A454" s="1367">
        <v>452.0</v>
      </c>
      <c r="B454" s="1368" t="s">
        <v>1500</v>
      </c>
      <c r="C454" s="1369"/>
      <c r="D454" s="1370" t="str">
        <f t="shared" si="16"/>
        <v>drapion</v>
      </c>
      <c r="E454" s="1370"/>
    </row>
    <row r="455" ht="23.25" customHeight="1">
      <c r="A455" s="1371">
        <v>453.0</v>
      </c>
      <c r="B455" s="1372" t="s">
        <v>642</v>
      </c>
      <c r="C455" s="1373"/>
      <c r="D455" s="1366" t="str">
        <f t="shared" si="16"/>
        <v>croagunk</v>
      </c>
      <c r="E455" s="1366"/>
    </row>
    <row r="456" ht="23.25" customHeight="1">
      <c r="A456" s="1374">
        <v>454.0</v>
      </c>
      <c r="B456" s="1368" t="s">
        <v>409</v>
      </c>
      <c r="C456" s="1369"/>
      <c r="D456" s="1370" t="str">
        <f t="shared" si="16"/>
        <v>toxicroak</v>
      </c>
      <c r="E456" s="1370"/>
    </row>
    <row r="457" ht="23.25" customHeight="1">
      <c r="A457" s="1371">
        <v>455.0</v>
      </c>
      <c r="B457" s="1372" t="s">
        <v>785</v>
      </c>
      <c r="C457" s="1373"/>
      <c r="D457" s="1366" t="str">
        <f t="shared" si="16"/>
        <v>carnivine</v>
      </c>
      <c r="E457" s="1366"/>
    </row>
    <row r="458" ht="23.25" customHeight="1">
      <c r="A458" s="1367">
        <v>456.0</v>
      </c>
      <c r="B458" s="1368" t="s">
        <v>673</v>
      </c>
      <c r="C458" s="1369"/>
      <c r="D458" s="1370" t="str">
        <f t="shared" si="16"/>
        <v>finneon</v>
      </c>
      <c r="E458" s="1370"/>
    </row>
    <row r="459" ht="23.25" customHeight="1">
      <c r="A459" s="1363">
        <v>457.0</v>
      </c>
      <c r="B459" s="1372" t="s">
        <v>718</v>
      </c>
      <c r="C459" s="1373"/>
      <c r="D459" s="1366" t="str">
        <f t="shared" si="16"/>
        <v>lumineon</v>
      </c>
      <c r="E459" s="1366"/>
    </row>
    <row r="460" ht="23.25" customHeight="1">
      <c r="A460" s="1367">
        <v>458.0</v>
      </c>
      <c r="B460" s="1368" t="s">
        <v>696</v>
      </c>
      <c r="C460" s="1369"/>
      <c r="D460" s="1370" t="str">
        <f t="shared" si="16"/>
        <v>mantyke</v>
      </c>
      <c r="E460" s="1370"/>
    </row>
    <row r="461" ht="23.25" customHeight="1">
      <c r="A461" s="1371">
        <v>459.0</v>
      </c>
      <c r="B461" s="1372" t="s">
        <v>195</v>
      </c>
      <c r="C461" s="1373"/>
      <c r="D461" s="1366" t="str">
        <f t="shared" si="16"/>
        <v>snover</v>
      </c>
      <c r="E461" s="1366"/>
    </row>
    <row r="462" ht="23.25" customHeight="1">
      <c r="A462" s="1374">
        <v>460.0</v>
      </c>
      <c r="B462" s="1368" t="s">
        <v>133</v>
      </c>
      <c r="C462" s="1369"/>
      <c r="D462" s="1370" t="str">
        <f t="shared" si="16"/>
        <v>abomasnow</v>
      </c>
      <c r="E462" s="1370"/>
    </row>
    <row r="463" ht="23.25" customHeight="1">
      <c r="A463" s="1371">
        <v>461.0</v>
      </c>
      <c r="B463" s="1372" t="s">
        <v>1501</v>
      </c>
      <c r="C463" s="1373"/>
      <c r="D463" s="1366" t="str">
        <f t="shared" si="16"/>
        <v>weavile</v>
      </c>
      <c r="E463" s="1366"/>
    </row>
    <row r="464" ht="23.25" customHeight="1">
      <c r="A464" s="1367">
        <v>462.0</v>
      </c>
      <c r="B464" s="1368" t="s">
        <v>1502</v>
      </c>
      <c r="C464" s="1369"/>
      <c r="D464" s="1370" t="str">
        <f t="shared" si="16"/>
        <v>magnezone</v>
      </c>
      <c r="E464" s="1370"/>
    </row>
    <row r="465" ht="23.25" customHeight="1">
      <c r="A465" s="1363">
        <v>463.0</v>
      </c>
      <c r="B465" s="1372" t="s">
        <v>1503</v>
      </c>
      <c r="C465" s="1373"/>
      <c r="D465" s="1366" t="str">
        <f t="shared" si="16"/>
        <v>lickilicky</v>
      </c>
      <c r="E465" s="1366"/>
    </row>
    <row r="466" ht="23.25" customHeight="1">
      <c r="A466" s="1367">
        <v>464.0</v>
      </c>
      <c r="B466" s="1368" t="s">
        <v>1504</v>
      </c>
      <c r="C466" s="1369"/>
      <c r="D466" s="1370" t="str">
        <f t="shared" si="16"/>
        <v>rhyperior</v>
      </c>
      <c r="E466" s="1370"/>
    </row>
    <row r="467" ht="23.25" customHeight="1">
      <c r="A467" s="1371">
        <v>465.0</v>
      </c>
      <c r="B467" s="1372" t="s">
        <v>126</v>
      </c>
      <c r="C467" s="1373"/>
      <c r="D467" s="1366" t="str">
        <f t="shared" si="16"/>
        <v>tangrowth</v>
      </c>
      <c r="E467" s="1366"/>
    </row>
    <row r="468" ht="23.25" customHeight="1">
      <c r="A468" s="1374">
        <v>466.0</v>
      </c>
      <c r="B468" s="1368" t="s">
        <v>1505</v>
      </c>
      <c r="C468" s="1369"/>
      <c r="D468" s="1370" t="str">
        <f t="shared" si="16"/>
        <v>electivire</v>
      </c>
      <c r="E468" s="1370"/>
    </row>
    <row r="469" ht="23.25" customHeight="1">
      <c r="A469" s="1371">
        <v>467.0</v>
      </c>
      <c r="B469" s="1372" t="s">
        <v>1506</v>
      </c>
      <c r="C469" s="1373"/>
      <c r="D469" s="1366" t="str">
        <f t="shared" si="16"/>
        <v>magmortar</v>
      </c>
      <c r="E469" s="1366"/>
    </row>
    <row r="470" ht="23.25" customHeight="1">
      <c r="A470" s="1367">
        <v>468.0</v>
      </c>
      <c r="B470" s="1368" t="s">
        <v>1507</v>
      </c>
      <c r="C470" s="1369"/>
      <c r="D470" s="1370" t="str">
        <f t="shared" si="16"/>
        <v>togekiss</v>
      </c>
      <c r="E470" s="1370"/>
    </row>
    <row r="471" ht="23.25" customHeight="1">
      <c r="A471" s="1363">
        <v>469.0</v>
      </c>
      <c r="B471" s="1372" t="s">
        <v>1508</v>
      </c>
      <c r="C471" s="1373"/>
      <c r="D471" s="1366" t="str">
        <f t="shared" si="16"/>
        <v>yanmega</v>
      </c>
      <c r="E471" s="1366"/>
    </row>
    <row r="472" ht="23.25" customHeight="1">
      <c r="A472" s="1367">
        <v>470.0</v>
      </c>
      <c r="B472" s="1368" t="s">
        <v>1509</v>
      </c>
      <c r="C472" s="1369"/>
      <c r="D472" s="1370" t="str">
        <f t="shared" si="16"/>
        <v>leafeon</v>
      </c>
      <c r="E472" s="1370"/>
    </row>
    <row r="473" ht="23.25" customHeight="1">
      <c r="A473" s="1371">
        <v>471.0</v>
      </c>
      <c r="B473" s="1372" t="s">
        <v>1510</v>
      </c>
      <c r="C473" s="1373"/>
      <c r="D473" s="1366" t="str">
        <f t="shared" si="16"/>
        <v>glaceon</v>
      </c>
      <c r="E473" s="1366"/>
    </row>
    <row r="474" ht="23.25" customHeight="1">
      <c r="A474" s="1374">
        <v>472.0</v>
      </c>
      <c r="B474" s="1368" t="s">
        <v>478</v>
      </c>
      <c r="C474" s="1369"/>
      <c r="D474" s="1370" t="str">
        <f t="shared" si="16"/>
        <v>gliscor</v>
      </c>
      <c r="E474" s="1370"/>
    </row>
    <row r="475" ht="23.25" customHeight="1">
      <c r="A475" s="1371">
        <v>473.0</v>
      </c>
      <c r="B475" s="1372" t="s">
        <v>1511</v>
      </c>
      <c r="C475" s="1373"/>
      <c r="D475" s="1366" t="str">
        <f t="shared" si="16"/>
        <v>mamoswine</v>
      </c>
      <c r="E475" s="1366"/>
    </row>
    <row r="476" ht="23.25" customHeight="1">
      <c r="A476" s="1367">
        <v>474.0</v>
      </c>
      <c r="B476" s="1375" t="s">
        <v>1512</v>
      </c>
      <c r="C476" s="1369"/>
      <c r="D476" s="1370" t="str">
        <f t="shared" si="16"/>
        <v>porygon-z</v>
      </c>
      <c r="E476" s="1370"/>
    </row>
    <row r="477" ht="23.25" customHeight="1">
      <c r="A477" s="1363">
        <v>475.0</v>
      </c>
      <c r="B477" s="1372" t="s">
        <v>1513</v>
      </c>
      <c r="C477" s="1373"/>
      <c r="D477" s="1366" t="str">
        <f t="shared" si="16"/>
        <v>gallade</v>
      </c>
      <c r="E477" s="1366"/>
    </row>
    <row r="478" ht="23.25" customHeight="1">
      <c r="A478" s="1367">
        <v>476.0</v>
      </c>
      <c r="B478" s="1368" t="s">
        <v>1514</v>
      </c>
      <c r="C478" s="1369"/>
      <c r="D478" s="1370" t="str">
        <f t="shared" si="16"/>
        <v>probopass</v>
      </c>
      <c r="E478" s="1370"/>
    </row>
    <row r="479" ht="23.25" customHeight="1">
      <c r="A479" s="1371">
        <v>477.0</v>
      </c>
      <c r="B479" s="1372" t="s">
        <v>1515</v>
      </c>
      <c r="C479" s="1373"/>
      <c r="D479" s="1366" t="str">
        <f t="shared" si="16"/>
        <v>dusknoir</v>
      </c>
      <c r="E479" s="1366"/>
    </row>
    <row r="480" ht="23.25" customHeight="1">
      <c r="A480" s="1374">
        <v>478.0</v>
      </c>
      <c r="B480" s="1368" t="s">
        <v>587</v>
      </c>
      <c r="C480" s="1369"/>
      <c r="D480" s="1370" t="str">
        <f t="shared" si="16"/>
        <v>froslass</v>
      </c>
      <c r="E480" s="1370"/>
    </row>
    <row r="481" ht="23.25" customHeight="1">
      <c r="A481" s="1371">
        <v>479.0</v>
      </c>
      <c r="B481" s="1372" t="s">
        <v>508</v>
      </c>
      <c r="C481" s="1373"/>
      <c r="D481" s="1366" t="str">
        <f t="shared" si="16"/>
        <v>rotom</v>
      </c>
      <c r="E481" s="1366"/>
    </row>
    <row r="482" ht="23.25" customHeight="1">
      <c r="A482" s="1367">
        <v>480.0</v>
      </c>
      <c r="B482" s="1368" t="s">
        <v>862</v>
      </c>
      <c r="C482" s="1369"/>
      <c r="D482" s="1370" t="str">
        <f t="shared" si="16"/>
        <v>uxie</v>
      </c>
      <c r="E482" s="1370"/>
    </row>
    <row r="483" ht="23.25" customHeight="1">
      <c r="A483" s="1363">
        <v>481.0</v>
      </c>
      <c r="B483" s="1372" t="s">
        <v>864</v>
      </c>
      <c r="C483" s="1373"/>
      <c r="D483" s="1366" t="str">
        <f t="shared" si="16"/>
        <v>mesprit</v>
      </c>
      <c r="E483" s="1366"/>
    </row>
    <row r="484" ht="23.25" customHeight="1">
      <c r="A484" s="1367">
        <v>482.0</v>
      </c>
      <c r="B484" s="1368" t="s">
        <v>865</v>
      </c>
      <c r="C484" s="1369"/>
      <c r="D484" s="1370" t="str">
        <f t="shared" si="16"/>
        <v>azelf</v>
      </c>
      <c r="E484" s="1370"/>
    </row>
    <row r="485" ht="23.25" customHeight="1">
      <c r="A485" s="1371">
        <v>483.0</v>
      </c>
      <c r="B485" s="1372" t="s">
        <v>866</v>
      </c>
      <c r="C485" s="1373"/>
      <c r="D485" s="1366" t="str">
        <f t="shared" si="16"/>
        <v>dialga</v>
      </c>
      <c r="E485" s="1366"/>
    </row>
    <row r="486" ht="23.25" customHeight="1">
      <c r="A486" s="1374">
        <v>484.0</v>
      </c>
      <c r="B486" s="1368" t="s">
        <v>869</v>
      </c>
      <c r="C486" s="1369"/>
      <c r="D486" s="1370" t="str">
        <f t="shared" si="16"/>
        <v>palkia</v>
      </c>
      <c r="E486" s="1370"/>
    </row>
    <row r="487" ht="23.25" customHeight="1">
      <c r="A487" s="1371">
        <v>485.0</v>
      </c>
      <c r="B487" s="1372" t="s">
        <v>871</v>
      </c>
      <c r="C487" s="1373"/>
      <c r="D487" s="1366" t="str">
        <f t="shared" si="16"/>
        <v>heatran</v>
      </c>
      <c r="E487" s="1366"/>
    </row>
    <row r="488" ht="23.25" customHeight="1">
      <c r="A488" s="1367">
        <v>486.0</v>
      </c>
      <c r="B488" s="1368" t="s">
        <v>873</v>
      </c>
      <c r="C488" s="1369"/>
      <c r="D488" s="1370" t="str">
        <f t="shared" si="16"/>
        <v>regigigas</v>
      </c>
      <c r="E488" s="1370"/>
    </row>
    <row r="489" ht="23.25" customHeight="1">
      <c r="A489" s="1363">
        <v>487.0</v>
      </c>
      <c r="B489" s="1372" t="s">
        <v>875</v>
      </c>
      <c r="C489" s="1373"/>
      <c r="D489" s="1366" t="s">
        <v>1516</v>
      </c>
      <c r="E489" s="1366"/>
    </row>
    <row r="490" ht="23.25" customHeight="1">
      <c r="A490" s="1367">
        <v>488.0</v>
      </c>
      <c r="B490" s="1368" t="s">
        <v>878</v>
      </c>
      <c r="C490" s="1369"/>
      <c r="D490" s="1370" t="str">
        <f>LOWER(B490)</f>
        <v>cresselia</v>
      </c>
      <c r="E490" s="1370"/>
    </row>
    <row r="491" ht="23.25" customHeight="1">
      <c r="A491" s="1371">
        <v>489.0</v>
      </c>
      <c r="B491" s="1372" t="s">
        <v>880</v>
      </c>
      <c r="C491" s="1373"/>
      <c r="D491" s="1366" t="s">
        <v>1517</v>
      </c>
      <c r="E491" s="1366"/>
    </row>
    <row r="492" ht="23.25" customHeight="1">
      <c r="A492" s="1374">
        <v>490.0</v>
      </c>
      <c r="B492" s="1368" t="s">
        <v>882</v>
      </c>
      <c r="C492" s="1369"/>
      <c r="D492" s="1370" t="str">
        <f t="shared" ref="D492:D495" si="17">LOWER(B492)</f>
        <v>manaphy</v>
      </c>
      <c r="E492" s="1370"/>
    </row>
    <row r="493" ht="23.25" customHeight="1">
      <c r="A493" s="1371">
        <v>491.0</v>
      </c>
      <c r="B493" s="1372" t="s">
        <v>884</v>
      </c>
      <c r="C493" s="1373"/>
      <c r="D493" s="1366" t="str">
        <f t="shared" si="17"/>
        <v>darkrai</v>
      </c>
      <c r="E493" s="1366"/>
    </row>
    <row r="494" ht="23.25" customHeight="1">
      <c r="A494" s="1367">
        <v>492.0</v>
      </c>
      <c r="B494" s="1368" t="s">
        <v>885</v>
      </c>
      <c r="C494" s="1369"/>
      <c r="D494" s="1370" t="str">
        <f t="shared" si="17"/>
        <v>shaymin</v>
      </c>
      <c r="E494" s="1370"/>
    </row>
    <row r="495" ht="23.25" customHeight="1">
      <c r="A495" s="1363">
        <v>493.0</v>
      </c>
      <c r="B495" s="1372" t="s">
        <v>889</v>
      </c>
      <c r="C495" s="1373"/>
      <c r="D495" s="1366" t="str">
        <f t="shared" si="17"/>
        <v>arceus</v>
      </c>
      <c r="E495" s="1366"/>
    </row>
    <row r="496" ht="23.25" customHeight="1">
      <c r="A496" s="1367">
        <v>494.0</v>
      </c>
      <c r="B496" s="1368" t="s">
        <v>890</v>
      </c>
      <c r="C496" s="1369"/>
      <c r="D496" s="1370" t="s">
        <v>1518</v>
      </c>
      <c r="E496" s="1370"/>
    </row>
    <row r="497" ht="23.25" customHeight="1">
      <c r="A497" s="1371">
        <v>495.0</v>
      </c>
      <c r="B497" s="1372" t="s">
        <v>1207</v>
      </c>
      <c r="C497" s="1373"/>
      <c r="D497" s="1366" t="s">
        <v>1519</v>
      </c>
      <c r="E497" s="1366"/>
    </row>
    <row r="498" ht="23.25" customHeight="1">
      <c r="A498" s="1374">
        <v>496.0</v>
      </c>
      <c r="B498" s="1368" t="s">
        <v>1520</v>
      </c>
      <c r="C498" s="1369"/>
      <c r="D498" s="1370" t="s">
        <v>1521</v>
      </c>
      <c r="E498" s="1370"/>
    </row>
    <row r="499" ht="23.25" customHeight="1">
      <c r="A499" s="1371">
        <v>497.0</v>
      </c>
      <c r="B499" s="1372" t="s">
        <v>1522</v>
      </c>
      <c r="C499" s="1373"/>
      <c r="D499" s="1366" t="str">
        <f t="shared" ref="D499:D537" si="18">LOWER(B499)</f>
        <v>serperior</v>
      </c>
      <c r="E499" s="1366"/>
    </row>
    <row r="500" ht="23.25" customHeight="1">
      <c r="A500" s="1367">
        <v>498.0</v>
      </c>
      <c r="B500" s="1368" t="s">
        <v>1209</v>
      </c>
      <c r="C500" s="1369"/>
      <c r="D500" s="1370" t="str">
        <f t="shared" si="18"/>
        <v>tepig</v>
      </c>
      <c r="E500" s="1370"/>
    </row>
    <row r="501" ht="23.25" customHeight="1">
      <c r="A501" s="1363">
        <v>499.0</v>
      </c>
      <c r="B501" s="1372" t="s">
        <v>1523</v>
      </c>
      <c r="C501" s="1373"/>
      <c r="D501" s="1366" t="str">
        <f t="shared" si="18"/>
        <v>pignite</v>
      </c>
      <c r="E501" s="1366"/>
    </row>
    <row r="502" ht="23.25" customHeight="1">
      <c r="A502" s="1367">
        <v>500.0</v>
      </c>
      <c r="B502" s="1368" t="s">
        <v>1524</v>
      </c>
      <c r="C502" s="1369"/>
      <c r="D502" s="1370" t="str">
        <f t="shared" si="18"/>
        <v>emboar</v>
      </c>
      <c r="E502" s="1370"/>
    </row>
    <row r="503" ht="23.25" customHeight="1">
      <c r="A503" s="1371">
        <v>501.0</v>
      </c>
      <c r="B503" s="1372" t="s">
        <v>1208</v>
      </c>
      <c r="C503" s="1373"/>
      <c r="D503" s="1366" t="str">
        <f t="shared" si="18"/>
        <v>oshawott</v>
      </c>
      <c r="E503" s="1366"/>
    </row>
    <row r="504" ht="23.25" customHeight="1">
      <c r="A504" s="1374">
        <v>502.0</v>
      </c>
      <c r="B504" s="1368" t="s">
        <v>1525</v>
      </c>
      <c r="C504" s="1369"/>
      <c r="D504" s="1370" t="str">
        <f t="shared" si="18"/>
        <v>dewott</v>
      </c>
      <c r="E504" s="1370"/>
    </row>
    <row r="505" ht="23.25" customHeight="1">
      <c r="A505" s="1371">
        <v>503.0</v>
      </c>
      <c r="B505" s="1372" t="s">
        <v>1526</v>
      </c>
      <c r="C505" s="1373"/>
      <c r="D505" s="1366" t="str">
        <f t="shared" si="18"/>
        <v>samurott</v>
      </c>
      <c r="E505" s="1366"/>
    </row>
    <row r="506" ht="23.25" customHeight="1">
      <c r="A506" s="1367">
        <v>504.0</v>
      </c>
      <c r="B506" s="1368" t="s">
        <v>303</v>
      </c>
      <c r="C506" s="1369"/>
      <c r="D506" s="1370" t="str">
        <f t="shared" si="18"/>
        <v>patrat</v>
      </c>
      <c r="E506" s="1370"/>
    </row>
    <row r="507" ht="23.25" customHeight="1">
      <c r="A507" s="1363">
        <v>505.0</v>
      </c>
      <c r="B507" s="1372" t="s">
        <v>1527</v>
      </c>
      <c r="C507" s="1373"/>
      <c r="D507" s="1366" t="str">
        <f t="shared" si="18"/>
        <v>watchog</v>
      </c>
      <c r="E507" s="1366"/>
    </row>
    <row r="508" ht="23.25" customHeight="1">
      <c r="A508" s="1367">
        <v>506.0</v>
      </c>
      <c r="B508" s="1368" t="s">
        <v>353</v>
      </c>
      <c r="C508" s="1369"/>
      <c r="D508" s="1370" t="str">
        <f t="shared" si="18"/>
        <v>lillipup</v>
      </c>
      <c r="E508" s="1370"/>
    </row>
    <row r="509" ht="23.25" customHeight="1">
      <c r="A509" s="1371">
        <v>507.0</v>
      </c>
      <c r="B509" s="1372" t="s">
        <v>1528</v>
      </c>
      <c r="C509" s="1373"/>
      <c r="D509" s="1366" t="str">
        <f t="shared" si="18"/>
        <v>herdier</v>
      </c>
      <c r="E509" s="1366"/>
    </row>
    <row r="510" ht="23.25" customHeight="1">
      <c r="A510" s="1374">
        <v>508.0</v>
      </c>
      <c r="B510" s="1368" t="s">
        <v>1529</v>
      </c>
      <c r="C510" s="1369"/>
      <c r="D510" s="1370" t="str">
        <f t="shared" si="18"/>
        <v>stoutland</v>
      </c>
      <c r="E510" s="1370"/>
    </row>
    <row r="511" ht="23.25" customHeight="1">
      <c r="A511" s="1371">
        <v>509.0</v>
      </c>
      <c r="B511" s="1372" t="s">
        <v>626</v>
      </c>
      <c r="C511" s="1373"/>
      <c r="D511" s="1366" t="str">
        <f t="shared" si="18"/>
        <v>purrloin</v>
      </c>
      <c r="E511" s="1366"/>
    </row>
    <row r="512" ht="23.25" customHeight="1">
      <c r="A512" s="1367">
        <v>510.0</v>
      </c>
      <c r="B512" s="1368" t="s">
        <v>376</v>
      </c>
      <c r="C512" s="1369"/>
      <c r="D512" s="1370" t="str">
        <f t="shared" si="18"/>
        <v>liepard</v>
      </c>
      <c r="E512" s="1370"/>
    </row>
    <row r="513" ht="23.25" customHeight="1">
      <c r="A513" s="1363">
        <v>511.0</v>
      </c>
      <c r="B513" s="1372" t="s">
        <v>491</v>
      </c>
      <c r="C513" s="1373"/>
      <c r="D513" s="1366" t="str">
        <f t="shared" si="18"/>
        <v>pansage</v>
      </c>
      <c r="E513" s="1366"/>
    </row>
    <row r="514" ht="23.25" customHeight="1">
      <c r="A514" s="1367">
        <v>512.0</v>
      </c>
      <c r="B514" s="1368" t="s">
        <v>248</v>
      </c>
      <c r="C514" s="1369"/>
      <c r="D514" s="1370" t="str">
        <f t="shared" si="18"/>
        <v>simisage</v>
      </c>
      <c r="E514" s="1370"/>
    </row>
    <row r="515" ht="23.25" customHeight="1">
      <c r="A515" s="1371">
        <v>513.0</v>
      </c>
      <c r="B515" s="1372" t="s">
        <v>488</v>
      </c>
      <c r="C515" s="1373"/>
      <c r="D515" s="1366" t="str">
        <f t="shared" si="18"/>
        <v>pansear</v>
      </c>
      <c r="E515" s="1366"/>
    </row>
    <row r="516" ht="23.25" customHeight="1">
      <c r="A516" s="1374">
        <v>514.0</v>
      </c>
      <c r="B516" s="1368" t="s">
        <v>298</v>
      </c>
      <c r="C516" s="1369"/>
      <c r="D516" s="1370" t="str">
        <f t="shared" si="18"/>
        <v>simisear</v>
      </c>
      <c r="E516" s="1370"/>
    </row>
    <row r="517" ht="23.25" customHeight="1">
      <c r="A517" s="1371">
        <v>515.0</v>
      </c>
      <c r="B517" s="1372" t="s">
        <v>489</v>
      </c>
      <c r="C517" s="1373"/>
      <c r="D517" s="1366" t="str">
        <f t="shared" si="18"/>
        <v>panpour</v>
      </c>
      <c r="E517" s="1366"/>
    </row>
    <row r="518" ht="23.25" customHeight="1">
      <c r="A518" s="1367">
        <v>516.0</v>
      </c>
      <c r="B518" s="1368" t="s">
        <v>330</v>
      </c>
      <c r="C518" s="1369"/>
      <c r="D518" s="1370" t="str">
        <f t="shared" si="18"/>
        <v>simipour</v>
      </c>
      <c r="E518" s="1370"/>
    </row>
    <row r="519" ht="23.25" customHeight="1">
      <c r="A519" s="1363">
        <v>517.0</v>
      </c>
      <c r="B519" s="1372" t="s">
        <v>624</v>
      </c>
      <c r="C519" s="1373"/>
      <c r="D519" s="1366" t="str">
        <f t="shared" si="18"/>
        <v>munna</v>
      </c>
      <c r="E519" s="1366"/>
    </row>
    <row r="520" ht="23.25" customHeight="1">
      <c r="A520" s="1367">
        <v>518.0</v>
      </c>
      <c r="B520" s="1368" t="s">
        <v>1530</v>
      </c>
      <c r="C520" s="1369"/>
      <c r="D520" s="1370" t="str">
        <f t="shared" si="18"/>
        <v>musharna</v>
      </c>
      <c r="E520" s="1370"/>
    </row>
    <row r="521" ht="23.25" customHeight="1">
      <c r="A521" s="1371">
        <v>519.0</v>
      </c>
      <c r="B521" s="1372" t="s">
        <v>94</v>
      </c>
      <c r="C521" s="1373"/>
      <c r="D521" s="1366" t="str">
        <f t="shared" si="18"/>
        <v>pidove</v>
      </c>
      <c r="E521" s="1366"/>
    </row>
    <row r="522" ht="23.25" customHeight="1">
      <c r="A522" s="1374">
        <v>520.0</v>
      </c>
      <c r="B522" s="1368" t="s">
        <v>1531</v>
      </c>
      <c r="C522" s="1369"/>
      <c r="D522" s="1370" t="str">
        <f t="shared" si="18"/>
        <v>tranquill</v>
      </c>
      <c r="E522" s="1370"/>
    </row>
    <row r="523" ht="23.25" customHeight="1">
      <c r="A523" s="1371">
        <v>521.0</v>
      </c>
      <c r="B523" s="1372" t="s">
        <v>1532</v>
      </c>
      <c r="C523" s="1373"/>
      <c r="D523" s="1366" t="str">
        <f t="shared" si="18"/>
        <v>unfezant</v>
      </c>
      <c r="E523" s="1366"/>
    </row>
    <row r="524" ht="23.25" customHeight="1">
      <c r="A524" s="1367">
        <v>522.0</v>
      </c>
      <c r="B524" s="1368" t="s">
        <v>236</v>
      </c>
      <c r="C524" s="1369"/>
      <c r="D524" s="1370" t="str">
        <f t="shared" si="18"/>
        <v>blitzle</v>
      </c>
      <c r="E524" s="1370"/>
    </row>
    <row r="525" ht="23.25" customHeight="1">
      <c r="A525" s="1363">
        <v>523.0</v>
      </c>
      <c r="B525" s="1364" t="s">
        <v>253</v>
      </c>
      <c r="C525" s="1373"/>
      <c r="D525" s="1366" t="str">
        <f t="shared" si="18"/>
        <v>zebstrika</v>
      </c>
      <c r="E525" s="1366"/>
    </row>
    <row r="526" ht="23.25" customHeight="1">
      <c r="A526" s="1367">
        <v>524.0</v>
      </c>
      <c r="B526" s="1368" t="s">
        <v>563</v>
      </c>
      <c r="C526" s="1369"/>
      <c r="D526" s="1370" t="str">
        <f t="shared" si="18"/>
        <v>roggenrola</v>
      </c>
      <c r="E526" s="1369"/>
    </row>
    <row r="527" ht="23.25" customHeight="1">
      <c r="A527" s="1371">
        <v>525.0</v>
      </c>
      <c r="B527" s="1372" t="s">
        <v>181</v>
      </c>
      <c r="C527" s="1373"/>
      <c r="D527" s="1366" t="str">
        <f t="shared" si="18"/>
        <v>boldore</v>
      </c>
      <c r="E527" s="1373"/>
    </row>
    <row r="528" ht="23.25" customHeight="1">
      <c r="A528" s="1374">
        <v>526.0</v>
      </c>
      <c r="B528" s="1368" t="s">
        <v>1533</v>
      </c>
      <c r="C528" s="1369"/>
      <c r="D528" s="1370" t="str">
        <f t="shared" si="18"/>
        <v>gigalith</v>
      </c>
      <c r="E528" s="1370"/>
    </row>
    <row r="529" ht="23.25" customHeight="1">
      <c r="A529" s="1371">
        <v>527.0</v>
      </c>
      <c r="B529" s="1372" t="s">
        <v>311</v>
      </c>
      <c r="C529" s="1373"/>
      <c r="D529" s="1366" t="str">
        <f t="shared" si="18"/>
        <v>woobat</v>
      </c>
      <c r="E529" s="1366"/>
    </row>
    <row r="530" ht="23.25" customHeight="1">
      <c r="A530" s="1367">
        <v>528.0</v>
      </c>
      <c r="B530" s="1368" t="s">
        <v>1534</v>
      </c>
      <c r="C530" s="1369"/>
      <c r="D530" s="1370" t="str">
        <f t="shared" si="18"/>
        <v>swoobat</v>
      </c>
      <c r="E530" s="1370"/>
    </row>
    <row r="531" ht="23.25" customHeight="1">
      <c r="A531" s="1363">
        <v>529.0</v>
      </c>
      <c r="B531" s="1372" t="s">
        <v>359</v>
      </c>
      <c r="C531" s="1373"/>
      <c r="D531" s="1366" t="str">
        <f t="shared" si="18"/>
        <v>drilbur</v>
      </c>
      <c r="E531" s="1366"/>
    </row>
    <row r="532" ht="23.25" customHeight="1">
      <c r="A532" s="1367">
        <v>530.0</v>
      </c>
      <c r="B532" s="1368" t="s">
        <v>473</v>
      </c>
      <c r="C532" s="1369"/>
      <c r="D532" s="1370" t="str">
        <f t="shared" si="18"/>
        <v>excadrill</v>
      </c>
      <c r="E532" s="1370"/>
    </row>
    <row r="533" ht="23.25" customHeight="1">
      <c r="A533" s="1371">
        <v>531.0</v>
      </c>
      <c r="B533" s="1372" t="s">
        <v>196</v>
      </c>
      <c r="C533" s="1373"/>
      <c r="D533" s="1366" t="str">
        <f t="shared" si="18"/>
        <v>audino</v>
      </c>
      <c r="E533" s="1366"/>
    </row>
    <row r="534" ht="23.25" customHeight="1">
      <c r="A534" s="1374">
        <v>532.0</v>
      </c>
      <c r="B534" s="1368" t="s">
        <v>279</v>
      </c>
      <c r="C534" s="1369"/>
      <c r="D534" s="1370" t="str">
        <f t="shared" si="18"/>
        <v>timburr</v>
      </c>
      <c r="E534" s="1370"/>
    </row>
    <row r="535" ht="23.25" customHeight="1">
      <c r="A535" s="1371">
        <v>533.0</v>
      </c>
      <c r="B535" s="1372" t="s">
        <v>1535</v>
      </c>
      <c r="C535" s="1373"/>
      <c r="D535" s="1366" t="str">
        <f t="shared" si="18"/>
        <v>gurdurr</v>
      </c>
      <c r="E535" s="1366"/>
    </row>
    <row r="536" ht="23.25" customHeight="1">
      <c r="A536" s="1367">
        <v>534.0</v>
      </c>
      <c r="B536" s="1368" t="s">
        <v>572</v>
      </c>
      <c r="C536" s="1369"/>
      <c r="D536" s="1370" t="str">
        <f t="shared" si="18"/>
        <v>conkeldurr</v>
      </c>
      <c r="E536" s="1369"/>
    </row>
    <row r="537" ht="23.25" customHeight="1">
      <c r="A537" s="1363">
        <v>535.0</v>
      </c>
      <c r="B537" s="1372" t="s">
        <v>605</v>
      </c>
      <c r="C537" s="1373"/>
      <c r="D537" s="1366" t="str">
        <f t="shared" si="18"/>
        <v>tympole</v>
      </c>
      <c r="E537" s="1366"/>
    </row>
    <row r="538" ht="23.25" customHeight="1">
      <c r="A538" s="1367">
        <v>536.0</v>
      </c>
      <c r="B538" s="1368" t="s">
        <v>1536</v>
      </c>
      <c r="C538" s="1369"/>
      <c r="D538" s="1370"/>
      <c r="E538" s="1370"/>
    </row>
    <row r="539" ht="23.25" customHeight="1">
      <c r="A539" s="1371">
        <v>537.0</v>
      </c>
      <c r="B539" s="1372" t="s">
        <v>417</v>
      </c>
      <c r="C539" s="1373"/>
      <c r="D539" s="1366" t="s">
        <v>1537</v>
      </c>
      <c r="E539" s="1366"/>
    </row>
    <row r="540" ht="23.25" customHeight="1">
      <c r="A540" s="1374">
        <v>538.0</v>
      </c>
      <c r="B540" s="1368" t="s">
        <v>328</v>
      </c>
      <c r="C540" s="1369"/>
      <c r="D540" s="1370" t="s">
        <v>1538</v>
      </c>
      <c r="E540" s="1370"/>
    </row>
    <row r="541" ht="23.25" customHeight="1">
      <c r="A541" s="1371">
        <v>539.0</v>
      </c>
      <c r="B541" s="1372" t="s">
        <v>598</v>
      </c>
      <c r="C541" s="1373"/>
      <c r="D541" s="1366" t="str">
        <f t="shared" ref="D541:D556" si="19">LOWER(B541)</f>
        <v>sawk</v>
      </c>
      <c r="E541" s="1366"/>
    </row>
    <row r="542" ht="23.25" customHeight="1">
      <c r="A542" s="1367">
        <v>540.0</v>
      </c>
      <c r="B542" s="1368" t="s">
        <v>306</v>
      </c>
      <c r="C542" s="1369"/>
      <c r="D542" s="1370" t="str">
        <f t="shared" si="19"/>
        <v>sewaddle</v>
      </c>
      <c r="E542" s="1370"/>
    </row>
    <row r="543" ht="23.25" customHeight="1">
      <c r="A543" s="1363">
        <v>541.0</v>
      </c>
      <c r="B543" s="1372" t="s">
        <v>190</v>
      </c>
      <c r="C543" s="1373"/>
      <c r="D543" s="1366" t="str">
        <f t="shared" si="19"/>
        <v>swadloon</v>
      </c>
      <c r="E543" s="1366"/>
    </row>
    <row r="544" ht="23.25" customHeight="1">
      <c r="A544" s="1367">
        <v>542.0</v>
      </c>
      <c r="B544" s="1368" t="s">
        <v>1539</v>
      </c>
      <c r="C544" s="1369"/>
      <c r="D544" s="1370" t="str">
        <f t="shared" si="19"/>
        <v>leavanny</v>
      </c>
      <c r="E544" s="1370"/>
    </row>
    <row r="545" ht="23.25" customHeight="1">
      <c r="A545" s="1371">
        <v>543.0</v>
      </c>
      <c r="B545" s="1372" t="s">
        <v>370</v>
      </c>
      <c r="C545" s="1373"/>
      <c r="D545" s="1366" t="str">
        <f t="shared" si="19"/>
        <v>venipede</v>
      </c>
      <c r="E545" s="1366"/>
    </row>
    <row r="546" ht="23.25" customHeight="1">
      <c r="A546" s="1374">
        <v>544.0</v>
      </c>
      <c r="B546" s="1368" t="s">
        <v>329</v>
      </c>
      <c r="C546" s="1369"/>
      <c r="D546" s="1370" t="str">
        <f t="shared" si="19"/>
        <v>whirlipede</v>
      </c>
      <c r="E546" s="1370"/>
    </row>
    <row r="547" ht="23.25" customHeight="1">
      <c r="A547" s="1371">
        <v>545.0</v>
      </c>
      <c r="B547" s="1372" t="s">
        <v>1540</v>
      </c>
      <c r="C547" s="1373"/>
      <c r="D547" s="1366" t="str">
        <f t="shared" si="19"/>
        <v>scolipede</v>
      </c>
      <c r="E547" s="1366"/>
    </row>
    <row r="548" ht="23.25" customHeight="1">
      <c r="A548" s="1367">
        <v>546.0</v>
      </c>
      <c r="B548" s="1368" t="s">
        <v>554</v>
      </c>
      <c r="C548" s="1369"/>
      <c r="D548" s="1370" t="str">
        <f t="shared" si="19"/>
        <v>cottonee</v>
      </c>
      <c r="E548" s="1370"/>
    </row>
    <row r="549" ht="23.25" customHeight="1">
      <c r="A549" s="1363">
        <v>547.0</v>
      </c>
      <c r="B549" s="1372" t="s">
        <v>1541</v>
      </c>
      <c r="C549" s="1373"/>
      <c r="D549" s="1366" t="str">
        <f t="shared" si="19"/>
        <v>whimsicott</v>
      </c>
      <c r="E549" s="1366"/>
    </row>
    <row r="550" ht="23.25" customHeight="1">
      <c r="A550" s="1367">
        <v>548.0</v>
      </c>
      <c r="B550" s="1368" t="s">
        <v>173</v>
      </c>
      <c r="C550" s="1369"/>
      <c r="D550" s="1370" t="str">
        <f t="shared" si="19"/>
        <v>petilil</v>
      </c>
      <c r="E550" s="1370"/>
    </row>
    <row r="551" ht="23.25" customHeight="1">
      <c r="A551" s="1371">
        <v>549.0</v>
      </c>
      <c r="B551" s="1372" t="s">
        <v>264</v>
      </c>
      <c r="C551" s="1373"/>
      <c r="D551" s="1366" t="str">
        <f t="shared" si="19"/>
        <v>lilligant</v>
      </c>
      <c r="E551" s="1366"/>
    </row>
    <row r="552" ht="23.25" customHeight="1">
      <c r="A552" s="1374">
        <v>550.0</v>
      </c>
      <c r="B552" s="1368" t="s">
        <v>706</v>
      </c>
      <c r="C552" s="1369"/>
      <c r="D552" s="1370" t="str">
        <f t="shared" si="19"/>
        <v>basculin</v>
      </c>
      <c r="E552" s="1370"/>
    </row>
    <row r="553" ht="23.25" customHeight="1">
      <c r="A553" s="1371">
        <v>551.0</v>
      </c>
      <c r="B553" s="1372" t="s">
        <v>365</v>
      </c>
      <c r="C553" s="1373"/>
      <c r="D553" s="1366" t="str">
        <f t="shared" si="19"/>
        <v>sandile</v>
      </c>
      <c r="E553" s="1366"/>
    </row>
    <row r="554" ht="23.25" customHeight="1">
      <c r="A554" s="1367">
        <v>552.0</v>
      </c>
      <c r="B554" s="1368" t="s">
        <v>1542</v>
      </c>
      <c r="C554" s="1369"/>
      <c r="D554" s="1370" t="str">
        <f t="shared" si="19"/>
        <v>krokorok</v>
      </c>
      <c r="E554" s="1370"/>
    </row>
    <row r="555" ht="23.25" customHeight="1">
      <c r="A555" s="1363">
        <v>553.0</v>
      </c>
      <c r="B555" s="1372" t="s">
        <v>470</v>
      </c>
      <c r="C555" s="1373"/>
      <c r="D555" s="1366" t="str">
        <f t="shared" si="19"/>
        <v>krookodile</v>
      </c>
      <c r="E555" s="1366"/>
    </row>
    <row r="556" ht="23.25" customHeight="1">
      <c r="A556" s="1367">
        <v>554.0</v>
      </c>
      <c r="B556" s="1368" t="s">
        <v>235</v>
      </c>
      <c r="C556" s="1369"/>
      <c r="D556" s="1370" t="str">
        <f t="shared" si="19"/>
        <v>darumaka</v>
      </c>
      <c r="E556" s="1370"/>
    </row>
    <row r="557" ht="23.25" customHeight="1">
      <c r="A557" s="1371">
        <v>555.0</v>
      </c>
      <c r="B557" s="1372" t="s">
        <v>262</v>
      </c>
      <c r="C557" s="1373"/>
      <c r="D557" s="1366" t="s">
        <v>1543</v>
      </c>
      <c r="E557" s="1366"/>
    </row>
    <row r="558" ht="23.25" customHeight="1">
      <c r="A558" s="1374">
        <v>556.0</v>
      </c>
      <c r="B558" s="1368" t="s">
        <v>318</v>
      </c>
      <c r="C558" s="1369"/>
      <c r="D558" s="1370" t="str">
        <f t="shared" ref="D558:D594" si="20">LOWER(B558)</f>
        <v>maractus</v>
      </c>
      <c r="E558" s="1370"/>
    </row>
    <row r="559" ht="23.25" customHeight="1">
      <c r="A559" s="1371">
        <v>557.0</v>
      </c>
      <c r="B559" s="1372" t="s">
        <v>304</v>
      </c>
      <c r="C559" s="1373"/>
      <c r="D559" s="1366" t="str">
        <f t="shared" si="20"/>
        <v>dwebble</v>
      </c>
      <c r="E559" s="1366"/>
    </row>
    <row r="560" ht="23.25" customHeight="1">
      <c r="A560" s="1367">
        <v>558.0</v>
      </c>
      <c r="B560" s="1368" t="s">
        <v>346</v>
      </c>
      <c r="C560" s="1369"/>
      <c r="D560" s="1370" t="str">
        <f t="shared" si="20"/>
        <v>crustle</v>
      </c>
      <c r="E560" s="1370"/>
    </row>
    <row r="561" ht="23.25" customHeight="1">
      <c r="A561" s="1363">
        <v>559.0</v>
      </c>
      <c r="B561" s="1372" t="s">
        <v>579</v>
      </c>
      <c r="C561" s="1373"/>
      <c r="D561" s="1366" t="str">
        <f t="shared" si="20"/>
        <v>scraggy</v>
      </c>
      <c r="E561" s="1366"/>
    </row>
    <row r="562" ht="23.25" customHeight="1">
      <c r="A562" s="1367">
        <v>560.0</v>
      </c>
      <c r="B562" s="1368" t="s">
        <v>1544</v>
      </c>
      <c r="C562" s="1369"/>
      <c r="D562" s="1370" t="str">
        <f t="shared" si="20"/>
        <v>scrafty</v>
      </c>
      <c r="E562" s="1370"/>
    </row>
    <row r="563" ht="23.25" customHeight="1">
      <c r="A563" s="1371">
        <v>561.0</v>
      </c>
      <c r="B563" s="1372" t="s">
        <v>413</v>
      </c>
      <c r="C563" s="1373"/>
      <c r="D563" s="1366" t="str">
        <f t="shared" si="20"/>
        <v>sigilyph</v>
      </c>
      <c r="E563" s="1366"/>
    </row>
    <row r="564" ht="23.25" customHeight="1">
      <c r="A564" s="1374">
        <v>562.0</v>
      </c>
      <c r="B564" s="1368" t="s">
        <v>276</v>
      </c>
      <c r="C564" s="1369"/>
      <c r="D564" s="1370" t="str">
        <f t="shared" si="20"/>
        <v>yamask</v>
      </c>
      <c r="E564" s="1370"/>
    </row>
    <row r="565" ht="23.25" customHeight="1">
      <c r="A565" s="1371">
        <v>563.0</v>
      </c>
      <c r="B565" s="1372" t="s">
        <v>184</v>
      </c>
      <c r="C565" s="1373"/>
      <c r="D565" s="1366" t="str">
        <f t="shared" si="20"/>
        <v>cofagrigus</v>
      </c>
      <c r="E565" s="1366"/>
    </row>
    <row r="566" ht="23.25" customHeight="1">
      <c r="A566" s="1367">
        <v>564.0</v>
      </c>
      <c r="B566" s="1368" t="s">
        <v>808</v>
      </c>
      <c r="C566" s="1369"/>
      <c r="D566" s="1370" t="str">
        <f t="shared" si="20"/>
        <v>tirtouga</v>
      </c>
      <c r="E566" s="1370"/>
    </row>
    <row r="567" ht="23.25" customHeight="1">
      <c r="A567" s="1363">
        <v>565.0</v>
      </c>
      <c r="B567" s="1372" t="s">
        <v>1545</v>
      </c>
      <c r="C567" s="1373"/>
      <c r="D567" s="1366" t="str">
        <f t="shared" si="20"/>
        <v>carracosta</v>
      </c>
      <c r="E567" s="1366"/>
    </row>
    <row r="568" ht="23.25" customHeight="1">
      <c r="A568" s="1367">
        <v>566.0</v>
      </c>
      <c r="B568" s="1368" t="s">
        <v>805</v>
      </c>
      <c r="C568" s="1369"/>
      <c r="D568" s="1370" t="str">
        <f t="shared" si="20"/>
        <v>archen</v>
      </c>
      <c r="E568" s="1370"/>
    </row>
    <row r="569" ht="23.25" customHeight="1">
      <c r="A569" s="1371">
        <v>567.0</v>
      </c>
      <c r="B569" s="1372" t="s">
        <v>1546</v>
      </c>
      <c r="C569" s="1373"/>
      <c r="D569" s="1366" t="str">
        <f t="shared" si="20"/>
        <v>archeops</v>
      </c>
      <c r="E569" s="1366"/>
    </row>
    <row r="570" ht="23.25" customHeight="1">
      <c r="A570" s="1374">
        <v>568.0</v>
      </c>
      <c r="B570" s="1368" t="s">
        <v>566</v>
      </c>
      <c r="C570" s="1369"/>
      <c r="D570" s="1370" t="str">
        <f t="shared" si="20"/>
        <v>trubbish</v>
      </c>
      <c r="E570" s="1370"/>
    </row>
    <row r="571" ht="23.25" customHeight="1">
      <c r="A571" s="1371">
        <v>569.0</v>
      </c>
      <c r="B571" s="1372" t="s">
        <v>197</v>
      </c>
      <c r="C571" s="1373"/>
      <c r="D571" s="1366" t="str">
        <f t="shared" si="20"/>
        <v>garbodor</v>
      </c>
      <c r="E571" s="1366"/>
    </row>
    <row r="572" ht="23.25" customHeight="1">
      <c r="A572" s="1367">
        <v>570.0</v>
      </c>
      <c r="B572" s="1368" t="s">
        <v>766</v>
      </c>
      <c r="C572" s="1369"/>
      <c r="D572" s="1370" t="str">
        <f t="shared" si="20"/>
        <v>zorua</v>
      </c>
      <c r="E572" s="1370"/>
    </row>
    <row r="573" ht="23.25" customHeight="1">
      <c r="A573" s="1363">
        <v>571.0</v>
      </c>
      <c r="B573" s="1372" t="s">
        <v>1547</v>
      </c>
      <c r="C573" s="1373"/>
      <c r="D573" s="1366" t="str">
        <f t="shared" si="20"/>
        <v>zoroark</v>
      </c>
      <c r="E573" s="1366"/>
    </row>
    <row r="574" ht="23.25" customHeight="1">
      <c r="A574" s="1367">
        <v>572.0</v>
      </c>
      <c r="B574" s="1368" t="s">
        <v>183</v>
      </c>
      <c r="C574" s="1369"/>
      <c r="D574" s="1370" t="str">
        <f t="shared" si="20"/>
        <v>minccino</v>
      </c>
      <c r="E574" s="1370"/>
    </row>
    <row r="575" ht="23.25" customHeight="1">
      <c r="A575" s="1371">
        <v>573.0</v>
      </c>
      <c r="B575" s="1372" t="s">
        <v>1548</v>
      </c>
      <c r="C575" s="1373"/>
      <c r="D575" s="1366" t="str">
        <f t="shared" si="20"/>
        <v>cinccino</v>
      </c>
      <c r="E575" s="1366"/>
    </row>
    <row r="576" ht="23.25" customHeight="1">
      <c r="A576" s="1374">
        <v>574.0</v>
      </c>
      <c r="B576" s="1368" t="s">
        <v>565</v>
      </c>
      <c r="C576" s="1369"/>
      <c r="D576" s="1370" t="str">
        <f t="shared" si="20"/>
        <v>gothita</v>
      </c>
      <c r="E576" s="1370"/>
    </row>
    <row r="577" ht="23.25" customHeight="1">
      <c r="A577" s="1371">
        <v>575.0</v>
      </c>
      <c r="B577" s="1372" t="s">
        <v>1549</v>
      </c>
      <c r="C577" s="1373"/>
      <c r="D577" s="1366" t="str">
        <f t="shared" si="20"/>
        <v>gothorita</v>
      </c>
      <c r="E577" s="1366"/>
    </row>
    <row r="578" ht="23.25" customHeight="1">
      <c r="A578" s="1367">
        <v>576.0</v>
      </c>
      <c r="B578" s="1368" t="s">
        <v>1550</v>
      </c>
      <c r="C578" s="1369"/>
      <c r="D578" s="1370" t="str">
        <f t="shared" si="20"/>
        <v>gothitelle</v>
      </c>
      <c r="E578" s="1370"/>
    </row>
    <row r="579" ht="23.25" customHeight="1">
      <c r="A579" s="1363">
        <v>577.0</v>
      </c>
      <c r="B579" s="1372" t="s">
        <v>231</v>
      </c>
      <c r="C579" s="1373"/>
      <c r="D579" s="1366" t="str">
        <f t="shared" si="20"/>
        <v>solosis</v>
      </c>
      <c r="E579" s="1366"/>
    </row>
    <row r="580" ht="23.25" customHeight="1">
      <c r="A580" s="1367">
        <v>578.0</v>
      </c>
      <c r="B580" s="1368" t="s">
        <v>1551</v>
      </c>
      <c r="C580" s="1369"/>
      <c r="D580" s="1370" t="str">
        <f t="shared" si="20"/>
        <v>duosion</v>
      </c>
      <c r="E580" s="1370"/>
    </row>
    <row r="581" ht="23.25" customHeight="1">
      <c r="A581" s="1371">
        <v>579.0</v>
      </c>
      <c r="B581" s="1372" t="s">
        <v>619</v>
      </c>
      <c r="C581" s="1373"/>
      <c r="D581" s="1366" t="str">
        <f t="shared" si="20"/>
        <v>reuniclus</v>
      </c>
      <c r="E581" s="1366"/>
    </row>
    <row r="582" ht="23.25" customHeight="1">
      <c r="A582" s="1374">
        <v>580.0</v>
      </c>
      <c r="B582" s="1368" t="s">
        <v>177</v>
      </c>
      <c r="C582" s="1369"/>
      <c r="D582" s="1370" t="str">
        <f t="shared" si="20"/>
        <v>ducklett</v>
      </c>
      <c r="E582" s="1370"/>
    </row>
    <row r="583" ht="23.25" customHeight="1">
      <c r="A583" s="1371">
        <v>581.0</v>
      </c>
      <c r="B583" s="1372" t="s">
        <v>1552</v>
      </c>
      <c r="C583" s="1373"/>
      <c r="D583" s="1366" t="str">
        <f t="shared" si="20"/>
        <v>swanna</v>
      </c>
      <c r="E583" s="1366"/>
    </row>
    <row r="584" ht="23.25" customHeight="1">
      <c r="A584" s="1367">
        <v>582.0</v>
      </c>
      <c r="B584" s="1368" t="s">
        <v>240</v>
      </c>
      <c r="C584" s="1369"/>
      <c r="D584" s="1370" t="str">
        <f t="shared" si="20"/>
        <v>vanillite</v>
      </c>
      <c r="E584" s="1370"/>
    </row>
    <row r="585" ht="23.25" customHeight="1">
      <c r="A585" s="1363">
        <v>583.0</v>
      </c>
      <c r="B585" s="1372" t="s">
        <v>1553</v>
      </c>
      <c r="C585" s="1373"/>
      <c r="D585" s="1366" t="str">
        <f t="shared" si="20"/>
        <v>vanillish</v>
      </c>
      <c r="E585" s="1366"/>
    </row>
    <row r="586" ht="23.25" customHeight="1">
      <c r="A586" s="1367">
        <v>584.0</v>
      </c>
      <c r="B586" s="1368" t="s">
        <v>250</v>
      </c>
      <c r="C586" s="1369"/>
      <c r="D586" s="1370" t="str">
        <f t="shared" si="20"/>
        <v>vanilluxe</v>
      </c>
      <c r="E586" s="1370"/>
    </row>
    <row r="587" ht="23.25" customHeight="1">
      <c r="A587" s="1371">
        <v>585.0</v>
      </c>
      <c r="B587" s="1372" t="s">
        <v>113</v>
      </c>
      <c r="C587" s="1373"/>
      <c r="D587" s="1366" t="str">
        <f t="shared" si="20"/>
        <v>deerling</v>
      </c>
      <c r="E587" s="1366"/>
    </row>
    <row r="588" ht="23.25" customHeight="1">
      <c r="A588" s="1374">
        <v>586.0</v>
      </c>
      <c r="B588" s="1368" t="s">
        <v>1554</v>
      </c>
      <c r="C588" s="1369"/>
      <c r="D588" s="1370" t="str">
        <f t="shared" si="20"/>
        <v>sawsbuck</v>
      </c>
      <c r="E588" s="1370"/>
    </row>
    <row r="589" ht="23.25" customHeight="1">
      <c r="A589" s="1371">
        <v>587.0</v>
      </c>
      <c r="B589" s="1372" t="s">
        <v>613</v>
      </c>
      <c r="C589" s="1373"/>
      <c r="D589" s="1366" t="str">
        <f t="shared" si="20"/>
        <v>emolga</v>
      </c>
      <c r="E589" s="1366"/>
    </row>
    <row r="590" ht="23.25" customHeight="1">
      <c r="A590" s="1367">
        <v>588.0</v>
      </c>
      <c r="B590" s="1368" t="s">
        <v>315</v>
      </c>
      <c r="C590" s="1369"/>
      <c r="D590" s="1370" t="str">
        <f t="shared" si="20"/>
        <v>karrablast</v>
      </c>
      <c r="E590" s="1370"/>
    </row>
    <row r="591" ht="23.25" customHeight="1">
      <c r="A591" s="1363">
        <v>589.0</v>
      </c>
      <c r="B591" s="1372" t="s">
        <v>509</v>
      </c>
      <c r="C591" s="1373"/>
      <c r="D591" s="1366" t="str">
        <f t="shared" si="20"/>
        <v>escavalier</v>
      </c>
      <c r="E591" s="1366"/>
    </row>
    <row r="592" ht="23.25" customHeight="1">
      <c r="A592" s="1367">
        <v>590.0</v>
      </c>
      <c r="B592" s="1368" t="s">
        <v>543</v>
      </c>
      <c r="C592" s="1369"/>
      <c r="D592" s="1370" t="str">
        <f t="shared" si="20"/>
        <v>foongus</v>
      </c>
      <c r="E592" s="1370"/>
    </row>
    <row r="593" ht="23.25" customHeight="1">
      <c r="A593" s="1371">
        <v>591.0</v>
      </c>
      <c r="B593" s="1372" t="s">
        <v>129</v>
      </c>
      <c r="C593" s="1373"/>
      <c r="D593" s="1366" t="str">
        <f t="shared" si="20"/>
        <v>amoonguss</v>
      </c>
      <c r="E593" s="1366"/>
    </row>
    <row r="594" ht="23.25" customHeight="1">
      <c r="A594" s="1374">
        <v>592.0</v>
      </c>
      <c r="B594" s="1368" t="s">
        <v>689</v>
      </c>
      <c r="C594" s="1369"/>
      <c r="D594" s="1370" t="str">
        <f t="shared" si="20"/>
        <v>frillish</v>
      </c>
      <c r="E594" s="1370"/>
    </row>
    <row r="595" ht="23.25" customHeight="1">
      <c r="A595" s="1371">
        <v>593.0</v>
      </c>
      <c r="B595" s="1372" t="s">
        <v>738</v>
      </c>
      <c r="C595" s="1373"/>
      <c r="D595" s="1366" t="s">
        <v>1555</v>
      </c>
      <c r="E595" s="1366"/>
    </row>
    <row r="596" ht="23.25" customHeight="1">
      <c r="A596" s="1367">
        <v>594.0</v>
      </c>
      <c r="B596" s="1368" t="s">
        <v>717</v>
      </c>
      <c r="C596" s="1369"/>
      <c r="D596" s="1370" t="str">
        <f t="shared" ref="D596:D614" si="21">LOWER(B596)</f>
        <v>alomomola</v>
      </c>
      <c r="E596" s="1370"/>
    </row>
    <row r="597" ht="23.25" customHeight="1">
      <c r="A597" s="1363">
        <v>595.0</v>
      </c>
      <c r="B597" s="1372" t="s">
        <v>492</v>
      </c>
      <c r="C597" s="1373"/>
      <c r="D597" s="1366" t="str">
        <f t="shared" si="21"/>
        <v>joltik</v>
      </c>
      <c r="E597" s="1366"/>
    </row>
    <row r="598" ht="23.25" customHeight="1">
      <c r="A598" s="1367">
        <v>596.0</v>
      </c>
      <c r="B598" s="1368" t="s">
        <v>297</v>
      </c>
      <c r="C598" s="1369"/>
      <c r="D598" s="1370" t="str">
        <f t="shared" si="21"/>
        <v>galvantula</v>
      </c>
      <c r="E598" s="1370"/>
    </row>
    <row r="599" ht="23.25" customHeight="1">
      <c r="A599" s="1371">
        <v>597.0</v>
      </c>
      <c r="B599" s="1372" t="s">
        <v>440</v>
      </c>
      <c r="C599" s="1373"/>
      <c r="D599" s="1366" t="str">
        <f t="shared" si="21"/>
        <v>ferroseed</v>
      </c>
      <c r="E599" s="1366"/>
    </row>
    <row r="600" ht="23.25" customHeight="1">
      <c r="A600" s="1374">
        <v>598.0</v>
      </c>
      <c r="B600" s="1368" t="s">
        <v>466</v>
      </c>
      <c r="C600" s="1369"/>
      <c r="D600" s="1370" t="str">
        <f t="shared" si="21"/>
        <v>ferrothorn</v>
      </c>
      <c r="E600" s="1370"/>
    </row>
    <row r="601" ht="23.25" customHeight="1">
      <c r="A601" s="1371">
        <v>599.0</v>
      </c>
      <c r="B601" s="1372" t="s">
        <v>1106</v>
      </c>
      <c r="C601" s="1373"/>
      <c r="D601" s="1366" t="str">
        <f t="shared" si="21"/>
        <v>klink</v>
      </c>
      <c r="E601" s="1366"/>
    </row>
    <row r="602" ht="23.25" customHeight="1">
      <c r="A602" s="1367">
        <v>600.0</v>
      </c>
      <c r="B602" s="1368" t="s">
        <v>1556</v>
      </c>
      <c r="C602" s="1369"/>
      <c r="D602" s="1370" t="str">
        <f t="shared" si="21"/>
        <v>klang</v>
      </c>
      <c r="E602" s="1370"/>
    </row>
    <row r="603" ht="23.25" customHeight="1">
      <c r="A603" s="1363">
        <v>601.0</v>
      </c>
      <c r="B603" s="1372" t="s">
        <v>1557</v>
      </c>
      <c r="C603" s="1373"/>
      <c r="D603" s="1366" t="str">
        <f t="shared" si="21"/>
        <v>klinklang</v>
      </c>
      <c r="E603" s="1366"/>
    </row>
    <row r="604" ht="23.25" customHeight="1">
      <c r="A604" s="1367">
        <v>602.0</v>
      </c>
      <c r="B604" s="1375" t="s">
        <v>675</v>
      </c>
      <c r="C604" s="1369"/>
      <c r="D604" s="1370" t="str">
        <f t="shared" si="21"/>
        <v>tynamo</v>
      </c>
      <c r="E604" s="1370"/>
    </row>
    <row r="605" ht="23.25" customHeight="1">
      <c r="A605" s="1371">
        <v>603.0</v>
      </c>
      <c r="B605" s="1372" t="s">
        <v>1558</v>
      </c>
      <c r="C605" s="1373"/>
      <c r="D605" s="1366" t="str">
        <f t="shared" si="21"/>
        <v>eelektrik</v>
      </c>
      <c r="E605" s="1366"/>
    </row>
    <row r="606" ht="23.25" customHeight="1">
      <c r="A606" s="1374">
        <v>604.0</v>
      </c>
      <c r="B606" s="1368" t="s">
        <v>300</v>
      </c>
      <c r="C606" s="1369"/>
      <c r="D606" s="1370" t="str">
        <f t="shared" si="21"/>
        <v>eelektross</v>
      </c>
      <c r="E606" s="1370"/>
    </row>
    <row r="607" ht="23.25" customHeight="1">
      <c r="A607" s="1371">
        <v>605.0</v>
      </c>
      <c r="B607" s="1372" t="s">
        <v>497</v>
      </c>
      <c r="C607" s="1373"/>
      <c r="D607" s="1366" t="str">
        <f t="shared" si="21"/>
        <v>elgyem</v>
      </c>
      <c r="E607" s="1366"/>
    </row>
    <row r="608" ht="23.25" customHeight="1">
      <c r="A608" s="1367">
        <v>606.0</v>
      </c>
      <c r="B608" s="1368" t="s">
        <v>1559</v>
      </c>
      <c r="C608" s="1369"/>
      <c r="D608" s="1370" t="str">
        <f t="shared" si="21"/>
        <v>beheeyem</v>
      </c>
      <c r="E608" s="1370"/>
    </row>
    <row r="609" ht="23.25" customHeight="1">
      <c r="A609" s="1363">
        <v>607.0</v>
      </c>
      <c r="B609" s="1372" t="s">
        <v>1560</v>
      </c>
      <c r="C609" s="1373"/>
      <c r="D609" s="1366" t="str">
        <f t="shared" si="21"/>
        <v>litwick</v>
      </c>
      <c r="E609" s="1366"/>
    </row>
    <row r="610" ht="23.25" customHeight="1">
      <c r="A610" s="1367">
        <v>608.0</v>
      </c>
      <c r="B610" s="1368" t="s">
        <v>507</v>
      </c>
      <c r="C610" s="1369"/>
      <c r="D610" s="1370" t="str">
        <f t="shared" si="21"/>
        <v>lampent</v>
      </c>
      <c r="E610" s="1370"/>
    </row>
    <row r="611" ht="23.25" customHeight="1">
      <c r="A611" s="1371">
        <v>609.0</v>
      </c>
      <c r="B611" s="1372" t="s">
        <v>1561</v>
      </c>
      <c r="C611" s="1373"/>
      <c r="D611" s="1366" t="str">
        <f t="shared" si="21"/>
        <v>chandelure</v>
      </c>
      <c r="E611" s="1366"/>
    </row>
    <row r="612" ht="23.25" customHeight="1">
      <c r="A612" s="1374">
        <v>610.0</v>
      </c>
      <c r="B612" s="1368" t="s">
        <v>495</v>
      </c>
      <c r="C612" s="1369"/>
      <c r="D612" s="1370" t="str">
        <f t="shared" si="21"/>
        <v>axew</v>
      </c>
      <c r="E612" s="1370"/>
    </row>
    <row r="613" ht="23.25" customHeight="1">
      <c r="A613" s="1371">
        <v>611.0</v>
      </c>
      <c r="B613" s="1372" t="s">
        <v>1562</v>
      </c>
      <c r="C613" s="1373"/>
      <c r="D613" s="1366" t="str">
        <f t="shared" si="21"/>
        <v>fraxure</v>
      </c>
      <c r="E613" s="1366"/>
    </row>
    <row r="614" ht="23.25" customHeight="1">
      <c r="A614" s="1367">
        <v>612.0</v>
      </c>
      <c r="B614" s="1368" t="s">
        <v>1563</v>
      </c>
      <c r="C614" s="1369"/>
      <c r="D614" s="1370" t="str">
        <f t="shared" si="21"/>
        <v>haxorus</v>
      </c>
      <c r="E614" s="1370"/>
    </row>
    <row r="615" ht="23.25" customHeight="1">
      <c r="A615" s="1363">
        <v>613.0</v>
      </c>
      <c r="B615" s="1372" t="s">
        <v>352</v>
      </c>
      <c r="C615" s="1373"/>
      <c r="D615" s="1366" t="s">
        <v>1564</v>
      </c>
      <c r="E615" s="1366"/>
    </row>
    <row r="616" ht="23.25" customHeight="1">
      <c r="A616" s="1367">
        <v>614.0</v>
      </c>
      <c r="B616" s="1368" t="s">
        <v>249</v>
      </c>
      <c r="C616" s="1369"/>
      <c r="D616" s="1370" t="str">
        <f t="shared" ref="D616:D697" si="22">LOWER(B616)</f>
        <v>beartic</v>
      </c>
      <c r="E616" s="1370"/>
    </row>
    <row r="617" ht="23.25" customHeight="1">
      <c r="A617" s="1371">
        <v>615.0</v>
      </c>
      <c r="B617" s="1372" t="s">
        <v>467</v>
      </c>
      <c r="C617" s="1373"/>
      <c r="D617" s="1366" t="str">
        <f t="shared" si="22"/>
        <v>cryogonal</v>
      </c>
      <c r="E617" s="1366"/>
    </row>
    <row r="618" ht="23.25" customHeight="1">
      <c r="A618" s="1374">
        <v>616.0</v>
      </c>
      <c r="B618" s="1368" t="s">
        <v>105</v>
      </c>
      <c r="C618" s="1369"/>
      <c r="D618" s="1370" t="str">
        <f t="shared" si="22"/>
        <v>shelmet</v>
      </c>
      <c r="E618" s="1370"/>
    </row>
    <row r="619" ht="23.25" customHeight="1">
      <c r="A619" s="1371">
        <v>617.0</v>
      </c>
      <c r="B619" s="1372" t="s">
        <v>1565</v>
      </c>
      <c r="C619" s="1373"/>
      <c r="D619" s="1366" t="str">
        <f t="shared" si="22"/>
        <v>accelgor</v>
      </c>
      <c r="E619" s="1366"/>
    </row>
    <row r="620" ht="23.25" customHeight="1">
      <c r="A620" s="1367">
        <v>618.0</v>
      </c>
      <c r="B620" s="1368" t="s">
        <v>234</v>
      </c>
      <c r="C620" s="1369"/>
      <c r="D620" s="1370" t="str">
        <f t="shared" si="22"/>
        <v>stunfisk</v>
      </c>
      <c r="E620" s="1370"/>
    </row>
    <row r="621" ht="23.25" customHeight="1">
      <c r="A621" s="1363">
        <v>619.0</v>
      </c>
      <c r="B621" s="1372" t="s">
        <v>271</v>
      </c>
      <c r="C621" s="1373"/>
      <c r="D621" s="1366" t="str">
        <f t="shared" si="22"/>
        <v>mienfoo</v>
      </c>
      <c r="E621" s="1366"/>
    </row>
    <row r="622" ht="23.25" customHeight="1">
      <c r="A622" s="1367">
        <v>620.0</v>
      </c>
      <c r="B622" s="1368" t="s">
        <v>1566</v>
      </c>
      <c r="C622" s="1369"/>
      <c r="D622" s="1370" t="str">
        <f t="shared" si="22"/>
        <v>mienshao</v>
      </c>
      <c r="E622" s="1370"/>
    </row>
    <row r="623" ht="23.25" customHeight="1">
      <c r="A623" s="1371">
        <v>621.0</v>
      </c>
      <c r="B623" s="1372" t="s">
        <v>775</v>
      </c>
      <c r="C623" s="1373"/>
      <c r="D623" s="1366" t="str">
        <f t="shared" si="22"/>
        <v>druddigon</v>
      </c>
      <c r="E623" s="1373"/>
    </row>
    <row r="624" ht="23.25" customHeight="1">
      <c r="A624" s="1374">
        <v>622.0</v>
      </c>
      <c r="B624" s="1368" t="s">
        <v>319</v>
      </c>
      <c r="C624" s="1369"/>
      <c r="D624" s="1370" t="str">
        <f t="shared" si="22"/>
        <v>golett</v>
      </c>
      <c r="E624" s="1369"/>
    </row>
    <row r="625" ht="23.25" customHeight="1">
      <c r="A625" s="1371">
        <v>623.0</v>
      </c>
      <c r="B625" s="1372" t="s">
        <v>1140</v>
      </c>
      <c r="C625" s="1373"/>
      <c r="D625" s="1366" t="str">
        <f t="shared" si="22"/>
        <v>golurk</v>
      </c>
      <c r="E625" s="1373"/>
    </row>
    <row r="626" ht="23.25" customHeight="1">
      <c r="A626" s="1367">
        <v>624.0</v>
      </c>
      <c r="B626" s="1368" t="s">
        <v>228</v>
      </c>
      <c r="C626" s="1369"/>
      <c r="D626" s="1370" t="str">
        <f t="shared" si="22"/>
        <v>pawniard</v>
      </c>
      <c r="E626" s="1369"/>
    </row>
    <row r="627" ht="23.25" customHeight="1">
      <c r="A627" s="1363">
        <v>625.0</v>
      </c>
      <c r="B627" s="1372" t="s">
        <v>772</v>
      </c>
      <c r="C627" s="1373"/>
      <c r="D627" s="1366" t="str">
        <f t="shared" si="22"/>
        <v>bisharp</v>
      </c>
      <c r="E627" s="1373"/>
    </row>
    <row r="628" ht="23.25" customHeight="1">
      <c r="A628" s="1367">
        <v>626.0</v>
      </c>
      <c r="B628" s="1368" t="s">
        <v>291</v>
      </c>
      <c r="C628" s="1369"/>
      <c r="D628" s="1370" t="str">
        <f t="shared" si="22"/>
        <v>bouffalant</v>
      </c>
      <c r="E628" s="1369"/>
    </row>
    <row r="629" ht="23.25" customHeight="1">
      <c r="A629" s="1371">
        <v>627.0</v>
      </c>
      <c r="B629" s="1372" t="s">
        <v>239</v>
      </c>
      <c r="C629" s="1373"/>
      <c r="D629" s="1366" t="str">
        <f t="shared" si="22"/>
        <v>rufflet</v>
      </c>
      <c r="E629" s="1373"/>
    </row>
    <row r="630" ht="23.25" customHeight="1">
      <c r="A630" s="1374">
        <v>628.0</v>
      </c>
      <c r="B630" s="1368" t="s">
        <v>1567</v>
      </c>
      <c r="C630" s="1369"/>
      <c r="D630" s="1370" t="str">
        <f t="shared" si="22"/>
        <v>braviary</v>
      </c>
      <c r="E630" s="1369"/>
    </row>
    <row r="631" ht="23.25" customHeight="1">
      <c r="A631" s="1371">
        <v>629.0</v>
      </c>
      <c r="B631" s="1372" t="s">
        <v>568</v>
      </c>
      <c r="C631" s="1373"/>
      <c r="D631" s="1366" t="str">
        <f t="shared" si="22"/>
        <v>vullaby</v>
      </c>
      <c r="E631" s="1373"/>
    </row>
    <row r="632" ht="23.25" customHeight="1">
      <c r="A632" s="1367">
        <v>630.0</v>
      </c>
      <c r="B632" s="1368" t="s">
        <v>1568</v>
      </c>
      <c r="C632" s="1369"/>
      <c r="D632" s="1370" t="str">
        <f t="shared" si="22"/>
        <v>mandibuzz</v>
      </c>
      <c r="E632" s="1369"/>
    </row>
    <row r="633" ht="23.25" customHeight="1">
      <c r="A633" s="1363">
        <v>631.0</v>
      </c>
      <c r="B633" s="1372" t="s">
        <v>334</v>
      </c>
      <c r="C633" s="1373"/>
      <c r="D633" s="1366" t="str">
        <f t="shared" si="22"/>
        <v>heatmor</v>
      </c>
      <c r="E633" s="1373"/>
    </row>
    <row r="634" ht="23.25" customHeight="1">
      <c r="A634" s="1367">
        <v>632.0</v>
      </c>
      <c r="B634" s="1368" t="s">
        <v>372</v>
      </c>
      <c r="C634" s="1369"/>
      <c r="D634" s="1370" t="str">
        <f t="shared" si="22"/>
        <v>durant</v>
      </c>
      <c r="E634" s="1369"/>
    </row>
    <row r="635" ht="23.25" customHeight="1">
      <c r="A635" s="1371">
        <v>633.0</v>
      </c>
      <c r="B635" s="1372" t="s">
        <v>1239</v>
      </c>
      <c r="C635" s="1373"/>
      <c r="D635" s="1366" t="str">
        <f t="shared" si="22"/>
        <v>deino</v>
      </c>
      <c r="E635" s="1373"/>
    </row>
    <row r="636" ht="23.25" customHeight="1">
      <c r="A636" s="1374">
        <v>634.0</v>
      </c>
      <c r="B636" s="1368" t="s">
        <v>1569</v>
      </c>
      <c r="C636" s="1369"/>
      <c r="D636" s="1370" t="str">
        <f t="shared" si="22"/>
        <v>zweilous</v>
      </c>
      <c r="E636" s="1369"/>
    </row>
    <row r="637" ht="23.25" customHeight="1">
      <c r="A637" s="1371">
        <v>635.0</v>
      </c>
      <c r="B637" s="1372" t="s">
        <v>1570</v>
      </c>
      <c r="C637" s="1373"/>
      <c r="D637" s="1366" t="str">
        <f t="shared" si="22"/>
        <v>hydreigon</v>
      </c>
      <c r="E637" s="1373"/>
    </row>
    <row r="638" ht="23.25" customHeight="1">
      <c r="A638" s="1367">
        <v>636.0</v>
      </c>
      <c r="B638" s="1368" t="s">
        <v>1236</v>
      </c>
      <c r="C638" s="1369"/>
      <c r="D638" s="1370" t="str">
        <f t="shared" si="22"/>
        <v>larvesta</v>
      </c>
      <c r="E638" s="1369"/>
    </row>
    <row r="639" ht="23.25" customHeight="1">
      <c r="A639" s="1363">
        <v>637.0</v>
      </c>
      <c r="B639" s="1372" t="s">
        <v>421</v>
      </c>
      <c r="C639" s="1373"/>
      <c r="D639" s="1366" t="str">
        <f t="shared" si="22"/>
        <v>volcarona</v>
      </c>
      <c r="E639" s="1373"/>
    </row>
    <row r="640" ht="23.25" customHeight="1">
      <c r="A640" s="1367">
        <v>638.0</v>
      </c>
      <c r="B640" s="1368" t="s">
        <v>891</v>
      </c>
      <c r="C640" s="1369"/>
      <c r="D640" s="1370" t="str">
        <f t="shared" si="22"/>
        <v>cobalion</v>
      </c>
      <c r="E640" s="1370"/>
    </row>
    <row r="641" ht="23.25" customHeight="1">
      <c r="A641" s="1371">
        <v>639.0</v>
      </c>
      <c r="B641" s="1372" t="s">
        <v>893</v>
      </c>
      <c r="C641" s="1373"/>
      <c r="D641" s="1366" t="str">
        <f t="shared" si="22"/>
        <v>terrakion</v>
      </c>
      <c r="E641" s="1366"/>
    </row>
    <row r="642" ht="23.25" customHeight="1">
      <c r="A642" s="1374">
        <v>640.0</v>
      </c>
      <c r="B642" s="1368" t="s">
        <v>895</v>
      </c>
      <c r="C642" s="1369"/>
      <c r="D642" s="1370" t="str">
        <f t="shared" si="22"/>
        <v>virizion</v>
      </c>
      <c r="E642" s="1370"/>
    </row>
    <row r="643" ht="23.25" customHeight="1">
      <c r="A643" s="1371">
        <v>641.0</v>
      </c>
      <c r="B643" s="1364" t="s">
        <v>897</v>
      </c>
      <c r="C643" s="1373"/>
      <c r="D643" s="1366" t="str">
        <f t="shared" si="22"/>
        <v>tornadus-i</v>
      </c>
      <c r="E643" s="1366"/>
    </row>
    <row r="644" ht="23.25" customHeight="1">
      <c r="A644" s="1367">
        <v>642.0</v>
      </c>
      <c r="B644" s="1375" t="s">
        <v>900</v>
      </c>
      <c r="C644" s="1369"/>
      <c r="D644" s="1370" t="str">
        <f t="shared" si="22"/>
        <v>thundurus-i</v>
      </c>
      <c r="E644" s="1370"/>
    </row>
    <row r="645" ht="23.25" customHeight="1">
      <c r="A645" s="1363">
        <v>643.0</v>
      </c>
      <c r="B645" s="1372" t="s">
        <v>903</v>
      </c>
      <c r="C645" s="1373"/>
      <c r="D645" s="1366" t="str">
        <f t="shared" si="22"/>
        <v>reshiram</v>
      </c>
      <c r="E645" s="1366"/>
    </row>
    <row r="646" ht="23.25" customHeight="1">
      <c r="A646" s="1367">
        <v>644.0</v>
      </c>
      <c r="B646" s="1368" t="s">
        <v>904</v>
      </c>
      <c r="C646" s="1369"/>
      <c r="D646" s="1370" t="str">
        <f t="shared" si="22"/>
        <v>zekrom</v>
      </c>
      <c r="E646" s="1370"/>
    </row>
    <row r="647" ht="23.25" customHeight="1">
      <c r="A647" s="1371">
        <v>645.0</v>
      </c>
      <c r="B647" s="1364" t="s">
        <v>905</v>
      </c>
      <c r="C647" s="1373"/>
      <c r="D647" s="1366" t="str">
        <f t="shared" si="22"/>
        <v>landorus-i</v>
      </c>
      <c r="E647" s="1366"/>
    </row>
    <row r="648" ht="23.25" customHeight="1">
      <c r="A648" s="1374">
        <v>646.0</v>
      </c>
      <c r="B648" s="1368" t="s">
        <v>908</v>
      </c>
      <c r="C648" s="1369"/>
      <c r="D648" s="1370" t="str">
        <f t="shared" si="22"/>
        <v>kyurem</v>
      </c>
      <c r="E648" s="1370"/>
    </row>
    <row r="649" ht="23.25" customHeight="1">
      <c r="A649" s="1371">
        <v>647.0</v>
      </c>
      <c r="B649" s="1372" t="s">
        <v>912</v>
      </c>
      <c r="C649" s="1373"/>
      <c r="D649" s="1366" t="str">
        <f t="shared" si="22"/>
        <v>keldeo</v>
      </c>
      <c r="E649" s="1366"/>
    </row>
    <row r="650" ht="23.25" customHeight="1">
      <c r="A650" s="1367">
        <v>648.0</v>
      </c>
      <c r="B650" s="1368" t="s">
        <v>914</v>
      </c>
      <c r="C650" s="1369"/>
      <c r="D650" s="1370" t="str">
        <f t="shared" si="22"/>
        <v>meloetta</v>
      </c>
      <c r="E650" s="1370"/>
    </row>
    <row r="651" ht="23.25" customHeight="1">
      <c r="A651" s="1363">
        <v>649.0</v>
      </c>
      <c r="B651" s="1372" t="s">
        <v>915</v>
      </c>
      <c r="C651" s="1373"/>
      <c r="D651" s="1366" t="str">
        <f t="shared" si="22"/>
        <v>genesect</v>
      </c>
      <c r="E651" s="1366"/>
    </row>
    <row r="652" ht="23.25" customHeight="1">
      <c r="A652" s="1367">
        <v>650.0</v>
      </c>
      <c r="B652" s="1368" t="s">
        <v>1211</v>
      </c>
      <c r="C652" s="1369"/>
      <c r="D652" s="1370" t="str">
        <f t="shared" si="22"/>
        <v>chespin</v>
      </c>
      <c r="E652" s="1370"/>
    </row>
    <row r="653" ht="23.25" customHeight="1">
      <c r="A653" s="1371">
        <v>651.0</v>
      </c>
      <c r="B653" s="1372" t="s">
        <v>1571</v>
      </c>
      <c r="C653" s="1373"/>
      <c r="D653" s="1366" t="str">
        <f t="shared" si="22"/>
        <v>quilladin</v>
      </c>
      <c r="E653" s="1366"/>
    </row>
    <row r="654" ht="23.25" customHeight="1">
      <c r="A654" s="1374">
        <v>652.0</v>
      </c>
      <c r="B654" s="1368" t="s">
        <v>1572</v>
      </c>
      <c r="C654" s="1369"/>
      <c r="D654" s="1370" t="str">
        <f t="shared" si="22"/>
        <v>chesnaught</v>
      </c>
      <c r="E654" s="1370"/>
    </row>
    <row r="655" ht="23.25" customHeight="1">
      <c r="A655" s="1371">
        <v>653.0</v>
      </c>
      <c r="B655" s="1372" t="s">
        <v>1213</v>
      </c>
      <c r="C655" s="1373"/>
      <c r="D655" s="1366" t="str">
        <f t="shared" si="22"/>
        <v>fennekin</v>
      </c>
      <c r="E655" s="1366"/>
    </row>
    <row r="656" ht="23.25" customHeight="1">
      <c r="A656" s="1367">
        <v>654.0</v>
      </c>
      <c r="B656" s="1368" t="s">
        <v>1573</v>
      </c>
      <c r="C656" s="1369"/>
      <c r="D656" s="1370" t="str">
        <f t="shared" si="22"/>
        <v>braixen</v>
      </c>
      <c r="E656" s="1370"/>
    </row>
    <row r="657" ht="23.25" customHeight="1">
      <c r="A657" s="1363">
        <v>655.0</v>
      </c>
      <c r="B657" s="1372" t="s">
        <v>1574</v>
      </c>
      <c r="C657" s="1373"/>
      <c r="D657" s="1366" t="str">
        <f t="shared" si="22"/>
        <v>delphox</v>
      </c>
      <c r="E657" s="1366"/>
    </row>
    <row r="658" ht="23.25" customHeight="1">
      <c r="A658" s="1367">
        <v>656.0</v>
      </c>
      <c r="B658" s="1368" t="s">
        <v>1212</v>
      </c>
      <c r="C658" s="1369"/>
      <c r="D658" s="1370" t="str">
        <f t="shared" si="22"/>
        <v>froakie</v>
      </c>
      <c r="E658" s="1370"/>
    </row>
    <row r="659" ht="23.25" customHeight="1">
      <c r="A659" s="1371">
        <v>657.0</v>
      </c>
      <c r="B659" s="1372" t="s">
        <v>1575</v>
      </c>
      <c r="C659" s="1373"/>
      <c r="D659" s="1366" t="str">
        <f t="shared" si="22"/>
        <v>frogadier</v>
      </c>
      <c r="E659" s="1366"/>
    </row>
    <row r="660" ht="23.25" customHeight="1">
      <c r="A660" s="1374">
        <v>658.0</v>
      </c>
      <c r="B660" s="1368" t="s">
        <v>1576</v>
      </c>
      <c r="C660" s="1369"/>
      <c r="D660" s="1370" t="str">
        <f t="shared" si="22"/>
        <v>greninja</v>
      </c>
      <c r="E660" s="1370"/>
    </row>
    <row r="661" ht="23.25" customHeight="1">
      <c r="A661" s="1371">
        <v>659.0</v>
      </c>
      <c r="B661" s="1372" t="s">
        <v>364</v>
      </c>
      <c r="C661" s="1373"/>
      <c r="D661" s="1366" t="str">
        <f t="shared" si="22"/>
        <v>bunnelby</v>
      </c>
      <c r="E661" s="1366"/>
    </row>
    <row r="662" ht="23.25" customHeight="1">
      <c r="A662" s="1367">
        <v>660.0</v>
      </c>
      <c r="B662" s="1368" t="s">
        <v>1577</v>
      </c>
      <c r="C662" s="1369"/>
      <c r="D662" s="1370" t="str">
        <f t="shared" si="22"/>
        <v>diggersby</v>
      </c>
      <c r="E662" s="1370"/>
    </row>
    <row r="663" ht="23.25" customHeight="1">
      <c r="A663" s="1363">
        <v>661.0</v>
      </c>
      <c r="B663" s="1372" t="s">
        <v>90</v>
      </c>
      <c r="C663" s="1373"/>
      <c r="D663" s="1366" t="str">
        <f t="shared" si="22"/>
        <v>fletchling</v>
      </c>
      <c r="E663" s="1366"/>
    </row>
    <row r="664" ht="23.25" customHeight="1">
      <c r="A664" s="1367">
        <v>662.0</v>
      </c>
      <c r="B664" s="1368" t="s">
        <v>1578</v>
      </c>
      <c r="C664" s="1369"/>
      <c r="D664" s="1370" t="str">
        <f t="shared" si="22"/>
        <v>fletchinder</v>
      </c>
      <c r="E664" s="1370"/>
    </row>
    <row r="665" ht="23.25" customHeight="1">
      <c r="A665" s="1371">
        <v>663.0</v>
      </c>
      <c r="B665" s="1372" t="s">
        <v>545</v>
      </c>
      <c r="C665" s="1373"/>
      <c r="D665" s="1366" t="str">
        <f t="shared" si="22"/>
        <v>talonflame</v>
      </c>
      <c r="E665" s="1366"/>
    </row>
    <row r="666" ht="23.25" customHeight="1">
      <c r="A666" s="1374">
        <v>664.0</v>
      </c>
      <c r="B666" s="1368" t="s">
        <v>354</v>
      </c>
      <c r="C666" s="1369"/>
      <c r="D666" s="1370" t="str">
        <f t="shared" si="22"/>
        <v>scatterbug</v>
      </c>
      <c r="E666" s="1370"/>
    </row>
    <row r="667" ht="23.25" customHeight="1">
      <c r="A667" s="1371">
        <v>665.0</v>
      </c>
      <c r="B667" s="1372" t="s">
        <v>1579</v>
      </c>
      <c r="C667" s="1373"/>
      <c r="D667" s="1366" t="str">
        <f t="shared" si="22"/>
        <v>spewpa</v>
      </c>
      <c r="E667" s="1366"/>
    </row>
    <row r="668" ht="23.25" customHeight="1">
      <c r="A668" s="1367">
        <v>666.0</v>
      </c>
      <c r="B668" s="1368" t="s">
        <v>1580</v>
      </c>
      <c r="C668" s="1369"/>
      <c r="D668" s="1370" t="str">
        <f t="shared" si="22"/>
        <v>vivillon</v>
      </c>
      <c r="E668" s="1370"/>
    </row>
    <row r="669" ht="23.25" customHeight="1">
      <c r="A669" s="1363">
        <v>667.0</v>
      </c>
      <c r="B669" s="1372" t="s">
        <v>431</v>
      </c>
      <c r="C669" s="1373"/>
      <c r="D669" s="1366" t="str">
        <f t="shared" si="22"/>
        <v>litleo</v>
      </c>
      <c r="E669" s="1366"/>
    </row>
    <row r="670" ht="23.25" customHeight="1">
      <c r="A670" s="1367">
        <v>668.0</v>
      </c>
      <c r="B670" s="1368" t="s">
        <v>342</v>
      </c>
      <c r="C670" s="1369"/>
      <c r="D670" s="1370" t="str">
        <f t="shared" si="22"/>
        <v>pyroar</v>
      </c>
      <c r="E670" s="1370"/>
    </row>
    <row r="671" ht="23.25" customHeight="1">
      <c r="A671" s="1371">
        <v>669.0</v>
      </c>
      <c r="B671" s="1364" t="s">
        <v>436</v>
      </c>
      <c r="C671" s="1373"/>
      <c r="D671" s="1366" t="str">
        <f t="shared" si="22"/>
        <v>flabébé</v>
      </c>
      <c r="E671" s="1366"/>
    </row>
    <row r="672" ht="23.25" customHeight="1">
      <c r="A672" s="1374">
        <v>670.0</v>
      </c>
      <c r="B672" s="1368" t="s">
        <v>1581</v>
      </c>
      <c r="C672" s="1369"/>
      <c r="D672" s="1370" t="str">
        <f t="shared" si="22"/>
        <v>floette</v>
      </c>
      <c r="E672" s="1370"/>
    </row>
    <row r="673" ht="23.25" customHeight="1">
      <c r="A673" s="1371">
        <v>671.0</v>
      </c>
      <c r="B673" s="1372" t="s">
        <v>1252</v>
      </c>
      <c r="C673" s="1373"/>
      <c r="D673" s="1366" t="str">
        <f t="shared" si="22"/>
        <v>florges</v>
      </c>
      <c r="E673" s="1366"/>
    </row>
    <row r="674" ht="23.25" customHeight="1">
      <c r="A674" s="1367">
        <v>672.0</v>
      </c>
      <c r="B674" s="1368" t="s">
        <v>589</v>
      </c>
      <c r="C674" s="1369"/>
      <c r="D674" s="1370" t="str">
        <f t="shared" si="22"/>
        <v>skiddo</v>
      </c>
      <c r="E674" s="1370"/>
    </row>
    <row r="675" ht="23.25" customHeight="1">
      <c r="A675" s="1363">
        <v>673.0</v>
      </c>
      <c r="B675" s="1372" t="s">
        <v>1582</v>
      </c>
      <c r="C675" s="1373"/>
      <c r="D675" s="1366" t="str">
        <f t="shared" si="22"/>
        <v>gogoat</v>
      </c>
      <c r="E675" s="1366"/>
    </row>
    <row r="676" ht="23.25" customHeight="1">
      <c r="A676" s="1367">
        <v>674.0</v>
      </c>
      <c r="B676" s="1368" t="s">
        <v>538</v>
      </c>
      <c r="C676" s="1369"/>
      <c r="D676" s="1370" t="str">
        <f t="shared" si="22"/>
        <v>pancham</v>
      </c>
      <c r="E676" s="1370"/>
    </row>
    <row r="677" ht="23.25" customHeight="1">
      <c r="A677" s="1371">
        <v>675.0</v>
      </c>
      <c r="B677" s="1372" t="s">
        <v>573</v>
      </c>
      <c r="C677" s="1373"/>
      <c r="D677" s="1366" t="str">
        <f t="shared" si="22"/>
        <v>pangoro</v>
      </c>
      <c r="E677" s="1366"/>
    </row>
    <row r="678" ht="23.25" customHeight="1">
      <c r="A678" s="1374">
        <v>676.0</v>
      </c>
      <c r="B678" s="1368" t="s">
        <v>285</v>
      </c>
      <c r="C678" s="1369"/>
      <c r="D678" s="1370" t="str">
        <f t="shared" si="22"/>
        <v>furfrou</v>
      </c>
      <c r="E678" s="1370"/>
    </row>
    <row r="679" ht="23.25" customHeight="1">
      <c r="A679" s="1371">
        <v>677.0</v>
      </c>
      <c r="B679" s="1372" t="s">
        <v>582</v>
      </c>
      <c r="C679" s="1373"/>
      <c r="D679" s="1366" t="str">
        <f t="shared" si="22"/>
        <v>espurr</v>
      </c>
      <c r="E679" s="1366"/>
    </row>
    <row r="680" ht="23.25" customHeight="1">
      <c r="A680" s="1367">
        <v>678.0</v>
      </c>
      <c r="B680" s="1368" t="s">
        <v>1583</v>
      </c>
      <c r="C680" s="1369"/>
      <c r="D680" s="1370" t="str">
        <f t="shared" si="22"/>
        <v>meowstic</v>
      </c>
      <c r="E680" s="1370"/>
    </row>
    <row r="681" ht="23.25" customHeight="1">
      <c r="A681" s="1363">
        <v>679.0</v>
      </c>
      <c r="B681" s="1372" t="s">
        <v>1240</v>
      </c>
      <c r="C681" s="1373"/>
      <c r="D681" s="1366" t="str">
        <f t="shared" si="22"/>
        <v>honedge</v>
      </c>
      <c r="E681" s="1366"/>
    </row>
    <row r="682" ht="23.25" customHeight="1">
      <c r="A682" s="1367">
        <v>680.0</v>
      </c>
      <c r="B682" s="1368" t="s">
        <v>1584</v>
      </c>
      <c r="C682" s="1369"/>
      <c r="D682" s="1370" t="str">
        <f t="shared" si="22"/>
        <v>doublade</v>
      </c>
      <c r="E682" s="1370"/>
    </row>
    <row r="683" ht="23.25" customHeight="1">
      <c r="A683" s="1371">
        <v>681.0</v>
      </c>
      <c r="B683" s="1372" t="s">
        <v>442</v>
      </c>
      <c r="C683" s="1373"/>
      <c r="D683" s="1366" t="str">
        <f t="shared" si="22"/>
        <v>aegislash</v>
      </c>
      <c r="E683" s="1366"/>
    </row>
    <row r="684" ht="23.25" customHeight="1">
      <c r="A684" s="1374">
        <v>682.0</v>
      </c>
      <c r="B684" s="1368" t="s">
        <v>592</v>
      </c>
      <c r="C684" s="1369"/>
      <c r="D684" s="1370" t="str">
        <f t="shared" si="22"/>
        <v>spritzee</v>
      </c>
      <c r="E684" s="1370"/>
    </row>
    <row r="685" ht="23.25" customHeight="1">
      <c r="A685" s="1371">
        <v>683.0</v>
      </c>
      <c r="B685" s="1372" t="s">
        <v>1585</v>
      </c>
      <c r="C685" s="1373"/>
      <c r="D685" s="1366" t="str">
        <f t="shared" si="22"/>
        <v>aromatisse</v>
      </c>
      <c r="E685" s="1366"/>
    </row>
    <row r="686" ht="23.25" customHeight="1">
      <c r="A686" s="1367">
        <v>684.0</v>
      </c>
      <c r="B686" s="1368" t="s">
        <v>316</v>
      </c>
      <c r="C686" s="1369"/>
      <c r="D686" s="1370" t="str">
        <f t="shared" si="22"/>
        <v>swirlix</v>
      </c>
      <c r="E686" s="1370"/>
    </row>
    <row r="687" ht="23.25" customHeight="1">
      <c r="A687" s="1363">
        <v>685.0</v>
      </c>
      <c r="B687" s="1372" t="s">
        <v>1586</v>
      </c>
      <c r="C687" s="1373"/>
      <c r="D687" s="1366" t="str">
        <f t="shared" si="22"/>
        <v>slurpuff</v>
      </c>
      <c r="E687" s="1366"/>
    </row>
    <row r="688" ht="23.25" customHeight="1">
      <c r="A688" s="1367">
        <v>686.0</v>
      </c>
      <c r="B688" s="1368" t="s">
        <v>182</v>
      </c>
      <c r="C688" s="1369"/>
      <c r="D688" s="1370" t="str">
        <f t="shared" si="22"/>
        <v>inkay</v>
      </c>
      <c r="E688" s="1370"/>
    </row>
    <row r="689" ht="23.25" customHeight="1">
      <c r="A689" s="1371">
        <v>687.0</v>
      </c>
      <c r="B689" s="1372" t="s">
        <v>1587</v>
      </c>
      <c r="C689" s="1373"/>
      <c r="D689" s="1366" t="str">
        <f t="shared" si="22"/>
        <v>malamar</v>
      </c>
      <c r="E689" s="1366"/>
    </row>
    <row r="690" ht="23.25" customHeight="1">
      <c r="A690" s="1374">
        <v>688.0</v>
      </c>
      <c r="B690" s="1368" t="s">
        <v>669</v>
      </c>
      <c r="C690" s="1369"/>
      <c r="D690" s="1370" t="str">
        <f t="shared" si="22"/>
        <v>binacle</v>
      </c>
      <c r="E690" s="1370"/>
    </row>
    <row r="691" ht="23.25" customHeight="1">
      <c r="A691" s="1371">
        <v>689.0</v>
      </c>
      <c r="B691" s="1372" t="s">
        <v>747</v>
      </c>
      <c r="C691" s="1373"/>
      <c r="D691" s="1366" t="str">
        <f t="shared" si="22"/>
        <v>barbaracle</v>
      </c>
      <c r="E691" s="1366"/>
    </row>
    <row r="692" ht="23.25" customHeight="1">
      <c r="A692" s="1367">
        <v>690.0</v>
      </c>
      <c r="B692" s="1368" t="s">
        <v>665</v>
      </c>
      <c r="C692" s="1369"/>
      <c r="D692" s="1370" t="str">
        <f t="shared" si="22"/>
        <v>skrelp</v>
      </c>
      <c r="E692" s="1370"/>
    </row>
    <row r="693" ht="23.25" customHeight="1">
      <c r="A693" s="1363">
        <v>691.0</v>
      </c>
      <c r="B693" s="1372" t="s">
        <v>715</v>
      </c>
      <c r="C693" s="1373"/>
      <c r="D693" s="1366" t="str">
        <f t="shared" si="22"/>
        <v>dragalge</v>
      </c>
      <c r="E693" s="1366"/>
    </row>
    <row r="694" ht="23.25" customHeight="1">
      <c r="A694" s="1367">
        <v>692.0</v>
      </c>
      <c r="B694" s="1368" t="s">
        <v>672</v>
      </c>
      <c r="C694" s="1369"/>
      <c r="D694" s="1370" t="str">
        <f t="shared" si="22"/>
        <v>clauncher</v>
      </c>
      <c r="E694" s="1370"/>
    </row>
    <row r="695" ht="23.25" customHeight="1">
      <c r="A695" s="1371">
        <v>693.0</v>
      </c>
      <c r="B695" s="1372" t="s">
        <v>695</v>
      </c>
      <c r="C695" s="1373"/>
      <c r="D695" s="1366" t="str">
        <f t="shared" si="22"/>
        <v>clawitzer</v>
      </c>
      <c r="E695" s="1366"/>
    </row>
    <row r="696" ht="23.25" customHeight="1">
      <c r="A696" s="1374">
        <v>694.0</v>
      </c>
      <c r="B696" s="1368" t="s">
        <v>179</v>
      </c>
      <c r="C696" s="1369"/>
      <c r="D696" s="1370" t="str">
        <f t="shared" si="22"/>
        <v>helioptile</v>
      </c>
      <c r="E696" s="1370"/>
    </row>
    <row r="697" ht="23.25" customHeight="1">
      <c r="A697" s="1371">
        <v>695.0</v>
      </c>
      <c r="B697" s="1372" t="s">
        <v>616</v>
      </c>
      <c r="C697" s="1373"/>
      <c r="D697" s="1366" t="str">
        <f t="shared" si="22"/>
        <v>heliolisk</v>
      </c>
      <c r="E697" s="1366"/>
    </row>
    <row r="698" ht="23.25" customHeight="1">
      <c r="A698" s="1367">
        <v>696.0</v>
      </c>
      <c r="B698" s="1368" t="s">
        <v>807</v>
      </c>
      <c r="C698" s="1369"/>
      <c r="D698" s="1370" t="s">
        <v>1588</v>
      </c>
      <c r="E698" s="1370"/>
    </row>
    <row r="699" ht="23.25" customHeight="1">
      <c r="A699" s="1363">
        <v>697.0</v>
      </c>
      <c r="B699" s="1372" t="s">
        <v>1589</v>
      </c>
      <c r="C699" s="1373"/>
      <c r="D699" s="1366" t="str">
        <f t="shared" ref="D699:D706" si="23">LOWER(B699)</f>
        <v>tyrantrum</v>
      </c>
      <c r="E699" s="1366"/>
    </row>
    <row r="700" ht="23.25" customHeight="1">
      <c r="A700" s="1367">
        <v>698.0</v>
      </c>
      <c r="B700" s="1368" t="s">
        <v>809</v>
      </c>
      <c r="C700" s="1369"/>
      <c r="D700" s="1370" t="str">
        <f t="shared" si="23"/>
        <v>amaura</v>
      </c>
      <c r="E700" s="1370"/>
    </row>
    <row r="701" ht="23.25" customHeight="1">
      <c r="A701" s="1371">
        <v>699.0</v>
      </c>
      <c r="B701" s="1372" t="s">
        <v>1590</v>
      </c>
      <c r="C701" s="1373"/>
      <c r="D701" s="1366" t="str">
        <f t="shared" si="23"/>
        <v>aurorus</v>
      </c>
      <c r="E701" s="1366"/>
    </row>
    <row r="702" ht="23.25" customHeight="1">
      <c r="A702" s="1374">
        <v>700.0</v>
      </c>
      <c r="B702" s="1368" t="s">
        <v>1591</v>
      </c>
      <c r="C702" s="1369"/>
      <c r="D702" s="1370" t="str">
        <f t="shared" si="23"/>
        <v>sylveon</v>
      </c>
      <c r="E702" s="1370"/>
    </row>
    <row r="703" ht="23.25" customHeight="1">
      <c r="A703" s="1371">
        <v>701.0</v>
      </c>
      <c r="B703" s="1372" t="s">
        <v>522</v>
      </c>
      <c r="C703" s="1373"/>
      <c r="D703" s="1366" t="str">
        <f t="shared" si="23"/>
        <v>hawlucha</v>
      </c>
      <c r="E703" s="1366"/>
    </row>
    <row r="704" ht="23.25" customHeight="1">
      <c r="A704" s="1367">
        <v>702.0</v>
      </c>
      <c r="B704" s="1368" t="s">
        <v>363</v>
      </c>
      <c r="C704" s="1369"/>
      <c r="D704" s="1370" t="str">
        <f t="shared" si="23"/>
        <v>dedenne</v>
      </c>
      <c r="E704" s="1370"/>
    </row>
    <row r="705" ht="23.25" customHeight="1">
      <c r="A705" s="1363">
        <v>703.0</v>
      </c>
      <c r="B705" s="1372" t="s">
        <v>367</v>
      </c>
      <c r="C705" s="1373"/>
      <c r="D705" s="1366" t="str">
        <f t="shared" si="23"/>
        <v>carbink</v>
      </c>
      <c r="E705" s="1366"/>
    </row>
    <row r="706" ht="23.25" customHeight="1">
      <c r="A706" s="1367">
        <v>704.0</v>
      </c>
      <c r="B706" s="1368" t="s">
        <v>1241</v>
      </c>
      <c r="C706" s="1369"/>
      <c r="D706" s="1370" t="str">
        <f t="shared" si="23"/>
        <v>goomy</v>
      </c>
      <c r="E706" s="1370"/>
    </row>
    <row r="707" ht="23.25" customHeight="1">
      <c r="A707" s="1371">
        <v>705.0</v>
      </c>
      <c r="B707" s="1372" t="s">
        <v>1592</v>
      </c>
      <c r="C707" s="1373"/>
      <c r="D707" s="1366" t="s">
        <v>1593</v>
      </c>
      <c r="E707" s="1366"/>
    </row>
    <row r="708" ht="23.25" customHeight="1">
      <c r="A708" s="1374">
        <v>706.0</v>
      </c>
      <c r="B708" s="1368" t="s">
        <v>258</v>
      </c>
      <c r="C708" s="1369"/>
      <c r="D708" s="1370" t="str">
        <f t="shared" ref="D708:D722" si="24">LOWER(B708)</f>
        <v>goodra</v>
      </c>
      <c r="E708" s="1370"/>
    </row>
    <row r="709" ht="23.25" customHeight="1">
      <c r="A709" s="1371">
        <v>707.0</v>
      </c>
      <c r="B709" s="1372" t="s">
        <v>424</v>
      </c>
      <c r="C709" s="1373"/>
      <c r="D709" s="1366" t="str">
        <f t="shared" si="24"/>
        <v>klefki</v>
      </c>
      <c r="E709" s="1366"/>
    </row>
    <row r="710" ht="23.25" customHeight="1">
      <c r="A710" s="1367">
        <v>708.0</v>
      </c>
      <c r="B710" s="1368" t="s">
        <v>610</v>
      </c>
      <c r="C710" s="1369"/>
      <c r="D710" s="1370" t="str">
        <f t="shared" si="24"/>
        <v>phantump</v>
      </c>
      <c r="E710" s="1370"/>
    </row>
    <row r="711" ht="23.25" customHeight="1">
      <c r="A711" s="1363">
        <v>709.0</v>
      </c>
      <c r="B711" s="1372" t="s">
        <v>1594</v>
      </c>
      <c r="C711" s="1373"/>
      <c r="D711" s="1366" t="str">
        <f t="shared" si="24"/>
        <v>trevenant</v>
      </c>
      <c r="E711" s="1366"/>
    </row>
    <row r="712" ht="23.25" customHeight="1">
      <c r="A712" s="1367">
        <v>710.0</v>
      </c>
      <c r="B712" s="1368" t="s">
        <v>396</v>
      </c>
      <c r="C712" s="1369"/>
      <c r="D712" s="1370" t="str">
        <f t="shared" si="24"/>
        <v>pumpkaboo</v>
      </c>
      <c r="E712" s="1370"/>
    </row>
    <row r="713" ht="23.25" customHeight="1">
      <c r="A713" s="1371">
        <v>711.0</v>
      </c>
      <c r="B713" s="1364" t="s">
        <v>1595</v>
      </c>
      <c r="C713" s="1373"/>
      <c r="D713" s="1366" t="str">
        <f t="shared" si="24"/>
        <v>gourgeist</v>
      </c>
      <c r="E713" s="1366"/>
    </row>
    <row r="714" ht="23.25" customHeight="1">
      <c r="A714" s="1374">
        <v>712.0</v>
      </c>
      <c r="B714" s="1368" t="s">
        <v>541</v>
      </c>
      <c r="C714" s="1369"/>
      <c r="D714" s="1370" t="str">
        <f t="shared" si="24"/>
        <v>bergmite</v>
      </c>
      <c r="E714" s="1370"/>
    </row>
    <row r="715" ht="23.25" customHeight="1">
      <c r="A715" s="1371">
        <v>713.0</v>
      </c>
      <c r="B715" s="1372" t="s">
        <v>410</v>
      </c>
      <c r="C715" s="1373"/>
      <c r="D715" s="1366" t="str">
        <f t="shared" si="24"/>
        <v>avalugg</v>
      </c>
      <c r="E715" s="1366"/>
    </row>
    <row r="716" ht="23.25" customHeight="1">
      <c r="A716" s="1367">
        <v>714.0</v>
      </c>
      <c r="B716" s="1368" t="s">
        <v>494</v>
      </c>
      <c r="C716" s="1369"/>
      <c r="D716" s="1370" t="str">
        <f t="shared" si="24"/>
        <v>noibat</v>
      </c>
      <c r="E716" s="1370"/>
    </row>
    <row r="717" ht="23.25" customHeight="1">
      <c r="A717" s="1363">
        <v>715.0</v>
      </c>
      <c r="B717" s="1372" t="s">
        <v>202</v>
      </c>
      <c r="C717" s="1373"/>
      <c r="D717" s="1366" t="str">
        <f t="shared" si="24"/>
        <v>noivern</v>
      </c>
      <c r="E717" s="1366"/>
    </row>
    <row r="718" ht="23.25" customHeight="1">
      <c r="A718" s="1367">
        <v>716.0</v>
      </c>
      <c r="B718" s="1368" t="s">
        <v>918</v>
      </c>
      <c r="C718" s="1369"/>
      <c r="D718" s="1370" t="str">
        <f t="shared" si="24"/>
        <v>xerneas</v>
      </c>
      <c r="E718" s="1370"/>
    </row>
    <row r="719" ht="23.25" customHeight="1">
      <c r="A719" s="1371">
        <v>717.0</v>
      </c>
      <c r="B719" s="1372" t="s">
        <v>919</v>
      </c>
      <c r="C719" s="1373"/>
      <c r="D719" s="1366" t="str">
        <f t="shared" si="24"/>
        <v>yveltal</v>
      </c>
      <c r="E719" s="1366"/>
    </row>
    <row r="720" ht="23.25" customHeight="1">
      <c r="A720" s="1374">
        <v>718.0</v>
      </c>
      <c r="B720" s="1368" t="s">
        <v>922</v>
      </c>
      <c r="C720" s="1369"/>
      <c r="D720" s="1370" t="str">
        <f t="shared" si="24"/>
        <v>zygarde</v>
      </c>
      <c r="E720" s="1370"/>
    </row>
    <row r="721" ht="23.25" customHeight="1">
      <c r="A721" s="1371">
        <v>719.0</v>
      </c>
      <c r="B721" s="1372" t="s">
        <v>924</v>
      </c>
      <c r="C721" s="1373"/>
      <c r="D721" s="1366" t="str">
        <f t="shared" si="24"/>
        <v>diancie</v>
      </c>
      <c r="E721" s="1366"/>
    </row>
    <row r="722" ht="23.25" customHeight="1">
      <c r="A722" s="1367">
        <v>720.0</v>
      </c>
      <c r="B722" s="1368" t="s">
        <v>925</v>
      </c>
      <c r="C722" s="1369"/>
      <c r="D722" s="1370" t="str">
        <f t="shared" si="24"/>
        <v>hoopa</v>
      </c>
      <c r="E722" s="1370"/>
    </row>
    <row r="723" ht="23.25" customHeight="1">
      <c r="A723" s="1363">
        <v>721.0</v>
      </c>
      <c r="B723" s="1372" t="s">
        <v>929</v>
      </c>
      <c r="C723" s="1373"/>
      <c r="D723" s="1366" t="s">
        <v>1596</v>
      </c>
      <c r="E723" s="1366"/>
    </row>
    <row r="724" ht="23.25" customHeight="1">
      <c r="A724" s="1367">
        <v>722.0</v>
      </c>
      <c r="B724" s="1368" t="s">
        <v>1215</v>
      </c>
      <c r="C724" s="1369"/>
      <c r="D724" s="1370" t="str">
        <f t="shared" ref="D724:D795" si="25">LOWER(B724)</f>
        <v>rowlet</v>
      </c>
      <c r="E724" s="1370"/>
    </row>
    <row r="725" ht="23.25" customHeight="1">
      <c r="A725" s="1371">
        <v>723.0</v>
      </c>
      <c r="B725" s="1372" t="s">
        <v>1597</v>
      </c>
      <c r="C725" s="1373"/>
      <c r="D725" s="1366" t="str">
        <f t="shared" si="25"/>
        <v>dartrix</v>
      </c>
      <c r="E725" s="1366"/>
    </row>
    <row r="726" ht="23.25" customHeight="1">
      <c r="A726" s="1374">
        <v>724.0</v>
      </c>
      <c r="B726" s="1368" t="s">
        <v>1598</v>
      </c>
      <c r="C726" s="1369"/>
      <c r="D726" s="1370" t="str">
        <f t="shared" si="25"/>
        <v>decidueye</v>
      </c>
      <c r="E726" s="1370"/>
    </row>
    <row r="727" ht="23.25" customHeight="1">
      <c r="A727" s="1371">
        <v>725.0</v>
      </c>
      <c r="B727" s="1372" t="s">
        <v>1217</v>
      </c>
      <c r="C727" s="1373"/>
      <c r="D727" s="1366" t="str">
        <f t="shared" si="25"/>
        <v>litten</v>
      </c>
      <c r="E727" s="1366"/>
    </row>
    <row r="728" ht="23.25" customHeight="1">
      <c r="A728" s="1367">
        <v>726.0</v>
      </c>
      <c r="B728" s="1368" t="s">
        <v>1599</v>
      </c>
      <c r="C728" s="1369"/>
      <c r="D728" s="1370" t="str">
        <f t="shared" si="25"/>
        <v>torracat</v>
      </c>
      <c r="E728" s="1370"/>
    </row>
    <row r="729" ht="23.25" customHeight="1">
      <c r="A729" s="1363">
        <v>727.0</v>
      </c>
      <c r="B729" s="1372" t="s">
        <v>1600</v>
      </c>
      <c r="C729" s="1373"/>
      <c r="D729" s="1366" t="str">
        <f t="shared" si="25"/>
        <v>incineroar</v>
      </c>
      <c r="E729" s="1366"/>
    </row>
    <row r="730" ht="23.25" customHeight="1">
      <c r="A730" s="1367">
        <v>728.0</v>
      </c>
      <c r="B730" s="1368" t="s">
        <v>1216</v>
      </c>
      <c r="C730" s="1369"/>
      <c r="D730" s="1370" t="str">
        <f t="shared" si="25"/>
        <v>popplio</v>
      </c>
      <c r="E730" s="1370"/>
    </row>
    <row r="731" ht="23.25" customHeight="1">
      <c r="A731" s="1371">
        <v>729.0</v>
      </c>
      <c r="B731" s="1372" t="s">
        <v>1601</v>
      </c>
      <c r="C731" s="1373"/>
      <c r="D731" s="1366" t="str">
        <f t="shared" si="25"/>
        <v>brionne</v>
      </c>
      <c r="E731" s="1366"/>
    </row>
    <row r="732" ht="23.25" customHeight="1">
      <c r="A732" s="1374">
        <v>730.0</v>
      </c>
      <c r="B732" s="1368" t="s">
        <v>1602</v>
      </c>
      <c r="C732" s="1369"/>
      <c r="D732" s="1370" t="str">
        <f t="shared" si="25"/>
        <v>primarina</v>
      </c>
      <c r="E732" s="1370"/>
    </row>
    <row r="733" ht="23.25" customHeight="1">
      <c r="A733" s="1371">
        <v>731.0</v>
      </c>
      <c r="B733" s="1372" t="s">
        <v>445</v>
      </c>
      <c r="C733" s="1373"/>
      <c r="D733" s="1366" t="str">
        <f t="shared" si="25"/>
        <v>pikipek</v>
      </c>
      <c r="E733" s="1366"/>
    </row>
    <row r="734" ht="23.25" customHeight="1">
      <c r="A734" s="1367">
        <v>732.0</v>
      </c>
      <c r="B734" s="1368" t="s">
        <v>1603</v>
      </c>
      <c r="C734" s="1369"/>
      <c r="D734" s="1370" t="str">
        <f t="shared" si="25"/>
        <v>trumbeak</v>
      </c>
      <c r="E734" s="1370"/>
    </row>
    <row r="735" ht="23.25" customHeight="1">
      <c r="A735" s="1363">
        <v>733.0</v>
      </c>
      <c r="B735" s="1372" t="s">
        <v>1604</v>
      </c>
      <c r="C735" s="1373"/>
      <c r="D735" s="1366" t="str">
        <f t="shared" si="25"/>
        <v>toucannon</v>
      </c>
      <c r="E735" s="1366"/>
    </row>
    <row r="736" ht="23.25" customHeight="1">
      <c r="A736" s="1367">
        <v>734.0</v>
      </c>
      <c r="B736" s="1368" t="s">
        <v>351</v>
      </c>
      <c r="C736" s="1369"/>
      <c r="D736" s="1370" t="str">
        <f t="shared" si="25"/>
        <v>yungoos</v>
      </c>
      <c r="E736" s="1370"/>
    </row>
    <row r="737" ht="23.25" customHeight="1">
      <c r="A737" s="1371">
        <v>735.0</v>
      </c>
      <c r="B737" s="1372" t="s">
        <v>136</v>
      </c>
      <c r="C737" s="1373"/>
      <c r="D737" s="1366" t="str">
        <f t="shared" si="25"/>
        <v>gumshoos</v>
      </c>
      <c r="E737" s="1366"/>
    </row>
    <row r="738" ht="23.25" customHeight="1">
      <c r="A738" s="1374">
        <v>736.0</v>
      </c>
      <c r="B738" s="1368" t="s">
        <v>433</v>
      </c>
      <c r="C738" s="1369"/>
      <c r="D738" s="1370" t="str">
        <f t="shared" si="25"/>
        <v>grubbin</v>
      </c>
      <c r="E738" s="1370"/>
    </row>
    <row r="739" ht="23.25" customHeight="1">
      <c r="A739" s="1371">
        <v>737.0</v>
      </c>
      <c r="B739" s="1372" t="s">
        <v>412</v>
      </c>
      <c r="C739" s="1373"/>
      <c r="D739" s="1366" t="str">
        <f t="shared" si="25"/>
        <v>charjabug</v>
      </c>
      <c r="E739" s="1366"/>
    </row>
    <row r="740" ht="23.25" customHeight="1">
      <c r="A740" s="1367">
        <v>738.0</v>
      </c>
      <c r="B740" s="1368" t="s">
        <v>187</v>
      </c>
      <c r="C740" s="1369"/>
      <c r="D740" s="1370" t="str">
        <f t="shared" si="25"/>
        <v>vikavolt</v>
      </c>
      <c r="E740" s="1370"/>
    </row>
    <row r="741" ht="23.25" customHeight="1">
      <c r="A741" s="1363">
        <v>739.0</v>
      </c>
      <c r="B741" s="1372" t="s">
        <v>401</v>
      </c>
      <c r="C741" s="1373"/>
      <c r="D741" s="1366" t="str">
        <f t="shared" si="25"/>
        <v>crabrawler</v>
      </c>
      <c r="E741" s="1366"/>
    </row>
    <row r="742" ht="23.25" customHeight="1">
      <c r="A742" s="1367">
        <v>740.0</v>
      </c>
      <c r="B742" s="1368" t="s">
        <v>781</v>
      </c>
      <c r="C742" s="1369"/>
      <c r="D742" s="1370" t="str">
        <f t="shared" si="25"/>
        <v>crabominable</v>
      </c>
      <c r="E742" s="1370"/>
    </row>
    <row r="743" ht="23.25" customHeight="1">
      <c r="A743" s="1371">
        <v>741.0</v>
      </c>
      <c r="B743" s="1372" t="s">
        <v>375</v>
      </c>
      <c r="C743" s="1373"/>
      <c r="D743" s="1366" t="str">
        <f t="shared" si="25"/>
        <v>oricorio</v>
      </c>
      <c r="E743" s="1366"/>
    </row>
    <row r="744" ht="23.25" customHeight="1">
      <c r="A744" s="1374">
        <v>742.0</v>
      </c>
      <c r="B744" s="1368" t="s">
        <v>324</v>
      </c>
      <c r="C744" s="1369"/>
      <c r="D744" s="1370" t="str">
        <f t="shared" si="25"/>
        <v>cutiefly</v>
      </c>
      <c r="E744" s="1370"/>
    </row>
    <row r="745" ht="23.25" customHeight="1">
      <c r="A745" s="1371">
        <v>743.0</v>
      </c>
      <c r="B745" s="1372" t="s">
        <v>1605</v>
      </c>
      <c r="C745" s="1373"/>
      <c r="D745" s="1366" t="str">
        <f t="shared" si="25"/>
        <v>ribombee</v>
      </c>
      <c r="E745" s="1366"/>
    </row>
    <row r="746" ht="23.25" customHeight="1">
      <c r="A746" s="1367">
        <v>744.0</v>
      </c>
      <c r="B746" s="1368" t="s">
        <v>226</v>
      </c>
      <c r="C746" s="1369"/>
      <c r="D746" s="1370" t="str">
        <f t="shared" si="25"/>
        <v>rockruff</v>
      </c>
      <c r="E746" s="1370"/>
    </row>
    <row r="747" ht="23.25" customHeight="1">
      <c r="A747" s="1363">
        <v>745.0</v>
      </c>
      <c r="B747" s="1372" t="s">
        <v>1606</v>
      </c>
      <c r="C747" s="1373"/>
      <c r="D747" s="1366" t="str">
        <f t="shared" si="25"/>
        <v>lycanroc</v>
      </c>
      <c r="E747" s="1366"/>
    </row>
    <row r="748" ht="23.25" customHeight="1">
      <c r="A748" s="1367">
        <v>746.0</v>
      </c>
      <c r="B748" s="1368" t="s">
        <v>686</v>
      </c>
      <c r="C748" s="1369"/>
      <c r="D748" s="1370" t="str">
        <f t="shared" si="25"/>
        <v>wishiwashi</v>
      </c>
      <c r="E748" s="1370"/>
    </row>
    <row r="749" ht="23.25" customHeight="1">
      <c r="A749" s="1371">
        <v>747.0</v>
      </c>
      <c r="B749" s="1372" t="s">
        <v>681</v>
      </c>
      <c r="C749" s="1373"/>
      <c r="D749" s="1366" t="str">
        <f t="shared" si="25"/>
        <v>mareanie</v>
      </c>
      <c r="E749" s="1366"/>
    </row>
    <row r="750" ht="23.25" customHeight="1">
      <c r="A750" s="1374">
        <v>748.0</v>
      </c>
      <c r="B750" s="1368" t="s">
        <v>725</v>
      </c>
      <c r="C750" s="1369"/>
      <c r="D750" s="1370" t="str">
        <f t="shared" si="25"/>
        <v>toxapex</v>
      </c>
      <c r="E750" s="1370"/>
    </row>
    <row r="751" ht="23.25" customHeight="1">
      <c r="A751" s="1371">
        <v>749.0</v>
      </c>
      <c r="B751" s="1372" t="s">
        <v>395</v>
      </c>
      <c r="C751" s="1373"/>
      <c r="D751" s="1366" t="str">
        <f t="shared" si="25"/>
        <v>mudbray</v>
      </c>
      <c r="E751" s="1366"/>
    </row>
    <row r="752" ht="23.25" customHeight="1">
      <c r="A752" s="1367">
        <v>750.0</v>
      </c>
      <c r="B752" s="1368" t="s">
        <v>1607</v>
      </c>
      <c r="C752" s="1369"/>
      <c r="D752" s="1370" t="str">
        <f t="shared" si="25"/>
        <v>mudsdale</v>
      </c>
      <c r="E752" s="1370"/>
    </row>
    <row r="753" ht="23.25" customHeight="1">
      <c r="A753" s="1363">
        <v>751.0</v>
      </c>
      <c r="B753" s="1372" t="s">
        <v>288</v>
      </c>
      <c r="C753" s="1373"/>
      <c r="D753" s="1366" t="str">
        <f t="shared" si="25"/>
        <v>dewpider</v>
      </c>
      <c r="E753" s="1366"/>
    </row>
    <row r="754" ht="23.25" customHeight="1">
      <c r="A754" s="1367">
        <v>752.0</v>
      </c>
      <c r="B754" s="1368" t="s">
        <v>731</v>
      </c>
      <c r="C754" s="1369"/>
      <c r="D754" s="1370" t="str">
        <f t="shared" si="25"/>
        <v>araquanid</v>
      </c>
      <c r="E754" s="1370"/>
    </row>
    <row r="755" ht="23.25" customHeight="1">
      <c r="A755" s="1371">
        <v>753.0</v>
      </c>
      <c r="B755" s="1372" t="s">
        <v>115</v>
      </c>
      <c r="C755" s="1373"/>
      <c r="D755" s="1366" t="str">
        <f t="shared" si="25"/>
        <v>fomantis</v>
      </c>
      <c r="E755" s="1366"/>
    </row>
    <row r="756" ht="23.25" customHeight="1">
      <c r="A756" s="1374">
        <v>754.0</v>
      </c>
      <c r="B756" s="1368" t="s">
        <v>296</v>
      </c>
      <c r="C756" s="1369"/>
      <c r="D756" s="1370" t="str">
        <f t="shared" si="25"/>
        <v>lurantis</v>
      </c>
      <c r="E756" s="1370"/>
    </row>
    <row r="757" ht="23.25" customHeight="1">
      <c r="A757" s="1371">
        <v>755.0</v>
      </c>
      <c r="B757" s="1372" t="s">
        <v>272</v>
      </c>
      <c r="C757" s="1373"/>
      <c r="D757" s="1366" t="str">
        <f t="shared" si="25"/>
        <v>morelull</v>
      </c>
      <c r="E757" s="1366"/>
    </row>
    <row r="758" ht="23.25" customHeight="1">
      <c r="A758" s="1367">
        <v>756.0</v>
      </c>
      <c r="B758" s="1368" t="s">
        <v>1608</v>
      </c>
      <c r="C758" s="1369"/>
      <c r="D758" s="1370" t="str">
        <f t="shared" si="25"/>
        <v>shiinotic</v>
      </c>
      <c r="E758" s="1370"/>
    </row>
    <row r="759" ht="23.25" customHeight="1">
      <c r="A759" s="1363">
        <v>757.0</v>
      </c>
      <c r="B759" s="1372" t="s">
        <v>567</v>
      </c>
      <c r="C759" s="1373"/>
      <c r="D759" s="1366" t="str">
        <f t="shared" si="25"/>
        <v>salandit</v>
      </c>
      <c r="E759" s="1366"/>
    </row>
    <row r="760" ht="23.25" customHeight="1">
      <c r="A760" s="1367">
        <v>758.0</v>
      </c>
      <c r="B760" s="1368" t="s">
        <v>377</v>
      </c>
      <c r="C760" s="1369"/>
      <c r="D760" s="1370" t="str">
        <f t="shared" si="25"/>
        <v>salazzle</v>
      </c>
      <c r="E760" s="1370"/>
    </row>
    <row r="761" ht="23.25" customHeight="1">
      <c r="A761" s="1371">
        <v>759.0</v>
      </c>
      <c r="B761" s="1372" t="s">
        <v>103</v>
      </c>
      <c r="C761" s="1373"/>
      <c r="D761" s="1366" t="str">
        <f t="shared" si="25"/>
        <v>stufful</v>
      </c>
      <c r="E761" s="1366"/>
    </row>
    <row r="762" ht="23.25" customHeight="1">
      <c r="A762" s="1374">
        <v>760.0</v>
      </c>
      <c r="B762" s="1368" t="s">
        <v>137</v>
      </c>
      <c r="C762" s="1369"/>
      <c r="D762" s="1370" t="str">
        <f t="shared" si="25"/>
        <v>bewear</v>
      </c>
      <c r="E762" s="1370"/>
    </row>
    <row r="763" ht="23.25" customHeight="1">
      <c r="A763" s="1371">
        <v>761.0</v>
      </c>
      <c r="B763" s="1372" t="s">
        <v>537</v>
      </c>
      <c r="C763" s="1373"/>
      <c r="D763" s="1366" t="str">
        <f t="shared" si="25"/>
        <v>bounsweet</v>
      </c>
      <c r="E763" s="1366"/>
    </row>
    <row r="764" ht="23.25" customHeight="1">
      <c r="A764" s="1367">
        <v>762.0</v>
      </c>
      <c r="B764" s="1368" t="s">
        <v>1609</v>
      </c>
      <c r="C764" s="1369"/>
      <c r="D764" s="1370" t="str">
        <f t="shared" si="25"/>
        <v>steenee</v>
      </c>
      <c r="E764" s="1370"/>
    </row>
    <row r="765" ht="23.25" customHeight="1">
      <c r="A765" s="1363">
        <v>763.0</v>
      </c>
      <c r="B765" s="1372" t="s">
        <v>247</v>
      </c>
      <c r="C765" s="1373"/>
      <c r="D765" s="1366" t="str">
        <f t="shared" si="25"/>
        <v>tsareena</v>
      </c>
      <c r="E765" s="1366"/>
    </row>
    <row r="766" ht="23.25" customHeight="1">
      <c r="A766" s="1367">
        <v>764.0</v>
      </c>
      <c r="B766" s="1368" t="s">
        <v>406</v>
      </c>
      <c r="C766" s="1369"/>
      <c r="D766" s="1370" t="str">
        <f t="shared" si="25"/>
        <v>comfey</v>
      </c>
      <c r="E766" s="1370"/>
    </row>
    <row r="767" ht="23.25" customHeight="1">
      <c r="A767" s="1371">
        <v>765.0</v>
      </c>
      <c r="B767" s="1372" t="s">
        <v>614</v>
      </c>
      <c r="C767" s="1373"/>
      <c r="D767" s="1366" t="str">
        <f t="shared" si="25"/>
        <v>oranguru</v>
      </c>
      <c r="E767" s="1366"/>
    </row>
    <row r="768" ht="23.25" customHeight="1">
      <c r="A768" s="1374">
        <v>766.0</v>
      </c>
      <c r="B768" s="1375" t="s">
        <v>405</v>
      </c>
      <c r="C768" s="1369"/>
      <c r="D768" s="1370" t="str">
        <f t="shared" si="25"/>
        <v>passimian</v>
      </c>
      <c r="E768" s="1370"/>
    </row>
    <row r="769" ht="23.25" customHeight="1">
      <c r="A769" s="1371">
        <v>767.0</v>
      </c>
      <c r="B769" s="1372" t="s">
        <v>663</v>
      </c>
      <c r="C769" s="1373"/>
      <c r="D769" s="1366" t="str">
        <f t="shared" si="25"/>
        <v>wimpod</v>
      </c>
      <c r="E769" s="1366"/>
    </row>
    <row r="770" ht="23.25" customHeight="1">
      <c r="A770" s="1367">
        <v>768.0</v>
      </c>
      <c r="B770" s="1368" t="s">
        <v>513</v>
      </c>
      <c r="C770" s="1369"/>
      <c r="D770" s="1370" t="str">
        <f t="shared" si="25"/>
        <v>golisopod</v>
      </c>
      <c r="E770" s="1370"/>
    </row>
    <row r="771" ht="23.25" customHeight="1">
      <c r="A771" s="1363">
        <v>769.0</v>
      </c>
      <c r="B771" s="1372" t="s">
        <v>430</v>
      </c>
      <c r="C771" s="1373"/>
      <c r="D771" s="1366" t="str">
        <f t="shared" si="25"/>
        <v>sandygast</v>
      </c>
      <c r="E771" s="1366"/>
    </row>
    <row r="772" ht="23.25" customHeight="1">
      <c r="A772" s="1367">
        <v>770.0</v>
      </c>
      <c r="B772" s="1368" t="s">
        <v>599</v>
      </c>
      <c r="C772" s="1369"/>
      <c r="D772" s="1370" t="str">
        <f t="shared" si="25"/>
        <v>palossand</v>
      </c>
      <c r="E772" s="1370"/>
    </row>
    <row r="773" ht="23.25" customHeight="1">
      <c r="A773" s="1371">
        <v>771.0</v>
      </c>
      <c r="B773" s="1372" t="s">
        <v>701</v>
      </c>
      <c r="C773" s="1373"/>
      <c r="D773" s="1366" t="str">
        <f t="shared" si="25"/>
        <v>pyukumuku</v>
      </c>
      <c r="E773" s="1366"/>
    </row>
    <row r="774" ht="23.25" customHeight="1">
      <c r="A774" s="1374">
        <v>772.0</v>
      </c>
      <c r="B774" s="1375" t="s">
        <v>519</v>
      </c>
      <c r="C774" s="1369"/>
      <c r="D774" s="1370" t="str">
        <f t="shared" si="25"/>
        <v>type: null</v>
      </c>
      <c r="E774" s="1370"/>
    </row>
    <row r="775" ht="23.25" customHeight="1">
      <c r="A775" s="1371">
        <v>773.0</v>
      </c>
      <c r="B775" s="1372" t="s">
        <v>931</v>
      </c>
      <c r="C775" s="1373"/>
      <c r="D775" s="1366" t="str">
        <f t="shared" si="25"/>
        <v>silvally</v>
      </c>
      <c r="E775" s="1366"/>
    </row>
    <row r="776" ht="23.25" customHeight="1">
      <c r="A776" s="1367">
        <v>774.0</v>
      </c>
      <c r="B776" s="1375" t="s">
        <v>403</v>
      </c>
      <c r="C776" s="1369"/>
      <c r="D776" s="1370" t="str">
        <f t="shared" si="25"/>
        <v>minior</v>
      </c>
      <c r="E776" s="1370"/>
    </row>
    <row r="777" ht="23.25" customHeight="1">
      <c r="A777" s="1363">
        <v>775.0</v>
      </c>
      <c r="B777" s="1372" t="s">
        <v>549</v>
      </c>
      <c r="C777" s="1373"/>
      <c r="D777" s="1366" t="str">
        <f t="shared" si="25"/>
        <v>komala</v>
      </c>
      <c r="E777" s="1366"/>
    </row>
    <row r="778" ht="23.25" customHeight="1">
      <c r="A778" s="1367">
        <v>776.0</v>
      </c>
      <c r="B778" s="1368" t="s">
        <v>636</v>
      </c>
      <c r="C778" s="1369"/>
      <c r="D778" s="1370" t="str">
        <f t="shared" si="25"/>
        <v>turtonator</v>
      </c>
      <c r="E778" s="1370"/>
    </row>
    <row r="779" ht="23.25" customHeight="1">
      <c r="A779" s="1371">
        <v>777.0</v>
      </c>
      <c r="B779" s="1372" t="s">
        <v>407</v>
      </c>
      <c r="C779" s="1373"/>
      <c r="D779" s="1366" t="str">
        <f t="shared" si="25"/>
        <v>togedemaru</v>
      </c>
      <c r="E779" s="1366"/>
    </row>
    <row r="780" ht="23.25" customHeight="1">
      <c r="A780" s="1374">
        <v>778.0</v>
      </c>
      <c r="B780" s="1368" t="s">
        <v>348</v>
      </c>
      <c r="C780" s="1369"/>
      <c r="D780" s="1370" t="str">
        <f t="shared" si="25"/>
        <v>mimikyu</v>
      </c>
      <c r="E780" s="1370"/>
    </row>
    <row r="781" ht="23.25" customHeight="1">
      <c r="A781" s="1371">
        <v>779.0</v>
      </c>
      <c r="B781" s="1372" t="s">
        <v>690</v>
      </c>
      <c r="C781" s="1373"/>
      <c r="D781" s="1366" t="str">
        <f t="shared" si="25"/>
        <v>bruxish</v>
      </c>
      <c r="E781" s="1366"/>
    </row>
    <row r="782" ht="23.25" customHeight="1">
      <c r="A782" s="1367">
        <v>780.0</v>
      </c>
      <c r="B782" s="1368" t="s">
        <v>462</v>
      </c>
      <c r="C782" s="1369"/>
      <c r="D782" s="1370" t="str">
        <f t="shared" si="25"/>
        <v>drampa</v>
      </c>
      <c r="E782" s="1370"/>
    </row>
    <row r="783" ht="23.25" customHeight="1">
      <c r="A783" s="1363">
        <v>781.0</v>
      </c>
      <c r="B783" s="1372" t="s">
        <v>730</v>
      </c>
      <c r="C783" s="1373"/>
      <c r="D783" s="1366" t="str">
        <f t="shared" si="25"/>
        <v>dhelmise</v>
      </c>
      <c r="E783" s="1366"/>
    </row>
    <row r="784" ht="23.25" customHeight="1">
      <c r="A784" s="1367">
        <v>782.0</v>
      </c>
      <c r="B784" s="1375" t="s">
        <v>1232</v>
      </c>
      <c r="C784" s="1369"/>
      <c r="D784" s="1370" t="str">
        <f t="shared" si="25"/>
        <v>jangmo-o</v>
      </c>
      <c r="E784" s="1370"/>
    </row>
    <row r="785" ht="23.25" customHeight="1">
      <c r="A785" s="1371">
        <v>783.0</v>
      </c>
      <c r="B785" s="1364" t="s">
        <v>1610</v>
      </c>
      <c r="C785" s="1373"/>
      <c r="D785" s="1366" t="str">
        <f t="shared" si="25"/>
        <v>hakamo-o</v>
      </c>
      <c r="E785" s="1366"/>
    </row>
    <row r="786" ht="23.25" customHeight="1">
      <c r="A786" s="1374">
        <v>784.0</v>
      </c>
      <c r="B786" s="1375" t="s">
        <v>475</v>
      </c>
      <c r="C786" s="1369"/>
      <c r="D786" s="1370" t="str">
        <f t="shared" si="25"/>
        <v>kommo-o</v>
      </c>
      <c r="E786" s="1370"/>
    </row>
    <row r="787" ht="23.25" customHeight="1">
      <c r="A787" s="1371">
        <v>785.0</v>
      </c>
      <c r="B787" s="1364" t="s">
        <v>933</v>
      </c>
      <c r="C787" s="1373"/>
      <c r="D787" s="1366" t="str">
        <f t="shared" si="25"/>
        <v>tapu koko</v>
      </c>
      <c r="E787" s="1366"/>
    </row>
    <row r="788" ht="23.25" customHeight="1">
      <c r="A788" s="1367">
        <v>786.0</v>
      </c>
      <c r="B788" s="1375" t="s">
        <v>935</v>
      </c>
      <c r="C788" s="1369"/>
      <c r="D788" s="1370" t="str">
        <f t="shared" si="25"/>
        <v>tapu lele</v>
      </c>
      <c r="E788" s="1370"/>
    </row>
    <row r="789" ht="23.25" customHeight="1">
      <c r="A789" s="1363">
        <v>787.0</v>
      </c>
      <c r="B789" s="1364" t="s">
        <v>937</v>
      </c>
      <c r="C789" s="1373"/>
      <c r="D789" s="1366" t="str">
        <f t="shared" si="25"/>
        <v>tapu bulu</v>
      </c>
      <c r="E789" s="1366"/>
    </row>
    <row r="790" ht="23.25" customHeight="1">
      <c r="A790" s="1367">
        <v>788.0</v>
      </c>
      <c r="B790" s="1375" t="s">
        <v>939</v>
      </c>
      <c r="C790" s="1369"/>
      <c r="D790" s="1370" t="str">
        <f t="shared" si="25"/>
        <v>tapu fini</v>
      </c>
      <c r="E790" s="1370"/>
    </row>
    <row r="791" ht="23.25" customHeight="1">
      <c r="A791" s="1371">
        <v>789.0</v>
      </c>
      <c r="B791" s="1372" t="s">
        <v>940</v>
      </c>
      <c r="C791" s="1373"/>
      <c r="D791" s="1366" t="str">
        <f t="shared" si="25"/>
        <v>cosmog</v>
      </c>
      <c r="E791" s="1366"/>
    </row>
    <row r="792" ht="23.25" customHeight="1">
      <c r="A792" s="1374">
        <v>790.0</v>
      </c>
      <c r="B792" s="1368" t="s">
        <v>942</v>
      </c>
      <c r="C792" s="1369"/>
      <c r="D792" s="1370" t="str">
        <f t="shared" si="25"/>
        <v>cosmoem</v>
      </c>
      <c r="E792" s="1370"/>
    </row>
    <row r="793" ht="23.25" customHeight="1">
      <c r="A793" s="1371">
        <v>791.0</v>
      </c>
      <c r="B793" s="1372" t="s">
        <v>944</v>
      </c>
      <c r="C793" s="1373"/>
      <c r="D793" s="1366" t="str">
        <f t="shared" si="25"/>
        <v>solgaleo</v>
      </c>
      <c r="E793" s="1366"/>
    </row>
    <row r="794" ht="23.25" customHeight="1">
      <c r="A794" s="1367">
        <v>792.0</v>
      </c>
      <c r="B794" s="1368" t="s">
        <v>946</v>
      </c>
      <c r="C794" s="1369"/>
      <c r="D794" s="1370" t="str">
        <f t="shared" si="25"/>
        <v>lunala</v>
      </c>
      <c r="E794" s="1370"/>
    </row>
    <row r="795" ht="23.25" customHeight="1">
      <c r="A795" s="1363">
        <v>793.0</v>
      </c>
      <c r="B795" s="1372" t="s">
        <v>948</v>
      </c>
      <c r="C795" s="1373"/>
      <c r="D795" s="1366" t="str">
        <f t="shared" si="25"/>
        <v>nihilego</v>
      </c>
      <c r="E795" s="1366"/>
    </row>
    <row r="796" ht="23.25" customHeight="1">
      <c r="A796" s="1367">
        <v>794.0</v>
      </c>
      <c r="B796" s="1368" t="s">
        <v>950</v>
      </c>
      <c r="C796" s="1369"/>
      <c r="D796" s="1370" t="s">
        <v>1611</v>
      </c>
      <c r="E796" s="1370"/>
    </row>
    <row r="797" ht="23.25" customHeight="1">
      <c r="A797" s="1371">
        <v>795.0</v>
      </c>
      <c r="B797" s="1372" t="s">
        <v>951</v>
      </c>
      <c r="C797" s="1373"/>
      <c r="D797" s="1366" t="s">
        <v>1612</v>
      </c>
      <c r="E797" s="1366"/>
    </row>
    <row r="798" ht="23.25" customHeight="1">
      <c r="A798" s="1374">
        <v>796.0</v>
      </c>
      <c r="B798" s="1368" t="s">
        <v>953</v>
      </c>
      <c r="C798" s="1369"/>
      <c r="D798" s="1370" t="s">
        <v>1613</v>
      </c>
      <c r="E798" s="1370"/>
    </row>
    <row r="799" ht="23.25" customHeight="1">
      <c r="A799" s="1371">
        <v>797.0</v>
      </c>
      <c r="B799" s="1372" t="s">
        <v>954</v>
      </c>
      <c r="C799" s="1373"/>
      <c r="D799" s="1366" t="s">
        <v>1614</v>
      </c>
      <c r="E799" s="1366"/>
    </row>
    <row r="800" ht="23.25" customHeight="1">
      <c r="A800" s="1367">
        <v>798.0</v>
      </c>
      <c r="B800" s="1368" t="s">
        <v>955</v>
      </c>
      <c r="C800" s="1369"/>
      <c r="D800" s="1370" t="str">
        <f t="shared" ref="D800:D801" si="26">LOWER(B800)</f>
        <v>kartana</v>
      </c>
      <c r="E800" s="1370"/>
    </row>
    <row r="801" ht="23.25" customHeight="1">
      <c r="A801" s="1363">
        <v>799.0</v>
      </c>
      <c r="B801" s="1372" t="s">
        <v>956</v>
      </c>
      <c r="C801" s="1373"/>
      <c r="D801" s="1366" t="str">
        <f t="shared" si="26"/>
        <v>guzzlord</v>
      </c>
      <c r="E801" s="1366"/>
    </row>
    <row r="802" ht="23.25" customHeight="1">
      <c r="A802" s="1367">
        <v>800.0</v>
      </c>
      <c r="B802" s="1368" t="s">
        <v>957</v>
      </c>
      <c r="C802" s="1369"/>
      <c r="D802" s="1370" t="s">
        <v>1615</v>
      </c>
      <c r="E802" s="1370"/>
    </row>
    <row r="803" ht="23.25" customHeight="1">
      <c r="A803" s="1371">
        <v>801.0</v>
      </c>
      <c r="B803" s="1372" t="s">
        <v>961</v>
      </c>
      <c r="C803" s="1373"/>
      <c r="D803" s="1366" t="s">
        <v>1616</v>
      </c>
      <c r="E803" s="1366"/>
    </row>
    <row r="804" ht="23.25" customHeight="1">
      <c r="A804" s="1374">
        <v>802.0</v>
      </c>
      <c r="B804" s="1368" t="s">
        <v>964</v>
      </c>
      <c r="C804" s="1369"/>
      <c r="D804" s="1370" t="str">
        <f>LOWER(B804)</f>
        <v>marshadow</v>
      </c>
      <c r="E804" s="1370"/>
    </row>
    <row r="805" ht="23.25" customHeight="1">
      <c r="A805" s="1371">
        <v>803.0</v>
      </c>
      <c r="B805" s="1372" t="s">
        <v>966</v>
      </c>
      <c r="C805" s="1373"/>
      <c r="D805" s="1366" t="s">
        <v>1617</v>
      </c>
      <c r="E805" s="1366"/>
    </row>
    <row r="806" ht="23.25" customHeight="1">
      <c r="A806" s="1367">
        <v>804.0</v>
      </c>
      <c r="B806" s="1368" t="s">
        <v>967</v>
      </c>
      <c r="C806" s="1369"/>
      <c r="D806" s="1370" t="s">
        <v>1618</v>
      </c>
      <c r="E806" s="1370"/>
    </row>
    <row r="807" ht="23.25" customHeight="1">
      <c r="A807" s="1363">
        <v>805.0</v>
      </c>
      <c r="B807" s="1372" t="s">
        <v>969</v>
      </c>
      <c r="C807" s="1373"/>
      <c r="D807" s="1366" t="str">
        <f t="shared" ref="D807:D897" si="27">LOWER(B807)</f>
        <v>stakataka</v>
      </c>
      <c r="E807" s="1366"/>
    </row>
    <row r="808" ht="23.25" customHeight="1">
      <c r="A808" s="1367">
        <v>806.0</v>
      </c>
      <c r="B808" s="1368" t="s">
        <v>970</v>
      </c>
      <c r="C808" s="1369"/>
      <c r="D808" s="1370" t="str">
        <f t="shared" si="27"/>
        <v>blacephalon</v>
      </c>
      <c r="E808" s="1369"/>
    </row>
    <row r="809" ht="23.25" customHeight="1">
      <c r="A809" s="1371">
        <v>807.0</v>
      </c>
      <c r="B809" s="1372" t="s">
        <v>971</v>
      </c>
      <c r="C809" s="1373"/>
      <c r="D809" s="1366" t="str">
        <f t="shared" si="27"/>
        <v>zeraora</v>
      </c>
      <c r="E809" s="1366"/>
    </row>
    <row r="810" ht="23.25" customHeight="1">
      <c r="A810" s="1374">
        <v>808.0</v>
      </c>
      <c r="B810" s="1368" t="s">
        <v>520</v>
      </c>
      <c r="C810" s="1369"/>
      <c r="D810" s="1370" t="str">
        <f t="shared" si="27"/>
        <v>meltan</v>
      </c>
      <c r="E810" s="1370"/>
    </row>
    <row r="811" ht="23.25" customHeight="1">
      <c r="A811" s="1371">
        <v>809.0</v>
      </c>
      <c r="B811" s="1372" t="s">
        <v>974</v>
      </c>
      <c r="C811" s="1373"/>
      <c r="D811" s="1366" t="str">
        <f t="shared" si="27"/>
        <v>melmetal</v>
      </c>
      <c r="E811" s="1366"/>
    </row>
    <row r="812" ht="23.25" customHeight="1">
      <c r="A812" s="1367">
        <v>810.0</v>
      </c>
      <c r="B812" s="1368" t="s">
        <v>1219</v>
      </c>
      <c r="C812" s="1369"/>
      <c r="D812" s="1370" t="str">
        <f t="shared" si="27"/>
        <v>grookey</v>
      </c>
      <c r="E812" s="1369"/>
    </row>
    <row r="813" ht="23.25" customHeight="1">
      <c r="A813" s="1363">
        <v>811.0</v>
      </c>
      <c r="B813" s="1372" t="s">
        <v>1619</v>
      </c>
      <c r="C813" s="1373"/>
      <c r="D813" s="1366" t="str">
        <f t="shared" si="27"/>
        <v>thwackey</v>
      </c>
      <c r="E813" s="1373"/>
    </row>
    <row r="814" ht="23.25" customHeight="1">
      <c r="A814" s="1367">
        <v>812.0</v>
      </c>
      <c r="B814" s="1368" t="s">
        <v>1620</v>
      </c>
      <c r="C814" s="1369"/>
      <c r="D814" s="1370" t="str">
        <f t="shared" si="27"/>
        <v>rillaboom</v>
      </c>
      <c r="E814" s="1369"/>
    </row>
    <row r="815" ht="23.25" customHeight="1">
      <c r="A815" s="1371">
        <v>813.0</v>
      </c>
      <c r="B815" s="1372" t="s">
        <v>1221</v>
      </c>
      <c r="C815" s="1373"/>
      <c r="D815" s="1366" t="str">
        <f t="shared" si="27"/>
        <v>scorbunny</v>
      </c>
      <c r="E815" s="1373"/>
    </row>
    <row r="816" ht="23.25" customHeight="1">
      <c r="A816" s="1374">
        <v>814.0</v>
      </c>
      <c r="B816" s="1368" t="s">
        <v>1621</v>
      </c>
      <c r="C816" s="1369"/>
      <c r="D816" s="1370" t="str">
        <f t="shared" si="27"/>
        <v>raboot</v>
      </c>
      <c r="E816" s="1370"/>
    </row>
    <row r="817" ht="23.25" customHeight="1">
      <c r="A817" s="1371">
        <v>815.0</v>
      </c>
      <c r="B817" s="1372" t="s">
        <v>257</v>
      </c>
      <c r="C817" s="1373"/>
      <c r="D817" s="1366" t="str">
        <f t="shared" si="27"/>
        <v>cinderace</v>
      </c>
      <c r="E817" s="1366"/>
    </row>
    <row r="818" ht="23.25" customHeight="1">
      <c r="A818" s="1367">
        <v>816.0</v>
      </c>
      <c r="B818" s="1368" t="s">
        <v>1220</v>
      </c>
      <c r="C818" s="1369"/>
      <c r="D818" s="1370" t="str">
        <f t="shared" si="27"/>
        <v>sobble</v>
      </c>
      <c r="E818" s="1370"/>
    </row>
    <row r="819" ht="23.25" customHeight="1">
      <c r="A819" s="1363">
        <v>817.0</v>
      </c>
      <c r="B819" s="1372" t="s">
        <v>1622</v>
      </c>
      <c r="C819" s="1373"/>
      <c r="D819" s="1366" t="str">
        <f t="shared" si="27"/>
        <v>drizzile</v>
      </c>
      <c r="E819" s="1366"/>
    </row>
    <row r="820" ht="23.25" customHeight="1">
      <c r="A820" s="1367">
        <v>818.0</v>
      </c>
      <c r="B820" s="1368" t="s">
        <v>1623</v>
      </c>
      <c r="C820" s="1369"/>
      <c r="D820" s="1370" t="str">
        <f t="shared" si="27"/>
        <v>inteleon</v>
      </c>
      <c r="E820" s="1370"/>
    </row>
    <row r="821" ht="23.25" customHeight="1">
      <c r="A821" s="1371">
        <v>819.0</v>
      </c>
      <c r="B821" s="1372" t="s">
        <v>604</v>
      </c>
      <c r="C821" s="1373"/>
      <c r="D821" s="1366" t="str">
        <f t="shared" si="27"/>
        <v>skwovet</v>
      </c>
      <c r="E821" s="1366"/>
    </row>
    <row r="822" ht="23.25" customHeight="1">
      <c r="A822" s="1374">
        <v>820.0</v>
      </c>
      <c r="B822" s="1368" t="s">
        <v>1624</v>
      </c>
      <c r="C822" s="1369"/>
      <c r="D822" s="1370" t="str">
        <f t="shared" si="27"/>
        <v>greedent</v>
      </c>
      <c r="E822" s="1370"/>
    </row>
    <row r="823" ht="23.25" customHeight="1">
      <c r="A823" s="1371">
        <v>821.0</v>
      </c>
      <c r="B823" s="1372" t="s">
        <v>526</v>
      </c>
      <c r="C823" s="1373"/>
      <c r="D823" s="1366" t="str">
        <f t="shared" si="27"/>
        <v>rookidee</v>
      </c>
      <c r="E823" s="1366"/>
    </row>
    <row r="824" ht="23.25" customHeight="1">
      <c r="A824" s="1367">
        <v>822.0</v>
      </c>
      <c r="B824" s="1368" t="s">
        <v>1625</v>
      </c>
      <c r="C824" s="1369"/>
      <c r="D824" s="1370" t="str">
        <f t="shared" si="27"/>
        <v>corvisquire</v>
      </c>
      <c r="E824" s="1370"/>
    </row>
    <row r="825" ht="23.25" customHeight="1">
      <c r="A825" s="1363">
        <v>823.0</v>
      </c>
      <c r="B825" s="1372" t="s">
        <v>523</v>
      </c>
      <c r="C825" s="1373"/>
      <c r="D825" s="1366" t="str">
        <f t="shared" si="27"/>
        <v>corviknight</v>
      </c>
      <c r="E825" s="1366"/>
    </row>
    <row r="826" ht="23.25" customHeight="1">
      <c r="A826" s="1367">
        <v>824.0</v>
      </c>
      <c r="B826" s="1368" t="s">
        <v>553</v>
      </c>
      <c r="C826" s="1369"/>
      <c r="D826" s="1370" t="str">
        <f t="shared" si="27"/>
        <v>blipbug</v>
      </c>
      <c r="E826" s="1370"/>
    </row>
    <row r="827" ht="23.25" customHeight="1">
      <c r="A827" s="1371">
        <v>825.0</v>
      </c>
      <c r="B827" s="1372" t="s">
        <v>1626</v>
      </c>
      <c r="C827" s="1373"/>
      <c r="D827" s="1366" t="str">
        <f t="shared" si="27"/>
        <v>dottler</v>
      </c>
      <c r="E827" s="1366"/>
    </row>
    <row r="828" ht="23.25" customHeight="1">
      <c r="A828" s="1374">
        <v>826.0</v>
      </c>
      <c r="B828" s="1368" t="s">
        <v>1627</v>
      </c>
      <c r="C828" s="1369"/>
      <c r="D828" s="1370" t="str">
        <f t="shared" si="27"/>
        <v>orbeetle</v>
      </c>
      <c r="E828" s="1370"/>
    </row>
    <row r="829" ht="23.25" customHeight="1">
      <c r="A829" s="1371">
        <v>827.0</v>
      </c>
      <c r="B829" s="1372" t="s">
        <v>310</v>
      </c>
      <c r="C829" s="1373"/>
      <c r="D829" s="1366" t="str">
        <f t="shared" si="27"/>
        <v>nickit</v>
      </c>
      <c r="E829" s="1366"/>
    </row>
    <row r="830" ht="23.25" customHeight="1">
      <c r="A830" s="1367">
        <v>828.0</v>
      </c>
      <c r="B830" s="1368" t="s">
        <v>1628</v>
      </c>
      <c r="C830" s="1369"/>
      <c r="D830" s="1370" t="str">
        <f t="shared" si="27"/>
        <v>thievul</v>
      </c>
      <c r="E830" s="1370"/>
    </row>
    <row r="831" ht="23.25" customHeight="1">
      <c r="A831" s="1363">
        <v>829.0</v>
      </c>
      <c r="B831" s="1372" t="s">
        <v>555</v>
      </c>
      <c r="C831" s="1373"/>
      <c r="D831" s="1366" t="str">
        <f t="shared" si="27"/>
        <v>gossifleur</v>
      </c>
      <c r="E831" s="1366"/>
    </row>
    <row r="832" ht="23.25" customHeight="1">
      <c r="A832" s="1367">
        <v>830.0</v>
      </c>
      <c r="B832" s="1368" t="s">
        <v>1629</v>
      </c>
      <c r="C832" s="1369"/>
      <c r="D832" s="1370" t="str">
        <f t="shared" si="27"/>
        <v>eldegoss</v>
      </c>
      <c r="E832" s="1370"/>
    </row>
    <row r="833" ht="23.25" customHeight="1">
      <c r="A833" s="1371">
        <v>831.0</v>
      </c>
      <c r="B833" s="1372" t="s">
        <v>164</v>
      </c>
      <c r="C833" s="1373"/>
      <c r="D833" s="1366" t="str">
        <f t="shared" si="27"/>
        <v>wooloo</v>
      </c>
      <c r="E833" s="1366"/>
    </row>
    <row r="834" ht="23.25" customHeight="1">
      <c r="A834" s="1374">
        <v>832.0</v>
      </c>
      <c r="B834" s="1368" t="s">
        <v>1630</v>
      </c>
      <c r="C834" s="1369"/>
      <c r="D834" s="1370" t="str">
        <f t="shared" si="27"/>
        <v>dubwool</v>
      </c>
      <c r="E834" s="1370"/>
    </row>
    <row r="835" ht="23.25" customHeight="1">
      <c r="A835" s="1371">
        <v>833.0</v>
      </c>
      <c r="B835" s="1372" t="s">
        <v>357</v>
      </c>
      <c r="C835" s="1373"/>
      <c r="D835" s="1366" t="str">
        <f t="shared" si="27"/>
        <v>chewtle</v>
      </c>
      <c r="E835" s="1373"/>
    </row>
    <row r="836" ht="23.25" customHeight="1">
      <c r="A836" s="1367">
        <v>834.0</v>
      </c>
      <c r="B836" s="1368" t="s">
        <v>732</v>
      </c>
      <c r="C836" s="1369"/>
      <c r="D836" s="1370" t="str">
        <f t="shared" si="27"/>
        <v>drednaw</v>
      </c>
      <c r="E836" s="1370"/>
    </row>
    <row r="837" ht="23.25" customHeight="1">
      <c r="A837" s="1363">
        <v>835.0</v>
      </c>
      <c r="B837" s="1372" t="s">
        <v>229</v>
      </c>
      <c r="C837" s="1373"/>
      <c r="D837" s="1366" t="str">
        <f t="shared" si="27"/>
        <v>yamper</v>
      </c>
      <c r="E837" s="1366"/>
    </row>
    <row r="838" ht="23.25" customHeight="1">
      <c r="A838" s="1367">
        <v>836.0</v>
      </c>
      <c r="B838" s="1368" t="s">
        <v>1631</v>
      </c>
      <c r="C838" s="1369"/>
      <c r="D838" s="1370" t="str">
        <f t="shared" si="27"/>
        <v>boltund</v>
      </c>
      <c r="E838" s="1370"/>
    </row>
    <row r="839" ht="23.25" customHeight="1">
      <c r="A839" s="1371">
        <v>837.0</v>
      </c>
      <c r="B839" s="1372" t="s">
        <v>227</v>
      </c>
      <c r="C839" s="1373"/>
      <c r="D839" s="1366" t="str">
        <f t="shared" si="27"/>
        <v>rolycoly</v>
      </c>
      <c r="E839" s="1366"/>
    </row>
    <row r="840" ht="23.25" customHeight="1">
      <c r="A840" s="1374">
        <v>838.0</v>
      </c>
      <c r="B840" s="1368" t="s">
        <v>322</v>
      </c>
      <c r="C840" s="1369"/>
      <c r="D840" s="1370" t="str">
        <f t="shared" si="27"/>
        <v>carkol</v>
      </c>
      <c r="E840" s="1370"/>
    </row>
    <row r="841" ht="23.25" customHeight="1">
      <c r="A841" s="1371">
        <v>839.0</v>
      </c>
      <c r="B841" s="1372" t="s">
        <v>207</v>
      </c>
      <c r="C841" s="1373"/>
      <c r="D841" s="1366" t="str">
        <f t="shared" si="27"/>
        <v>coalossal</v>
      </c>
      <c r="E841" s="1366"/>
    </row>
    <row r="842" ht="23.25" customHeight="1">
      <c r="A842" s="1367">
        <v>840.0</v>
      </c>
      <c r="B842" s="1368" t="s">
        <v>369</v>
      </c>
      <c r="C842" s="1369"/>
      <c r="D842" s="1370" t="str">
        <f t="shared" si="27"/>
        <v>applin</v>
      </c>
      <c r="E842" s="1370"/>
    </row>
    <row r="843" ht="23.25" customHeight="1">
      <c r="A843" s="1363">
        <v>841.0</v>
      </c>
      <c r="B843" s="1372" t="s">
        <v>1632</v>
      </c>
      <c r="C843" s="1373"/>
      <c r="D843" s="1366" t="str">
        <f t="shared" si="27"/>
        <v>flapple</v>
      </c>
      <c r="E843" s="1366"/>
    </row>
    <row r="844" ht="23.25" customHeight="1">
      <c r="A844" s="1367">
        <v>842.0</v>
      </c>
      <c r="B844" s="1368" t="s">
        <v>1633</v>
      </c>
      <c r="C844" s="1369"/>
      <c r="D844" s="1370" t="str">
        <f t="shared" si="27"/>
        <v>appletun</v>
      </c>
      <c r="E844" s="1370"/>
    </row>
    <row r="845" ht="23.25" customHeight="1">
      <c r="A845" s="1371">
        <v>843.0</v>
      </c>
      <c r="B845" s="1372" t="s">
        <v>287</v>
      </c>
      <c r="C845" s="1373"/>
      <c r="D845" s="1366" t="str">
        <f t="shared" si="27"/>
        <v>silicobra</v>
      </c>
      <c r="E845" s="1366"/>
    </row>
    <row r="846" ht="23.25" customHeight="1">
      <c r="A846" s="1374">
        <v>844.0</v>
      </c>
      <c r="B846" s="1368" t="s">
        <v>428</v>
      </c>
      <c r="C846" s="1369"/>
      <c r="D846" s="1370" t="str">
        <f t="shared" si="27"/>
        <v>sandaconda</v>
      </c>
      <c r="E846" s="1370"/>
    </row>
    <row r="847" ht="23.25" customHeight="1">
      <c r="A847" s="1371">
        <v>845.0</v>
      </c>
      <c r="B847" s="1372" t="s">
        <v>740</v>
      </c>
      <c r="C847" s="1373"/>
      <c r="D847" s="1366" t="str">
        <f t="shared" si="27"/>
        <v>cramorant</v>
      </c>
      <c r="E847" s="1366"/>
    </row>
    <row r="848" ht="23.25" customHeight="1">
      <c r="A848" s="1367">
        <v>846.0</v>
      </c>
      <c r="B848" s="1368" t="s">
        <v>661</v>
      </c>
      <c r="C848" s="1369"/>
      <c r="D848" s="1370" t="str">
        <f t="shared" si="27"/>
        <v>arrokuda</v>
      </c>
      <c r="E848" s="1370"/>
    </row>
    <row r="849" ht="23.25" customHeight="1">
      <c r="A849" s="1363">
        <v>847.0</v>
      </c>
      <c r="B849" s="1372" t="s">
        <v>705</v>
      </c>
      <c r="C849" s="1373"/>
      <c r="D849" s="1366" t="str">
        <f t="shared" si="27"/>
        <v>barraskewda</v>
      </c>
      <c r="E849" s="1373"/>
    </row>
    <row r="850" ht="23.25" customHeight="1">
      <c r="A850" s="1367">
        <v>848.0</v>
      </c>
      <c r="B850" s="1368" t="s">
        <v>1122</v>
      </c>
      <c r="C850" s="1369"/>
      <c r="D850" s="1370" t="str">
        <f t="shared" si="27"/>
        <v>toxel</v>
      </c>
      <c r="E850" s="1370"/>
    </row>
    <row r="851" ht="23.25" customHeight="1">
      <c r="A851" s="1371">
        <v>849.0</v>
      </c>
      <c r="B851" s="1372" t="s">
        <v>382</v>
      </c>
      <c r="C851" s="1373"/>
      <c r="D851" s="1366" t="str">
        <f t="shared" si="27"/>
        <v>toxtricity</v>
      </c>
      <c r="E851" s="1366"/>
    </row>
    <row r="852" ht="23.25" customHeight="1">
      <c r="A852" s="1374">
        <v>850.0</v>
      </c>
      <c r="B852" s="1368" t="s">
        <v>317</v>
      </c>
      <c r="C852" s="1369"/>
      <c r="D852" s="1370" t="str">
        <f t="shared" si="27"/>
        <v>sizzlipede</v>
      </c>
      <c r="E852" s="1370"/>
    </row>
    <row r="853" ht="23.25" customHeight="1">
      <c r="A853" s="1371">
        <v>851.0</v>
      </c>
      <c r="B853" s="1372" t="s">
        <v>341</v>
      </c>
      <c r="C853" s="1373"/>
      <c r="D853" s="1366" t="str">
        <f t="shared" si="27"/>
        <v>centiskorch</v>
      </c>
      <c r="E853" s="1373"/>
    </row>
    <row r="854" ht="23.25" customHeight="1">
      <c r="A854" s="1367">
        <v>852.0</v>
      </c>
      <c r="B854" s="1368" t="s">
        <v>685</v>
      </c>
      <c r="C854" s="1369"/>
      <c r="D854" s="1370" t="str">
        <f t="shared" si="27"/>
        <v>clobbopus</v>
      </c>
      <c r="E854" s="1370"/>
    </row>
    <row r="855" ht="23.25" customHeight="1">
      <c r="A855" s="1363">
        <v>853.0</v>
      </c>
      <c r="B855" s="1372" t="s">
        <v>477</v>
      </c>
      <c r="C855" s="1373"/>
      <c r="D855" s="1366" t="str">
        <f t="shared" si="27"/>
        <v>grapploct</v>
      </c>
      <c r="E855" s="1366"/>
    </row>
    <row r="856" ht="23.25" customHeight="1">
      <c r="A856" s="1367">
        <v>854.0</v>
      </c>
      <c r="B856" s="1368" t="s">
        <v>434</v>
      </c>
      <c r="C856" s="1369"/>
      <c r="D856" s="1370" t="str">
        <f t="shared" si="27"/>
        <v>sinistea</v>
      </c>
      <c r="E856" s="1370"/>
    </row>
    <row r="857" ht="23.25" customHeight="1">
      <c r="A857" s="1371">
        <v>855.0</v>
      </c>
      <c r="B857" s="1372" t="s">
        <v>459</v>
      </c>
      <c r="C857" s="1373"/>
      <c r="D857" s="1366" t="str">
        <f t="shared" si="27"/>
        <v>polteageist</v>
      </c>
      <c r="E857" s="1366"/>
    </row>
    <row r="858" ht="23.25" customHeight="1">
      <c r="A858" s="1374">
        <v>856.0</v>
      </c>
      <c r="B858" s="1368" t="s">
        <v>175</v>
      </c>
      <c r="C858" s="1369"/>
      <c r="D858" s="1370" t="str">
        <f t="shared" si="27"/>
        <v>hatenna</v>
      </c>
      <c r="E858" s="1370"/>
    </row>
    <row r="859" ht="23.25" customHeight="1">
      <c r="A859" s="1371">
        <v>857.0</v>
      </c>
      <c r="B859" s="1372" t="s">
        <v>1634</v>
      </c>
      <c r="C859" s="1373"/>
      <c r="D859" s="1366" t="str">
        <f t="shared" si="27"/>
        <v>hattrem</v>
      </c>
      <c r="E859" s="1366"/>
    </row>
    <row r="860" ht="23.25" customHeight="1">
      <c r="A860" s="1367">
        <v>858.0</v>
      </c>
      <c r="B860" s="1368" t="s">
        <v>267</v>
      </c>
      <c r="C860" s="1369"/>
      <c r="D860" s="1370" t="str">
        <f t="shared" si="27"/>
        <v>hatterene</v>
      </c>
      <c r="E860" s="1370"/>
    </row>
    <row r="861" ht="23.25" customHeight="1">
      <c r="A861" s="1363">
        <v>859.0</v>
      </c>
      <c r="B861" s="1372" t="s">
        <v>1116</v>
      </c>
      <c r="C861" s="1373"/>
      <c r="D861" s="1366" t="str">
        <f t="shared" si="27"/>
        <v>impidimp</v>
      </c>
      <c r="E861" s="1366"/>
    </row>
    <row r="862" ht="23.25" customHeight="1">
      <c r="A862" s="1367">
        <v>860.0</v>
      </c>
      <c r="B862" s="1368" t="s">
        <v>615</v>
      </c>
      <c r="C862" s="1369"/>
      <c r="D862" s="1370" t="str">
        <f t="shared" si="27"/>
        <v>morgrem</v>
      </c>
      <c r="E862" s="1370"/>
    </row>
    <row r="863" ht="23.25" customHeight="1">
      <c r="A863" s="1371">
        <v>861.0</v>
      </c>
      <c r="B863" s="1372" t="s">
        <v>620</v>
      </c>
      <c r="C863" s="1373"/>
      <c r="D863" s="1366" t="str">
        <f t="shared" si="27"/>
        <v>grimmsnarl</v>
      </c>
      <c r="E863" s="1366"/>
    </row>
    <row r="864" ht="23.25" customHeight="1">
      <c r="A864" s="1374">
        <v>862.0</v>
      </c>
      <c r="B864" s="1368" t="s">
        <v>548</v>
      </c>
      <c r="C864" s="1369"/>
      <c r="D864" s="1370" t="str">
        <f t="shared" si="27"/>
        <v>obstagoon</v>
      </c>
      <c r="E864" s="1370"/>
    </row>
    <row r="865" ht="23.25" customHeight="1">
      <c r="A865" s="1371">
        <v>863.0</v>
      </c>
      <c r="B865" s="1372" t="s">
        <v>1635</v>
      </c>
      <c r="C865" s="1373"/>
      <c r="D865" s="1366" t="str">
        <f t="shared" si="27"/>
        <v>perrserker</v>
      </c>
      <c r="E865" s="1366"/>
    </row>
    <row r="866" ht="23.25" customHeight="1">
      <c r="A866" s="1367">
        <v>864.0</v>
      </c>
      <c r="B866" s="1368" t="s">
        <v>480</v>
      </c>
      <c r="C866" s="1369"/>
      <c r="D866" s="1370" t="str">
        <f t="shared" si="27"/>
        <v>cursola</v>
      </c>
      <c r="E866" s="1370"/>
    </row>
    <row r="867" ht="23.25" customHeight="1">
      <c r="A867" s="1363">
        <v>865.0</v>
      </c>
      <c r="B867" s="1364" t="s">
        <v>155</v>
      </c>
      <c r="C867" s="1373"/>
      <c r="D867" s="1366" t="str">
        <f t="shared" si="27"/>
        <v>sirfetch'd</v>
      </c>
      <c r="E867" s="1366"/>
    </row>
    <row r="868" ht="23.25" customHeight="1">
      <c r="A868" s="1367">
        <v>866.0</v>
      </c>
      <c r="B868" s="1375" t="s">
        <v>1636</v>
      </c>
      <c r="C868" s="1369"/>
      <c r="D868" s="1370" t="str">
        <f t="shared" si="27"/>
        <v>mr. rime</v>
      </c>
      <c r="E868" s="1370"/>
    </row>
    <row r="869" ht="23.25" customHeight="1">
      <c r="A869" s="1371">
        <v>867.0</v>
      </c>
      <c r="B869" s="1372" t="s">
        <v>557</v>
      </c>
      <c r="C869" s="1373"/>
      <c r="D869" s="1366" t="str">
        <f t="shared" si="27"/>
        <v>runerigus</v>
      </c>
      <c r="E869" s="1366"/>
    </row>
    <row r="870" ht="23.25" customHeight="1">
      <c r="A870" s="1374">
        <v>868.0</v>
      </c>
      <c r="B870" s="1368" t="s">
        <v>1087</v>
      </c>
      <c r="C870" s="1369"/>
      <c r="D870" s="1370" t="str">
        <f t="shared" si="27"/>
        <v>milcery</v>
      </c>
      <c r="E870" s="1370"/>
    </row>
    <row r="871" ht="23.25" customHeight="1">
      <c r="A871" s="1371">
        <v>869.0</v>
      </c>
      <c r="B871" s="1372" t="s">
        <v>1637</v>
      </c>
      <c r="C871" s="1373"/>
      <c r="D871" s="1366" t="str">
        <f t="shared" si="27"/>
        <v>alcremie</v>
      </c>
      <c r="E871" s="1366"/>
    </row>
    <row r="872" ht="23.25" customHeight="1">
      <c r="A872" s="1367">
        <v>870.0</v>
      </c>
      <c r="B872" s="1368" t="s">
        <v>586</v>
      </c>
      <c r="C872" s="1369"/>
      <c r="D872" s="1370" t="str">
        <f t="shared" si="27"/>
        <v>falinks</v>
      </c>
      <c r="E872" s="1370"/>
    </row>
    <row r="873" ht="23.25" customHeight="1">
      <c r="A873" s="1363">
        <v>871.0</v>
      </c>
      <c r="B873" s="1372" t="s">
        <v>289</v>
      </c>
      <c r="C873" s="1373"/>
      <c r="D873" s="1366" t="str">
        <f t="shared" si="27"/>
        <v>pincurchin</v>
      </c>
      <c r="E873" s="1366"/>
    </row>
    <row r="874" ht="23.25" customHeight="1">
      <c r="A874" s="1367">
        <v>872.0</v>
      </c>
      <c r="B874" s="1368" t="s">
        <v>641</v>
      </c>
      <c r="C874" s="1369"/>
      <c r="D874" s="1370" t="str">
        <f t="shared" si="27"/>
        <v>snom</v>
      </c>
      <c r="E874" s="1370"/>
    </row>
    <row r="875" ht="23.25" customHeight="1">
      <c r="A875" s="1371">
        <v>873.0</v>
      </c>
      <c r="B875" s="1372" t="s">
        <v>468</v>
      </c>
      <c r="C875" s="1373"/>
      <c r="D875" s="1366" t="str">
        <f t="shared" si="27"/>
        <v>frosmoth</v>
      </c>
      <c r="E875" s="1366"/>
    </row>
    <row r="876" ht="23.25" customHeight="1">
      <c r="A876" s="1374">
        <v>874.0</v>
      </c>
      <c r="B876" s="1368" t="s">
        <v>457</v>
      </c>
      <c r="C876" s="1369"/>
      <c r="D876" s="1370" t="str">
        <f t="shared" si="27"/>
        <v>stonjourner</v>
      </c>
      <c r="E876" s="1370"/>
    </row>
    <row r="877" ht="23.25" customHeight="1">
      <c r="A877" s="1371">
        <v>875.0</v>
      </c>
      <c r="B877" s="1372" t="s">
        <v>788</v>
      </c>
      <c r="C877" s="1373"/>
      <c r="D877" s="1366" t="str">
        <f t="shared" si="27"/>
        <v>eiscue</v>
      </c>
      <c r="E877" s="1366"/>
    </row>
    <row r="878" ht="23.25" customHeight="1">
      <c r="A878" s="1367">
        <v>876.0</v>
      </c>
      <c r="B878" s="1368" t="s">
        <v>320</v>
      </c>
      <c r="C878" s="1369"/>
      <c r="D878" s="1370" t="str">
        <f t="shared" si="27"/>
        <v>indeedee</v>
      </c>
      <c r="E878" s="1370"/>
    </row>
    <row r="879" ht="23.25" customHeight="1">
      <c r="A879" s="1363">
        <v>877.0</v>
      </c>
      <c r="B879" s="1372" t="s">
        <v>426</v>
      </c>
      <c r="C879" s="1373"/>
      <c r="D879" s="1366" t="str">
        <f t="shared" si="27"/>
        <v>morpeko</v>
      </c>
      <c r="E879" s="1366"/>
    </row>
    <row r="880" ht="23.25" customHeight="1">
      <c r="A880" s="1367">
        <v>878.0</v>
      </c>
      <c r="B880" s="1368" t="s">
        <v>325</v>
      </c>
      <c r="C880" s="1369"/>
      <c r="D880" s="1370" t="str">
        <f t="shared" si="27"/>
        <v>cufant</v>
      </c>
      <c r="E880" s="1370"/>
    </row>
    <row r="881" ht="23.25" customHeight="1">
      <c r="A881" s="1371">
        <v>879.0</v>
      </c>
      <c r="B881" s="1372" t="s">
        <v>265</v>
      </c>
      <c r="C881" s="1373"/>
      <c r="D881" s="1366" t="str">
        <f t="shared" si="27"/>
        <v>copperajah</v>
      </c>
      <c r="E881" s="1366"/>
    </row>
    <row r="882" ht="23.25" customHeight="1">
      <c r="A882" s="1374">
        <v>880.0</v>
      </c>
      <c r="B882" s="1368" t="s">
        <v>510</v>
      </c>
      <c r="C882" s="1369"/>
      <c r="D882" s="1370" t="str">
        <f t="shared" si="27"/>
        <v>dracozolt</v>
      </c>
      <c r="E882" s="1370"/>
    </row>
    <row r="883" ht="23.25" customHeight="1">
      <c r="A883" s="1371">
        <v>881.0</v>
      </c>
      <c r="B883" s="1372" t="s">
        <v>528</v>
      </c>
      <c r="C883" s="1373"/>
      <c r="D883" s="1366" t="str">
        <f t="shared" si="27"/>
        <v>arctozolt</v>
      </c>
      <c r="E883" s="1373"/>
    </row>
    <row r="884" ht="23.25" customHeight="1">
      <c r="A884" s="1367">
        <v>882.0</v>
      </c>
      <c r="B884" s="1368" t="s">
        <v>527</v>
      </c>
      <c r="C884" s="1369"/>
      <c r="D884" s="1370" t="str">
        <f t="shared" si="27"/>
        <v>dracovish</v>
      </c>
      <c r="E884" s="1369"/>
    </row>
    <row r="885" ht="23.25" customHeight="1">
      <c r="A885" s="1363">
        <v>883.0</v>
      </c>
      <c r="B885" s="1372" t="s">
        <v>511</v>
      </c>
      <c r="C885" s="1373"/>
      <c r="D885" s="1366" t="str">
        <f t="shared" si="27"/>
        <v>arctovish</v>
      </c>
      <c r="E885" s="1373"/>
    </row>
    <row r="886" ht="23.25" customHeight="1">
      <c r="A886" s="1367">
        <v>884.0</v>
      </c>
      <c r="B886" s="1368" t="s">
        <v>472</v>
      </c>
      <c r="C886" s="1369"/>
      <c r="D886" s="1370" t="str">
        <f t="shared" si="27"/>
        <v>duraludon</v>
      </c>
      <c r="E886" s="1370"/>
    </row>
    <row r="887" ht="23.25" customHeight="1">
      <c r="A887" s="1371">
        <v>885.0</v>
      </c>
      <c r="B887" s="1372" t="s">
        <v>1237</v>
      </c>
      <c r="C887" s="1373"/>
      <c r="D887" s="1366" t="str">
        <f t="shared" si="27"/>
        <v>dreepy</v>
      </c>
      <c r="E887" s="1373"/>
    </row>
    <row r="888" ht="23.25" customHeight="1">
      <c r="A888" s="1374">
        <v>886.0</v>
      </c>
      <c r="B888" s="1368" t="s">
        <v>1638</v>
      </c>
      <c r="C888" s="1369"/>
      <c r="D888" s="1370" t="str">
        <f t="shared" si="27"/>
        <v>drakloak</v>
      </c>
      <c r="E888" s="1369"/>
    </row>
    <row r="889" ht="23.25" customHeight="1">
      <c r="A889" s="1371">
        <v>887.0</v>
      </c>
      <c r="B889" s="1372" t="s">
        <v>260</v>
      </c>
      <c r="C889" s="1373"/>
      <c r="D889" s="1366" t="str">
        <f t="shared" si="27"/>
        <v>dragapult</v>
      </c>
      <c r="E889" s="1373"/>
    </row>
    <row r="890" ht="23.25" customHeight="1">
      <c r="A890" s="1367">
        <v>888.0</v>
      </c>
      <c r="B890" s="1368" t="s">
        <v>976</v>
      </c>
      <c r="C890" s="1369"/>
      <c r="D890" s="1370" t="str">
        <f t="shared" si="27"/>
        <v>zacian</v>
      </c>
      <c r="E890" s="1370"/>
    </row>
    <row r="891" ht="23.25" customHeight="1">
      <c r="A891" s="1363">
        <v>889.0</v>
      </c>
      <c r="B891" s="1372" t="s">
        <v>977</v>
      </c>
      <c r="C891" s="1373"/>
      <c r="D891" s="1366" t="str">
        <f t="shared" si="27"/>
        <v>zamazenta</v>
      </c>
      <c r="E891" s="1366"/>
    </row>
    <row r="892" ht="23.25" customHeight="1">
      <c r="A892" s="1367">
        <v>890.0</v>
      </c>
      <c r="B892" s="1368" t="s">
        <v>978</v>
      </c>
      <c r="C892" s="1369"/>
      <c r="D892" s="1370" t="str">
        <f t="shared" si="27"/>
        <v>eternatus</v>
      </c>
      <c r="E892" s="1370"/>
    </row>
    <row r="893" ht="23.25" customHeight="1">
      <c r="A893" s="1371">
        <v>891.0</v>
      </c>
      <c r="B893" s="1372" t="s">
        <v>979</v>
      </c>
      <c r="C893" s="1373"/>
      <c r="D893" s="1366" t="str">
        <f t="shared" si="27"/>
        <v>kubfu</v>
      </c>
      <c r="E893" s="1366"/>
    </row>
    <row r="894" ht="23.25" customHeight="1">
      <c r="A894" s="1374">
        <v>892.0</v>
      </c>
      <c r="B894" s="1375" t="s">
        <v>981</v>
      </c>
      <c r="C894" s="1369"/>
      <c r="D894" s="1370" t="str">
        <f t="shared" si="27"/>
        <v>urshifu-single</v>
      </c>
      <c r="E894" s="1370"/>
    </row>
    <row r="895" ht="23.25" customHeight="1">
      <c r="A895" s="1371">
        <v>893.0</v>
      </c>
      <c r="B895" s="1372" t="s">
        <v>985</v>
      </c>
      <c r="C895" s="1373"/>
      <c r="D895" s="1366" t="str">
        <f t="shared" si="27"/>
        <v>zarude</v>
      </c>
      <c r="E895" s="1366"/>
    </row>
    <row r="896" ht="23.25" customHeight="1">
      <c r="A896" s="1367">
        <v>894.0</v>
      </c>
      <c r="B896" s="1375" t="s">
        <v>986</v>
      </c>
      <c r="C896" s="1369"/>
      <c r="D896" s="1370" t="str">
        <f t="shared" si="27"/>
        <v>regieleki</v>
      </c>
      <c r="E896" s="1370"/>
    </row>
    <row r="897" ht="23.25" customHeight="1">
      <c r="A897" s="1363">
        <v>895.0</v>
      </c>
      <c r="B897" s="1364" t="s">
        <v>987</v>
      </c>
      <c r="C897" s="1373"/>
      <c r="D897" s="1366" t="str">
        <f t="shared" si="27"/>
        <v>regidrago</v>
      </c>
      <c r="E897" s="1366"/>
    </row>
    <row r="898" ht="23.25" customHeight="1">
      <c r="A898" s="1367">
        <v>896.0</v>
      </c>
      <c r="B898" s="1375" t="s">
        <v>988</v>
      </c>
      <c r="C898" s="1369"/>
      <c r="D898" s="1370" t="s">
        <v>1639</v>
      </c>
      <c r="E898" s="1370"/>
    </row>
    <row r="899" ht="23.25" customHeight="1">
      <c r="A899" s="1371">
        <v>897.0</v>
      </c>
      <c r="B899" s="1364" t="s">
        <v>990</v>
      </c>
      <c r="C899" s="1373"/>
      <c r="D899" s="1366" t="str">
        <f t="shared" ref="D899:D901" si="28">LOWER(B899)</f>
        <v>spectrier</v>
      </c>
      <c r="E899" s="1366"/>
    </row>
    <row r="900" ht="23.25" customHeight="1">
      <c r="A900" s="1374">
        <v>898.0</v>
      </c>
      <c r="B900" s="1375" t="s">
        <v>991</v>
      </c>
      <c r="C900" s="1369"/>
      <c r="D900" s="1370" t="str">
        <f t="shared" si="28"/>
        <v>calyrex</v>
      </c>
      <c r="E900" s="1370"/>
    </row>
    <row r="901" ht="23.25" customHeight="1">
      <c r="A901" s="1371">
        <v>899.0</v>
      </c>
      <c r="B901" s="1364" t="s">
        <v>1640</v>
      </c>
      <c r="C901" s="1373"/>
      <c r="D901" s="1366" t="str">
        <f t="shared" si="28"/>
        <v>wyrdeer</v>
      </c>
      <c r="E901" s="1366"/>
    </row>
    <row r="902" ht="23.25" customHeight="1">
      <c r="A902" s="1367">
        <v>900.0</v>
      </c>
      <c r="B902" s="1375" t="s">
        <v>1128</v>
      </c>
      <c r="C902" s="1369"/>
      <c r="D902" s="1370" t="s">
        <v>1641</v>
      </c>
      <c r="E902" s="1370"/>
    </row>
    <row r="903" ht="23.25" customHeight="1">
      <c r="A903" s="1363">
        <v>901.0</v>
      </c>
      <c r="B903" s="1364" t="s">
        <v>156</v>
      </c>
      <c r="C903" s="1373"/>
      <c r="D903" s="1366" t="str">
        <f t="shared" ref="D903:D930" si="29">LOWER(B903)</f>
        <v>ursaluna</v>
      </c>
      <c r="E903" s="1366"/>
    </row>
    <row r="904" ht="23.25" customHeight="1">
      <c r="A904" s="1367">
        <v>902.0</v>
      </c>
      <c r="B904" s="1375" t="s">
        <v>739</v>
      </c>
      <c r="C904" s="1369"/>
      <c r="D904" s="1370" t="str">
        <f t="shared" si="29"/>
        <v>basculegion</v>
      </c>
      <c r="E904" s="1370"/>
    </row>
    <row r="905" ht="23.25" customHeight="1">
      <c r="A905" s="1371">
        <v>903.0</v>
      </c>
      <c r="B905" s="1364" t="s">
        <v>1642</v>
      </c>
      <c r="C905" s="1373"/>
      <c r="D905" s="1366" t="str">
        <f t="shared" si="29"/>
        <v>sneasler</v>
      </c>
      <c r="E905" s="1366"/>
    </row>
    <row r="906" ht="23.25" customHeight="1">
      <c r="A906" s="1374">
        <v>904.0</v>
      </c>
      <c r="B906" s="1375" t="s">
        <v>1643</v>
      </c>
      <c r="C906" s="1369"/>
      <c r="D906" s="1370" t="str">
        <f t="shared" si="29"/>
        <v>overqwil</v>
      </c>
      <c r="E906" s="1370"/>
    </row>
    <row r="907" ht="23.25" customHeight="1">
      <c r="A907" s="1371">
        <v>905.0</v>
      </c>
      <c r="B907" s="1364" t="s">
        <v>994</v>
      </c>
      <c r="C907" s="1373"/>
      <c r="D907" s="1366" t="str">
        <f t="shared" si="29"/>
        <v>enamorus-i</v>
      </c>
      <c r="E907" s="1366"/>
    </row>
    <row r="908" ht="23.25" customHeight="1">
      <c r="A908" s="1367">
        <v>906.0</v>
      </c>
      <c r="B908" s="1375" t="s">
        <v>1223</v>
      </c>
      <c r="C908" s="1369"/>
      <c r="D908" s="1370" t="str">
        <f t="shared" si="29"/>
        <v>sprigatito</v>
      </c>
      <c r="E908" s="1370"/>
    </row>
    <row r="909" ht="23.25" customHeight="1">
      <c r="A909" s="1363">
        <v>907.0</v>
      </c>
      <c r="B909" s="1364" t="s">
        <v>1644</v>
      </c>
      <c r="C909" s="1373"/>
      <c r="D909" s="1366" t="str">
        <f t="shared" si="29"/>
        <v>floragato</v>
      </c>
      <c r="E909" s="1366"/>
    </row>
    <row r="910" ht="23.25" customHeight="1">
      <c r="A910" s="1367">
        <v>908.0</v>
      </c>
      <c r="B910" s="1375" t="s">
        <v>574</v>
      </c>
      <c r="C910" s="1369"/>
      <c r="D910" s="1370" t="str">
        <f t="shared" si="29"/>
        <v>meowscarada</v>
      </c>
      <c r="E910" s="1370"/>
    </row>
    <row r="911" ht="23.25" customHeight="1">
      <c r="A911" s="1371">
        <v>909.0</v>
      </c>
      <c r="B911" s="1364" t="s">
        <v>1225</v>
      </c>
      <c r="C911" s="1373"/>
      <c r="D911" s="1366" t="str">
        <f t="shared" si="29"/>
        <v>fuecoco</v>
      </c>
      <c r="E911" s="1366"/>
    </row>
    <row r="912" ht="23.25" customHeight="1">
      <c r="A912" s="1374">
        <v>910.0</v>
      </c>
      <c r="B912" s="1375" t="s">
        <v>1645</v>
      </c>
      <c r="C912" s="1369"/>
      <c r="D912" s="1370" t="str">
        <f t="shared" si="29"/>
        <v>crocalor</v>
      </c>
      <c r="E912" s="1370"/>
    </row>
    <row r="913" ht="23.25" customHeight="1">
      <c r="A913" s="1371">
        <v>911.0</v>
      </c>
      <c r="B913" s="1364" t="s">
        <v>1646</v>
      </c>
      <c r="C913" s="1373"/>
      <c r="D913" s="1366" t="str">
        <f t="shared" si="29"/>
        <v>skeledirge</v>
      </c>
      <c r="E913" s="1366"/>
    </row>
    <row r="914" ht="23.25" customHeight="1">
      <c r="A914" s="1367">
        <v>912.0</v>
      </c>
      <c r="B914" s="1375" t="s">
        <v>1224</v>
      </c>
      <c r="C914" s="1369"/>
      <c r="D914" s="1370" t="str">
        <f t="shared" si="29"/>
        <v>quaxly</v>
      </c>
      <c r="E914" s="1370"/>
    </row>
    <row r="915" ht="23.25" customHeight="1">
      <c r="A915" s="1363">
        <v>913.0</v>
      </c>
      <c r="B915" s="1364" t="s">
        <v>1647</v>
      </c>
      <c r="C915" s="1373"/>
      <c r="D915" s="1366" t="str">
        <f t="shared" si="29"/>
        <v>quaxwell</v>
      </c>
      <c r="E915" s="1366"/>
    </row>
    <row r="916" ht="23.25" customHeight="1">
      <c r="A916" s="1367">
        <v>914.0</v>
      </c>
      <c r="B916" s="1375" t="s">
        <v>339</v>
      </c>
      <c r="C916" s="1369"/>
      <c r="D916" s="1370" t="str">
        <f t="shared" si="29"/>
        <v>quaquaval</v>
      </c>
      <c r="E916" s="1370"/>
    </row>
    <row r="917" ht="23.25" customHeight="1">
      <c r="A917" s="1371">
        <v>915.0</v>
      </c>
      <c r="B917" s="1364" t="s">
        <v>166</v>
      </c>
      <c r="C917" s="1373"/>
      <c r="D917" s="1366" t="str">
        <f t="shared" si="29"/>
        <v>lechonk</v>
      </c>
      <c r="E917" s="1366"/>
    </row>
    <row r="918" ht="23.25" customHeight="1">
      <c r="A918" s="1374">
        <v>916.0</v>
      </c>
      <c r="B918" s="1375" t="s">
        <v>1648</v>
      </c>
      <c r="C918" s="1369"/>
      <c r="D918" s="1370" t="str">
        <f t="shared" si="29"/>
        <v>lechonk-m</v>
      </c>
      <c r="E918" s="1370"/>
    </row>
    <row r="919" ht="23.25" customHeight="1">
      <c r="A919" s="1371">
        <v>917.0</v>
      </c>
      <c r="B919" s="1364" t="s">
        <v>532</v>
      </c>
      <c r="C919" s="1373"/>
      <c r="D919" s="1366" t="str">
        <f t="shared" si="29"/>
        <v>tarountula</v>
      </c>
      <c r="E919" s="1366"/>
    </row>
    <row r="920" ht="23.25" customHeight="1">
      <c r="A920" s="1367">
        <v>918.0</v>
      </c>
      <c r="B920" s="1375" t="s">
        <v>1649</v>
      </c>
      <c r="C920" s="1369"/>
      <c r="D920" s="1370" t="str">
        <f t="shared" si="29"/>
        <v>spidops</v>
      </c>
      <c r="E920" s="1370"/>
    </row>
    <row r="921" ht="23.25" customHeight="1">
      <c r="A921" s="1363">
        <v>919.0</v>
      </c>
      <c r="B921" s="1364" t="s">
        <v>493</v>
      </c>
      <c r="C921" s="1373"/>
      <c r="D921" s="1366" t="str">
        <f t="shared" si="29"/>
        <v>nymble</v>
      </c>
      <c r="E921" s="1366"/>
    </row>
    <row r="922" ht="23.25" customHeight="1">
      <c r="A922" s="1367">
        <v>920.0</v>
      </c>
      <c r="B922" s="1375" t="s">
        <v>1650</v>
      </c>
      <c r="C922" s="1369"/>
      <c r="D922" s="1370" t="str">
        <f t="shared" si="29"/>
        <v>lokix</v>
      </c>
      <c r="E922" s="1370"/>
    </row>
    <row r="923" ht="23.25" customHeight="1">
      <c r="A923" s="1371">
        <v>921.0</v>
      </c>
      <c r="B923" s="1364" t="s">
        <v>529</v>
      </c>
      <c r="C923" s="1373"/>
      <c r="D923" s="1366" t="str">
        <f t="shared" si="29"/>
        <v>pawmi</v>
      </c>
      <c r="E923" s="1366"/>
    </row>
    <row r="924" ht="23.25" customHeight="1">
      <c r="A924" s="1374">
        <v>922.0</v>
      </c>
      <c r="B924" s="1375" t="s">
        <v>1651</v>
      </c>
      <c r="C924" s="1369"/>
      <c r="D924" s="1370" t="str">
        <f t="shared" si="29"/>
        <v>pawmo</v>
      </c>
      <c r="E924" s="1369"/>
    </row>
    <row r="925" ht="23.25" customHeight="1">
      <c r="A925" s="1371">
        <v>923.0</v>
      </c>
      <c r="B925" s="1364" t="s">
        <v>1652</v>
      </c>
      <c r="C925" s="1373"/>
      <c r="D925" s="1366" t="str">
        <f t="shared" si="29"/>
        <v>pawmot</v>
      </c>
      <c r="E925" s="1373"/>
    </row>
    <row r="926" ht="23.25" customHeight="1">
      <c r="A926" s="1367">
        <v>924.0</v>
      </c>
      <c r="B926" s="1375" t="s">
        <v>360</v>
      </c>
      <c r="C926" s="1369"/>
      <c r="D926" s="1370" t="str">
        <f t="shared" si="29"/>
        <v>tandemaus</v>
      </c>
      <c r="E926" s="1369"/>
    </row>
    <row r="927" ht="23.25" customHeight="1">
      <c r="A927" s="1363">
        <v>925.0</v>
      </c>
      <c r="B927" s="1364" t="s">
        <v>1653</v>
      </c>
      <c r="C927" s="1373"/>
      <c r="D927" s="1366" t="str">
        <f t="shared" si="29"/>
        <v>maushold</v>
      </c>
      <c r="E927" s="1366"/>
    </row>
    <row r="928" ht="23.25" customHeight="1">
      <c r="A928" s="1367">
        <v>926.0</v>
      </c>
      <c r="B928" s="1375" t="s">
        <v>446</v>
      </c>
      <c r="C928" s="1369"/>
      <c r="D928" s="1370" t="str">
        <f t="shared" si="29"/>
        <v>fidough</v>
      </c>
      <c r="E928" s="1370"/>
    </row>
    <row r="929" ht="23.25" customHeight="1">
      <c r="A929" s="1371">
        <v>927.0</v>
      </c>
      <c r="B929" s="1364" t="s">
        <v>1654</v>
      </c>
      <c r="C929" s="1373"/>
      <c r="D929" s="1366" t="str">
        <f t="shared" si="29"/>
        <v>dachsbun</v>
      </c>
      <c r="E929" s="1366"/>
    </row>
    <row r="930" ht="23.25" customHeight="1">
      <c r="A930" s="1374">
        <v>928.0</v>
      </c>
      <c r="B930" s="1375" t="s">
        <v>444</v>
      </c>
      <c r="C930" s="1369"/>
      <c r="D930" s="1370" t="str">
        <f t="shared" si="29"/>
        <v>smoliv</v>
      </c>
      <c r="E930" s="1370"/>
    </row>
    <row r="931" ht="23.25" customHeight="1">
      <c r="A931" s="1371">
        <v>929.0</v>
      </c>
      <c r="B931" s="1364" t="s">
        <v>1655</v>
      </c>
      <c r="C931" s="1373"/>
      <c r="D931" s="1366" t="s">
        <v>1656</v>
      </c>
      <c r="E931" s="1366"/>
    </row>
    <row r="932" ht="23.25" customHeight="1">
      <c r="A932" s="1367">
        <v>930.0</v>
      </c>
      <c r="B932" s="1375" t="s">
        <v>1657</v>
      </c>
      <c r="C932" s="1369"/>
      <c r="D932" s="1370" t="str">
        <f t="shared" ref="D932:D959" si="30">LOWER(B932)</f>
        <v>arboliva</v>
      </c>
      <c r="E932" s="1370"/>
    </row>
    <row r="933" ht="23.25" customHeight="1">
      <c r="A933" s="1363">
        <v>931.0</v>
      </c>
      <c r="B933" s="1364" t="s">
        <v>452</v>
      </c>
      <c r="C933" s="1373"/>
      <c r="D933" s="1366" t="str">
        <f t="shared" si="30"/>
        <v>squawkabilly-g</v>
      </c>
      <c r="E933" s="1366"/>
    </row>
    <row r="934" ht="23.25" customHeight="1">
      <c r="A934" s="1367">
        <v>932.0</v>
      </c>
      <c r="B934" s="1375" t="s">
        <v>169</v>
      </c>
      <c r="C934" s="1369"/>
      <c r="D934" s="1370" t="str">
        <f t="shared" si="30"/>
        <v>nacli</v>
      </c>
      <c r="E934" s="1369"/>
    </row>
    <row r="935" ht="23.25" customHeight="1">
      <c r="A935" s="1371">
        <v>933.0</v>
      </c>
      <c r="B935" s="1364" t="s">
        <v>1658</v>
      </c>
      <c r="C935" s="1373"/>
      <c r="D935" s="1366" t="str">
        <f t="shared" si="30"/>
        <v>naclstack</v>
      </c>
      <c r="E935" s="1366"/>
    </row>
    <row r="936" ht="23.25" customHeight="1">
      <c r="A936" s="1374">
        <v>934.0</v>
      </c>
      <c r="B936" s="1375" t="s">
        <v>1659</v>
      </c>
      <c r="C936" s="1369"/>
      <c r="D936" s="1370" t="str">
        <f t="shared" si="30"/>
        <v>garganacl</v>
      </c>
      <c r="E936" s="1370"/>
    </row>
    <row r="937" ht="23.25" customHeight="1">
      <c r="A937" s="1371">
        <v>935.0</v>
      </c>
      <c r="B937" s="1364" t="s">
        <v>282</v>
      </c>
      <c r="C937" s="1373"/>
      <c r="D937" s="1366" t="str">
        <f t="shared" si="30"/>
        <v>charcadet</v>
      </c>
      <c r="E937" s="1366"/>
    </row>
    <row r="938" ht="23.25" customHeight="1">
      <c r="A938" s="1367">
        <v>936.0</v>
      </c>
      <c r="B938" s="1375" t="s">
        <v>416</v>
      </c>
      <c r="C938" s="1369"/>
      <c r="D938" s="1370" t="str">
        <f t="shared" si="30"/>
        <v>armarouge</v>
      </c>
      <c r="E938" s="1370"/>
    </row>
    <row r="939" ht="23.25" customHeight="1">
      <c r="A939" s="1363">
        <v>937.0</v>
      </c>
      <c r="B939" s="1364" t="s">
        <v>618</v>
      </c>
      <c r="C939" s="1373"/>
      <c r="D939" s="1366" t="str">
        <f t="shared" si="30"/>
        <v>ceruledge</v>
      </c>
      <c r="E939" s="1366"/>
    </row>
    <row r="940" ht="23.25" customHeight="1">
      <c r="A940" s="1367">
        <v>938.0</v>
      </c>
      <c r="B940" s="1375" t="s">
        <v>283</v>
      </c>
      <c r="C940" s="1369"/>
      <c r="D940" s="1370" t="str">
        <f t="shared" si="30"/>
        <v>tadbulb</v>
      </c>
      <c r="E940" s="1370"/>
    </row>
    <row r="941" ht="23.25" customHeight="1">
      <c r="A941" s="1371">
        <v>939.0</v>
      </c>
      <c r="B941" s="1364" t="s">
        <v>1660</v>
      </c>
      <c r="C941" s="1373"/>
      <c r="D941" s="1366" t="str">
        <f t="shared" si="30"/>
        <v>bellibolt</v>
      </c>
      <c r="E941" s="1366"/>
    </row>
    <row r="942" ht="23.25" customHeight="1">
      <c r="A942" s="1374">
        <v>940.0</v>
      </c>
      <c r="B942" s="1375" t="s">
        <v>628</v>
      </c>
      <c r="C942" s="1369"/>
      <c r="D942" s="1370" t="str">
        <f t="shared" si="30"/>
        <v>wattrel</v>
      </c>
      <c r="E942" s="1370"/>
    </row>
    <row r="943" ht="23.25" customHeight="1">
      <c r="A943" s="1371">
        <v>941.0</v>
      </c>
      <c r="B943" s="1364" t="s">
        <v>1661</v>
      </c>
      <c r="C943" s="1373"/>
      <c r="D943" s="1366" t="str">
        <f t="shared" si="30"/>
        <v>kilowattrel</v>
      </c>
      <c r="E943" s="1366"/>
    </row>
    <row r="944" ht="23.25" customHeight="1">
      <c r="A944" s="1367">
        <v>942.0</v>
      </c>
      <c r="B944" s="1375" t="s">
        <v>629</v>
      </c>
      <c r="C944" s="1369"/>
      <c r="D944" s="1370" t="str">
        <f t="shared" si="30"/>
        <v>maschiff</v>
      </c>
      <c r="E944" s="1370"/>
    </row>
    <row r="945" ht="23.25" customHeight="1">
      <c r="A945" s="1363">
        <v>943.0</v>
      </c>
      <c r="B945" s="1364" t="s">
        <v>1662</v>
      </c>
      <c r="C945" s="1373"/>
      <c r="D945" s="1366" t="str">
        <f t="shared" si="30"/>
        <v>mabosschiff</v>
      </c>
      <c r="E945" s="1366"/>
    </row>
    <row r="946" ht="23.25" customHeight="1">
      <c r="A946" s="1367">
        <v>944.0</v>
      </c>
      <c r="B946" s="1375" t="s">
        <v>609</v>
      </c>
      <c r="C946" s="1369"/>
      <c r="D946" s="1370" t="str">
        <f t="shared" si="30"/>
        <v>shroodle</v>
      </c>
      <c r="E946" s="1370"/>
    </row>
    <row r="947" ht="23.25" customHeight="1">
      <c r="A947" s="1371">
        <v>945.0</v>
      </c>
      <c r="B947" s="1364" t="s">
        <v>1663</v>
      </c>
      <c r="C947" s="1373"/>
      <c r="D947" s="1366" t="str">
        <f t="shared" si="30"/>
        <v>grafaiai</v>
      </c>
      <c r="E947" s="1366"/>
    </row>
    <row r="948" ht="23.25" customHeight="1">
      <c r="A948" s="1374">
        <v>946.0</v>
      </c>
      <c r="B948" s="1375" t="s">
        <v>447</v>
      </c>
      <c r="C948" s="1369"/>
      <c r="D948" s="1370" t="str">
        <f t="shared" si="30"/>
        <v>bramblin</v>
      </c>
      <c r="E948" s="1370"/>
    </row>
    <row r="949" ht="23.25" customHeight="1">
      <c r="A949" s="1371">
        <v>947.0</v>
      </c>
      <c r="B949" s="1364" t="s">
        <v>1664</v>
      </c>
      <c r="C949" s="1373"/>
      <c r="D949" s="1366" t="str">
        <f t="shared" si="30"/>
        <v>brambleghast</v>
      </c>
      <c r="E949" s="1366"/>
    </row>
    <row r="950" ht="23.25" customHeight="1">
      <c r="A950" s="1367">
        <v>948.0</v>
      </c>
      <c r="B950" s="1375" t="s">
        <v>630</v>
      </c>
      <c r="C950" s="1369"/>
      <c r="D950" s="1370" t="str">
        <f t="shared" si="30"/>
        <v>toedscool</v>
      </c>
      <c r="E950" s="1370"/>
    </row>
    <row r="951" ht="23.25" customHeight="1">
      <c r="A951" s="1363">
        <v>949.0</v>
      </c>
      <c r="B951" s="1364" t="s">
        <v>1665</v>
      </c>
      <c r="C951" s="1373"/>
      <c r="D951" s="1366" t="str">
        <f t="shared" si="30"/>
        <v>toedscruel</v>
      </c>
      <c r="E951" s="1366"/>
    </row>
    <row r="952" ht="23.25" customHeight="1">
      <c r="A952" s="1367">
        <v>950.0</v>
      </c>
      <c r="B952" s="1375" t="s">
        <v>499</v>
      </c>
      <c r="C952" s="1369"/>
      <c r="D952" s="1370" t="str">
        <f t="shared" si="30"/>
        <v>klawf</v>
      </c>
      <c r="E952" s="1370"/>
    </row>
    <row r="953" ht="23.25" customHeight="1">
      <c r="A953" s="1371">
        <v>951.0</v>
      </c>
      <c r="B953" s="1364" t="s">
        <v>490</v>
      </c>
      <c r="C953" s="1373"/>
      <c r="D953" s="1366" t="str">
        <f t="shared" si="30"/>
        <v>capsakid</v>
      </c>
      <c r="E953" s="1366"/>
    </row>
    <row r="954" ht="23.25" customHeight="1">
      <c r="A954" s="1374">
        <v>952.0</v>
      </c>
      <c r="B954" s="1375" t="s">
        <v>1666</v>
      </c>
      <c r="C954" s="1369"/>
      <c r="D954" s="1370" t="str">
        <f t="shared" si="30"/>
        <v>scovillain</v>
      </c>
      <c r="E954" s="1370"/>
    </row>
    <row r="955" ht="23.25" customHeight="1">
      <c r="A955" s="1371">
        <v>953.0</v>
      </c>
      <c r="B955" s="1364" t="s">
        <v>622</v>
      </c>
      <c r="C955" s="1373"/>
      <c r="D955" s="1366" t="str">
        <f t="shared" si="30"/>
        <v>rellor</v>
      </c>
      <c r="E955" s="1366"/>
    </row>
    <row r="956" ht="23.25" customHeight="1">
      <c r="A956" s="1367">
        <v>954.0</v>
      </c>
      <c r="B956" s="1375" t="s">
        <v>1667</v>
      </c>
      <c r="C956" s="1369"/>
      <c r="D956" s="1370" t="str">
        <f t="shared" si="30"/>
        <v>rabsca</v>
      </c>
      <c r="E956" s="1370"/>
    </row>
    <row r="957" ht="23.25" customHeight="1">
      <c r="A957" s="1363">
        <v>955.0</v>
      </c>
      <c r="B957" s="1364" t="s">
        <v>453</v>
      </c>
      <c r="C957" s="1373"/>
      <c r="D957" s="1366" t="str">
        <f t="shared" si="30"/>
        <v>flittle</v>
      </c>
      <c r="E957" s="1366"/>
    </row>
    <row r="958" ht="23.25" customHeight="1">
      <c r="A958" s="1367">
        <v>956.0</v>
      </c>
      <c r="B958" s="1375" t="s">
        <v>1668</v>
      </c>
      <c r="C958" s="1369"/>
      <c r="D958" s="1370" t="str">
        <f t="shared" si="30"/>
        <v>espathra</v>
      </c>
      <c r="E958" s="1370"/>
    </row>
    <row r="959" ht="23.25" customHeight="1">
      <c r="A959" s="1371">
        <v>957.0</v>
      </c>
      <c r="B959" s="1364" t="s">
        <v>394</v>
      </c>
      <c r="C959" s="1373"/>
      <c r="D959" s="1366" t="str">
        <f t="shared" si="30"/>
        <v>tinkatink</v>
      </c>
      <c r="E959" s="1366"/>
    </row>
    <row r="960" ht="23.25" customHeight="1">
      <c r="A960" s="1374">
        <v>958.0</v>
      </c>
      <c r="B960" s="1375" t="s">
        <v>1125</v>
      </c>
      <c r="C960" s="1369"/>
      <c r="D960" s="1370" t="s">
        <v>1669</v>
      </c>
      <c r="E960" s="1370"/>
    </row>
    <row r="961" ht="23.25" customHeight="1">
      <c r="A961" s="1371">
        <v>959.0</v>
      </c>
      <c r="B961" s="1364" t="s">
        <v>1670</v>
      </c>
      <c r="C961" s="1373"/>
      <c r="D961" s="1366" t="str">
        <f t="shared" ref="D961:D988" si="31">LOWER(B961)</f>
        <v>tinkaton</v>
      </c>
      <c r="E961" s="1366"/>
    </row>
    <row r="962" ht="23.25" customHeight="1">
      <c r="A962" s="1367">
        <v>960.0</v>
      </c>
      <c r="B962" s="1375" t="s">
        <v>220</v>
      </c>
      <c r="C962" s="1369"/>
      <c r="D962" s="1370" t="str">
        <f t="shared" si="31"/>
        <v>wiglett</v>
      </c>
      <c r="E962" s="1369"/>
    </row>
    <row r="963" ht="23.25" customHeight="1">
      <c r="A963" s="1363">
        <v>961.0</v>
      </c>
      <c r="B963" s="1364" t="s">
        <v>1671</v>
      </c>
      <c r="C963" s="1373"/>
      <c r="D963" s="1366" t="str">
        <f t="shared" si="31"/>
        <v>wugtrio</v>
      </c>
      <c r="E963" s="1373"/>
    </row>
    <row r="964" ht="23.25" customHeight="1">
      <c r="A964" s="1367">
        <v>962.0</v>
      </c>
      <c r="B964" s="1375" t="s">
        <v>634</v>
      </c>
      <c r="C964" s="1369"/>
      <c r="D964" s="1370" t="str">
        <f t="shared" si="31"/>
        <v>bombirdier</v>
      </c>
      <c r="E964" s="1369"/>
    </row>
    <row r="965" ht="23.25" customHeight="1">
      <c r="A965" s="1371">
        <v>963.0</v>
      </c>
      <c r="B965" s="1364" t="s">
        <v>1259</v>
      </c>
      <c r="C965" s="1373"/>
      <c r="D965" s="1366" t="str">
        <f t="shared" si="31"/>
        <v>finizen</v>
      </c>
      <c r="E965" s="1373"/>
    </row>
    <row r="966" ht="23.25" customHeight="1">
      <c r="A966" s="1374">
        <v>964.0</v>
      </c>
      <c r="B966" s="1375" t="s">
        <v>737</v>
      </c>
      <c r="C966" s="1369"/>
      <c r="D966" s="1370" t="str">
        <f t="shared" si="31"/>
        <v>palafin</v>
      </c>
      <c r="E966" s="1369"/>
    </row>
    <row r="967" ht="23.25" customHeight="1">
      <c r="A967" s="1371">
        <v>965.0</v>
      </c>
      <c r="B967" s="1364" t="s">
        <v>93</v>
      </c>
      <c r="C967" s="1373"/>
      <c r="D967" s="1366" t="str">
        <f t="shared" si="31"/>
        <v>varoom</v>
      </c>
      <c r="E967" s="1373"/>
    </row>
    <row r="968" ht="23.25" customHeight="1">
      <c r="A968" s="1367">
        <v>966.0</v>
      </c>
      <c r="B968" s="1375" t="s">
        <v>1672</v>
      </c>
      <c r="C968" s="1369"/>
      <c r="D968" s="1370" t="str">
        <f t="shared" si="31"/>
        <v>revavroom</v>
      </c>
      <c r="E968" s="1369"/>
    </row>
    <row r="969" ht="23.25" customHeight="1">
      <c r="A969" s="1363">
        <v>967.0</v>
      </c>
      <c r="B969" s="1364" t="s">
        <v>186</v>
      </c>
      <c r="C969" s="1373"/>
      <c r="D969" s="1366" t="str">
        <f t="shared" si="31"/>
        <v>cyclizar</v>
      </c>
      <c r="E969" s="1373"/>
    </row>
    <row r="970" ht="23.25" customHeight="1">
      <c r="A970" s="1367">
        <v>968.0</v>
      </c>
      <c r="B970" s="1375" t="s">
        <v>461</v>
      </c>
      <c r="C970" s="1369"/>
      <c r="D970" s="1370" t="str">
        <f t="shared" si="31"/>
        <v>orthworm</v>
      </c>
      <c r="E970" s="1369"/>
    </row>
    <row r="971" ht="23.25" customHeight="1">
      <c r="A971" s="1371">
        <v>969.0</v>
      </c>
      <c r="B971" s="1364" t="s">
        <v>504</v>
      </c>
      <c r="C971" s="1373"/>
      <c r="D971" s="1366" t="str">
        <f t="shared" si="31"/>
        <v>glimmet</v>
      </c>
      <c r="E971" s="1373"/>
    </row>
    <row r="972" ht="23.25" customHeight="1">
      <c r="A972" s="1374">
        <v>970.0</v>
      </c>
      <c r="B972" s="1375" t="s">
        <v>1673</v>
      </c>
      <c r="C972" s="1369"/>
      <c r="D972" s="1370" t="str">
        <f t="shared" si="31"/>
        <v>glimmora</v>
      </c>
      <c r="E972" s="1369"/>
    </row>
    <row r="973" ht="23.25" customHeight="1">
      <c r="A973" s="1371">
        <v>971.0</v>
      </c>
      <c r="B973" s="1364" t="s">
        <v>429</v>
      </c>
      <c r="C973" s="1373"/>
      <c r="D973" s="1366" t="str">
        <f t="shared" si="31"/>
        <v>greavard</v>
      </c>
      <c r="E973" s="1373"/>
    </row>
    <row r="974" ht="23.25" customHeight="1">
      <c r="A974" s="1367">
        <v>972.0</v>
      </c>
      <c r="B974" s="1375" t="s">
        <v>460</v>
      </c>
      <c r="C974" s="1369"/>
      <c r="D974" s="1370" t="str">
        <f t="shared" si="31"/>
        <v>houndstone</v>
      </c>
      <c r="E974" s="1369"/>
    </row>
    <row r="975" ht="23.25" customHeight="1">
      <c r="A975" s="1363">
        <v>973.0</v>
      </c>
      <c r="B975" s="1364" t="s">
        <v>454</v>
      </c>
      <c r="C975" s="1373"/>
      <c r="D975" s="1366" t="str">
        <f t="shared" si="31"/>
        <v>flamigo</v>
      </c>
      <c r="E975" s="1373"/>
    </row>
    <row r="976" ht="23.25" customHeight="1">
      <c r="A976" s="1367">
        <v>974.0</v>
      </c>
      <c r="B976" s="1375" t="s">
        <v>404</v>
      </c>
      <c r="C976" s="1369"/>
      <c r="D976" s="1370" t="str">
        <f t="shared" si="31"/>
        <v>cetoddle</v>
      </c>
      <c r="E976" s="1369"/>
    </row>
    <row r="977" ht="23.25" customHeight="1">
      <c r="A977" s="1371">
        <v>975.0</v>
      </c>
      <c r="B977" s="1364" t="s">
        <v>373</v>
      </c>
      <c r="C977" s="1373"/>
      <c r="D977" s="1366" t="str">
        <f t="shared" si="31"/>
        <v>cetitan</v>
      </c>
      <c r="E977" s="1373"/>
    </row>
    <row r="978" ht="23.25" customHeight="1">
      <c r="A978" s="1374">
        <v>976.0</v>
      </c>
      <c r="B978" s="1375" t="s">
        <v>691</v>
      </c>
      <c r="C978" s="1369"/>
      <c r="D978" s="1370" t="str">
        <f t="shared" si="31"/>
        <v>veluza</v>
      </c>
      <c r="E978" s="1369"/>
    </row>
    <row r="979" ht="23.25" customHeight="1">
      <c r="A979" s="1371">
        <v>977.0</v>
      </c>
      <c r="B979" s="1364" t="s">
        <v>714</v>
      </c>
      <c r="C979" s="1373"/>
      <c r="D979" s="1366" t="str">
        <f t="shared" si="31"/>
        <v>dondozo</v>
      </c>
      <c r="E979" s="1366"/>
    </row>
    <row r="980" ht="23.25" customHeight="1">
      <c r="A980" s="1367">
        <v>978.0</v>
      </c>
      <c r="B980" s="1375" t="s">
        <v>677</v>
      </c>
      <c r="C980" s="1369"/>
      <c r="D980" s="1370" t="str">
        <f t="shared" si="31"/>
        <v>tatsugiri</v>
      </c>
      <c r="E980" s="1369"/>
    </row>
    <row r="981" ht="23.25" customHeight="1">
      <c r="A981" s="1363">
        <v>979.0</v>
      </c>
      <c r="B981" s="1364" t="s">
        <v>293</v>
      </c>
      <c r="C981" s="1373"/>
      <c r="D981" s="1366" t="str">
        <f t="shared" si="31"/>
        <v>annihilape</v>
      </c>
      <c r="E981" s="1366"/>
    </row>
    <row r="982" ht="23.25" customHeight="1">
      <c r="A982" s="1367">
        <v>980.0</v>
      </c>
      <c r="B982" s="1375" t="s">
        <v>1674</v>
      </c>
      <c r="C982" s="1369"/>
      <c r="D982" s="1370" t="str">
        <f t="shared" si="31"/>
        <v>clodsire</v>
      </c>
      <c r="E982" s="1370"/>
    </row>
    <row r="983" ht="23.25" customHeight="1">
      <c r="A983" s="1371">
        <v>981.0</v>
      </c>
      <c r="B983" s="1364" t="s">
        <v>1675</v>
      </c>
      <c r="C983" s="1373"/>
      <c r="D983" s="1366" t="str">
        <f t="shared" si="31"/>
        <v>farigiraf</v>
      </c>
      <c r="E983" s="1366"/>
    </row>
    <row r="984" ht="23.25" customHeight="1">
      <c r="A984" s="1374">
        <v>982.0</v>
      </c>
      <c r="B984" s="1375" t="s">
        <v>1676</v>
      </c>
      <c r="C984" s="1369"/>
      <c r="D984" s="1370" t="str">
        <f t="shared" si="31"/>
        <v>dudunsparce</v>
      </c>
      <c r="E984" s="1370"/>
    </row>
    <row r="985" ht="23.25" customHeight="1">
      <c r="A985" s="1371">
        <v>983.0</v>
      </c>
      <c r="B985" s="1364" t="s">
        <v>1677</v>
      </c>
      <c r="C985" s="1373"/>
      <c r="D985" s="1366" t="str">
        <f t="shared" si="31"/>
        <v>kingambit</v>
      </c>
      <c r="E985" s="1366"/>
    </row>
    <row r="986" ht="23.25" customHeight="1">
      <c r="A986" s="1367">
        <v>984.0</v>
      </c>
      <c r="B986" s="1375" t="s">
        <v>201</v>
      </c>
      <c r="C986" s="1369"/>
      <c r="D986" s="1370" t="str">
        <f t="shared" si="31"/>
        <v>great tusk</v>
      </c>
      <c r="E986" s="1370"/>
    </row>
    <row r="987" ht="23.25" customHeight="1">
      <c r="A987" s="1363">
        <v>985.0</v>
      </c>
      <c r="B987" s="1364" t="s">
        <v>771</v>
      </c>
      <c r="C987" s="1373"/>
      <c r="D987" s="1366" t="str">
        <f t="shared" si="31"/>
        <v>scream tail</v>
      </c>
      <c r="E987" s="1366"/>
    </row>
    <row r="988" ht="23.25" customHeight="1">
      <c r="A988" s="1367">
        <v>986.0</v>
      </c>
      <c r="B988" s="1375" t="s">
        <v>141</v>
      </c>
      <c r="C988" s="1369"/>
      <c r="D988" s="1370" t="str">
        <f t="shared" si="31"/>
        <v>brute bonnet</v>
      </c>
      <c r="E988" s="1370"/>
    </row>
    <row r="989" ht="23.25" customHeight="1">
      <c r="A989" s="1371">
        <v>987.0</v>
      </c>
      <c r="B989" s="1364" t="s">
        <v>269</v>
      </c>
      <c r="C989" s="1373"/>
      <c r="D989" s="1366" t="s">
        <v>1678</v>
      </c>
      <c r="E989" s="1366"/>
    </row>
    <row r="990" ht="23.25" customHeight="1">
      <c r="A990" s="1374">
        <v>988.0</v>
      </c>
      <c r="B990" s="1375" t="s">
        <v>780</v>
      </c>
      <c r="C990" s="1369"/>
      <c r="D990" s="1370" t="s">
        <v>1679</v>
      </c>
      <c r="E990" s="1370"/>
    </row>
    <row r="991" ht="23.25" customHeight="1">
      <c r="A991" s="1371">
        <v>989.0</v>
      </c>
      <c r="B991" s="1364" t="s">
        <v>770</v>
      </c>
      <c r="C991" s="1373"/>
      <c r="D991" s="1366" t="s">
        <v>1680</v>
      </c>
      <c r="E991" s="1366"/>
    </row>
    <row r="992" ht="23.25" customHeight="1">
      <c r="A992" s="1367">
        <v>990.0</v>
      </c>
      <c r="B992" s="1375" t="s">
        <v>142</v>
      </c>
      <c r="C992" s="1369"/>
      <c r="D992" s="1370" t="s">
        <v>1681</v>
      </c>
      <c r="E992" s="1370"/>
    </row>
    <row r="993" ht="23.25" customHeight="1">
      <c r="A993" s="1363">
        <v>991.0</v>
      </c>
      <c r="B993" s="1364" t="s">
        <v>205</v>
      </c>
      <c r="C993" s="1373"/>
      <c r="D993" s="1366" t="s">
        <v>1682</v>
      </c>
      <c r="E993" s="1366"/>
    </row>
    <row r="994" ht="23.25" customHeight="1">
      <c r="A994" s="1367">
        <v>992.0</v>
      </c>
      <c r="B994" s="1375" t="s">
        <v>755</v>
      </c>
      <c r="C994" s="1369"/>
      <c r="D994" s="1370" t="s">
        <v>1683</v>
      </c>
      <c r="E994" s="1370"/>
    </row>
    <row r="995" ht="23.25" customHeight="1">
      <c r="A995" s="1371">
        <v>993.0</v>
      </c>
      <c r="B995" s="1364" t="s">
        <v>778</v>
      </c>
      <c r="C995" s="1373"/>
      <c r="D995" s="1366" t="s">
        <v>1684</v>
      </c>
      <c r="E995" s="1366"/>
    </row>
    <row r="996" ht="23.25" customHeight="1">
      <c r="A996" s="1374">
        <v>994.0</v>
      </c>
      <c r="B996" s="1375" t="s">
        <v>756</v>
      </c>
      <c r="C996" s="1369"/>
      <c r="D996" s="1370" t="str">
        <f t="shared" ref="D996:D1007" si="32">LOWER(B996)</f>
        <v>iron moth</v>
      </c>
      <c r="E996" s="1370"/>
    </row>
    <row r="997" ht="23.25" customHeight="1">
      <c r="A997" s="1371">
        <v>995.0</v>
      </c>
      <c r="B997" s="1364" t="s">
        <v>777</v>
      </c>
      <c r="C997" s="1373"/>
      <c r="D997" s="1366" t="str">
        <f t="shared" si="32"/>
        <v>iron thorns</v>
      </c>
      <c r="E997" s="1366"/>
    </row>
    <row r="998" ht="23.25" customHeight="1">
      <c r="A998" s="1367">
        <v>996.0</v>
      </c>
      <c r="B998" s="1375" t="s">
        <v>1242</v>
      </c>
      <c r="C998" s="1369"/>
      <c r="D998" s="1370" t="str">
        <f t="shared" si="32"/>
        <v>frigibax</v>
      </c>
      <c r="E998" s="1370"/>
    </row>
    <row r="999" ht="23.25" customHeight="1">
      <c r="A999" s="1363">
        <v>997.0</v>
      </c>
      <c r="B999" s="1364" t="s">
        <v>1685</v>
      </c>
      <c r="C999" s="1373"/>
      <c r="D999" s="1366" t="str">
        <f t="shared" si="32"/>
        <v>arctibax</v>
      </c>
      <c r="E999" s="1366"/>
    </row>
    <row r="1000" ht="23.25" customHeight="1">
      <c r="A1000" s="1367">
        <v>998.0</v>
      </c>
      <c r="B1000" s="1375" t="s">
        <v>147</v>
      </c>
      <c r="C1000" s="1369"/>
      <c r="D1000" s="1370" t="str">
        <f t="shared" si="32"/>
        <v>baxcalibur</v>
      </c>
      <c r="E1000" s="1370"/>
    </row>
    <row r="1001" ht="23.25" customHeight="1">
      <c r="A1001" s="1371">
        <v>999.0</v>
      </c>
      <c r="B1001" s="1364" t="s">
        <v>773</v>
      </c>
      <c r="C1001" s="1373"/>
      <c r="D1001" s="1366" t="str">
        <f t="shared" si="32"/>
        <v>gimmighoul</v>
      </c>
      <c r="E1001" s="1366"/>
    </row>
    <row r="1002" ht="23.25" customHeight="1">
      <c r="A1002" s="1374">
        <v>1000.0</v>
      </c>
      <c r="B1002" s="1375" t="s">
        <v>1686</v>
      </c>
      <c r="C1002" s="1369"/>
      <c r="D1002" s="1370" t="str">
        <f t="shared" si="32"/>
        <v>gholdengo</v>
      </c>
      <c r="E1002" s="1370"/>
    </row>
    <row r="1003" ht="23.25" customHeight="1">
      <c r="A1003" s="1371">
        <v>1001.0</v>
      </c>
      <c r="B1003" s="1364" t="s">
        <v>1024</v>
      </c>
      <c r="C1003" s="1373"/>
      <c r="D1003" s="1366" t="str">
        <f t="shared" si="32"/>
        <v>wo-chien</v>
      </c>
      <c r="E1003" s="1366"/>
    </row>
    <row r="1004" ht="23.25" customHeight="1">
      <c r="A1004" s="1367">
        <v>1002.0</v>
      </c>
      <c r="B1004" s="1375" t="s">
        <v>1023</v>
      </c>
      <c r="C1004" s="1369"/>
      <c r="D1004" s="1370" t="str">
        <f t="shared" si="32"/>
        <v>chien-pao</v>
      </c>
      <c r="E1004" s="1370"/>
    </row>
    <row r="1005" ht="23.25" customHeight="1">
      <c r="A1005" s="1363">
        <v>1003.0</v>
      </c>
      <c r="B1005" s="1364" t="s">
        <v>1022</v>
      </c>
      <c r="C1005" s="1373"/>
      <c r="D1005" s="1366" t="str">
        <f t="shared" si="32"/>
        <v>ting-lu</v>
      </c>
      <c r="E1005" s="1366"/>
    </row>
    <row r="1006" ht="23.25" customHeight="1">
      <c r="A1006" s="1367">
        <v>1004.0</v>
      </c>
      <c r="B1006" s="1375" t="s">
        <v>1025</v>
      </c>
      <c r="C1006" s="1369"/>
      <c r="D1006" s="1370" t="str">
        <f t="shared" si="32"/>
        <v>chi-yu</v>
      </c>
      <c r="E1006" s="1370"/>
    </row>
    <row r="1007" ht="23.25" customHeight="1">
      <c r="A1007" s="1371">
        <v>1005.0</v>
      </c>
      <c r="B1007" s="1364" t="s">
        <v>559</v>
      </c>
      <c r="C1007" s="1373"/>
      <c r="D1007" s="1366" t="str">
        <f t="shared" si="32"/>
        <v>roaring moon</v>
      </c>
      <c r="E1007" s="1366"/>
    </row>
    <row r="1008" ht="23.25" customHeight="1">
      <c r="A1008" s="1374">
        <v>1006.0</v>
      </c>
      <c r="B1008" s="1375" t="s">
        <v>145</v>
      </c>
      <c r="C1008" s="1369"/>
      <c r="D1008" s="1370" t="s">
        <v>1687</v>
      </c>
      <c r="E1008" s="1370"/>
    </row>
    <row r="1009" ht="23.25" customHeight="1">
      <c r="A1009" s="1371">
        <v>1007.0</v>
      </c>
      <c r="B1009" s="1364" t="s">
        <v>1040</v>
      </c>
      <c r="C1009" s="1373"/>
      <c r="D1009" s="1366" t="s">
        <v>1688</v>
      </c>
      <c r="E1009" s="1366"/>
    </row>
    <row r="1010" ht="23.25" customHeight="1">
      <c r="A1010" s="1367">
        <v>1008.0</v>
      </c>
      <c r="B1010" s="1375" t="s">
        <v>1041</v>
      </c>
      <c r="C1010" s="1369"/>
      <c r="D1010" s="1370" t="str">
        <f t="shared" ref="D1010:D1042" si="33">LOWER(B1010)</f>
        <v>miraidon</v>
      </c>
      <c r="E1010" s="1370"/>
    </row>
    <row r="1011" ht="23.25" customHeight="1">
      <c r="A1011" s="1363">
        <v>1009.0</v>
      </c>
      <c r="B1011" s="1364" t="s">
        <v>1005</v>
      </c>
      <c r="C1011" s="1373"/>
      <c r="D1011" s="1366" t="str">
        <f t="shared" si="33"/>
        <v>walking wake</v>
      </c>
      <c r="E1011" s="1366"/>
    </row>
    <row r="1012" ht="23.25" customHeight="1">
      <c r="A1012" s="1367">
        <v>1010.0</v>
      </c>
      <c r="B1012" s="1375" t="s">
        <v>1018</v>
      </c>
      <c r="C1012" s="1369"/>
      <c r="D1012" s="1370" t="str">
        <f t="shared" si="33"/>
        <v>iron leaves</v>
      </c>
      <c r="E1012" s="1369"/>
    </row>
    <row r="1013" ht="23.25" customHeight="1">
      <c r="A1013" s="1371">
        <v>1011.0</v>
      </c>
      <c r="B1013" s="1364" t="s">
        <v>1689</v>
      </c>
      <c r="C1013" s="1373"/>
      <c r="D1013" s="1366" t="str">
        <f t="shared" si="33"/>
        <v>dipplin</v>
      </c>
      <c r="E1013" s="1366"/>
    </row>
    <row r="1014" ht="23.25" customHeight="1">
      <c r="A1014" s="1374">
        <v>1012.0</v>
      </c>
      <c r="B1014" s="1375" t="s">
        <v>623</v>
      </c>
      <c r="C1014" s="1369"/>
      <c r="D1014" s="1370" t="str">
        <f t="shared" si="33"/>
        <v>poltchageist</v>
      </c>
      <c r="E1014" s="1370"/>
    </row>
    <row r="1015" ht="23.25" customHeight="1">
      <c r="A1015" s="1371">
        <v>1013.0</v>
      </c>
      <c r="B1015" s="1364" t="s">
        <v>487</v>
      </c>
      <c r="C1015" s="1373"/>
      <c r="D1015" s="1366" t="str">
        <f t="shared" si="33"/>
        <v>sinistcha</v>
      </c>
      <c r="E1015" s="1366"/>
    </row>
    <row r="1016" ht="23.25" customHeight="1">
      <c r="A1016" s="1367">
        <v>1014.0</v>
      </c>
      <c r="B1016" s="1375" t="s">
        <v>1026</v>
      </c>
      <c r="C1016" s="1369"/>
      <c r="D1016" s="1370" t="str">
        <f t="shared" si="33"/>
        <v>okidogi</v>
      </c>
      <c r="E1016" s="1370"/>
    </row>
    <row r="1017" ht="23.25" customHeight="1">
      <c r="A1017" s="1363">
        <v>1015.0</v>
      </c>
      <c r="B1017" s="1364" t="s">
        <v>1028</v>
      </c>
      <c r="C1017" s="1373"/>
      <c r="D1017" s="1366" t="str">
        <f t="shared" si="33"/>
        <v>munkidori</v>
      </c>
      <c r="E1017" s="1366"/>
    </row>
    <row r="1018" ht="23.25" customHeight="1">
      <c r="A1018" s="1367">
        <v>1016.0</v>
      </c>
      <c r="B1018" s="1375" t="s">
        <v>1029</v>
      </c>
      <c r="C1018" s="1369"/>
      <c r="D1018" s="1370" t="str">
        <f t="shared" si="33"/>
        <v>fezandipiti</v>
      </c>
      <c r="E1018" s="1370"/>
    </row>
    <row r="1019" ht="23.25" customHeight="1">
      <c r="A1019" s="1371">
        <v>1017.0</v>
      </c>
      <c r="B1019" s="1364" t="s">
        <v>1030</v>
      </c>
      <c r="C1019" s="1373"/>
      <c r="D1019" s="1366" t="str">
        <f t="shared" si="33"/>
        <v>ogerpon</v>
      </c>
      <c r="E1019" s="1366"/>
    </row>
    <row r="1020" ht="23.25" customHeight="1">
      <c r="A1020" s="1374">
        <v>1018.0</v>
      </c>
      <c r="B1020" s="1375" t="s">
        <v>1690</v>
      </c>
      <c r="C1020" s="1369"/>
      <c r="D1020" s="1370" t="str">
        <f t="shared" si="33"/>
        <v>archaludon</v>
      </c>
      <c r="E1020" s="1370"/>
    </row>
    <row r="1021" ht="23.25" customHeight="1">
      <c r="A1021" s="1371">
        <v>1019.0</v>
      </c>
      <c r="B1021" s="1364" t="s">
        <v>783</v>
      </c>
      <c r="C1021" s="1373"/>
      <c r="D1021" s="1366" t="str">
        <f t="shared" si="33"/>
        <v>hydrapple</v>
      </c>
      <c r="E1021" s="1373"/>
    </row>
    <row r="1022" ht="23.25" customHeight="1">
      <c r="A1022" s="1367">
        <v>1020.0</v>
      </c>
      <c r="B1022" s="1375" t="s">
        <v>1007</v>
      </c>
      <c r="C1022" s="1369"/>
      <c r="D1022" s="1370" t="str">
        <f t="shared" si="33"/>
        <v>gouging fire</v>
      </c>
      <c r="E1022" s="1370"/>
    </row>
    <row r="1023" ht="23.25" customHeight="1">
      <c r="A1023" s="1363">
        <v>1021.0</v>
      </c>
      <c r="B1023" s="1364" t="s">
        <v>1009</v>
      </c>
      <c r="C1023" s="1373"/>
      <c r="D1023" s="1366" t="str">
        <f t="shared" si="33"/>
        <v>raging bolt</v>
      </c>
      <c r="E1023" s="1366"/>
    </row>
    <row r="1024" ht="23.25" customHeight="1">
      <c r="A1024" s="1367">
        <v>1022.0</v>
      </c>
      <c r="B1024" s="1375" t="s">
        <v>1020</v>
      </c>
      <c r="C1024" s="1369"/>
      <c r="D1024" s="1370" t="str">
        <f t="shared" si="33"/>
        <v>iron boulder</v>
      </c>
      <c r="E1024" s="1370"/>
    </row>
    <row r="1025" ht="23.25" customHeight="1">
      <c r="A1025" s="1371">
        <v>1023.0</v>
      </c>
      <c r="B1025" s="1364" t="s">
        <v>1021</v>
      </c>
      <c r="C1025" s="1373"/>
      <c r="D1025" s="1366" t="str">
        <f t="shared" si="33"/>
        <v>iron crown</v>
      </c>
      <c r="E1025" s="1373"/>
    </row>
    <row r="1026" ht="23.25" customHeight="1">
      <c r="A1026" s="1374">
        <v>1024.0</v>
      </c>
      <c r="B1026" s="1375" t="s">
        <v>1038</v>
      </c>
      <c r="C1026" s="1369"/>
      <c r="D1026" s="1370" t="str">
        <f t="shared" si="33"/>
        <v>terapagos</v>
      </c>
      <c r="E1026" s="1370"/>
    </row>
    <row r="1027" ht="23.25" customHeight="1">
      <c r="A1027" s="1371">
        <v>1025.0</v>
      </c>
      <c r="B1027" s="1364" t="s">
        <v>1039</v>
      </c>
      <c r="C1027" s="1373"/>
      <c r="D1027" s="1366" t="str">
        <f t="shared" si="33"/>
        <v>pecharunt</v>
      </c>
      <c r="E1027" s="1366"/>
    </row>
    <row r="1028" ht="23.25" customHeight="1">
      <c r="A1028" s="1367" t="s">
        <v>1691</v>
      </c>
      <c r="B1028" s="1375" t="s">
        <v>560</v>
      </c>
      <c r="C1028" s="1369" t="str">
        <f t="array" ref="C1028:C1080">IMAGE("https://www.centropkmn.com/pokes/gen9-sprites/"&amp;LOWER($A1028:$A1080)&amp;".png",4,36,36)</f>
        <v/>
      </c>
      <c r="D1028" s="1370" t="str">
        <f t="shared" si="33"/>
        <v>rattata-alola</v>
      </c>
      <c r="E1028" s="1370"/>
    </row>
    <row r="1029" ht="23.25" customHeight="1">
      <c r="A1029" s="1371" t="s">
        <v>1692</v>
      </c>
      <c r="B1029" s="1364" t="s">
        <v>547</v>
      </c>
      <c r="C1029" s="1373"/>
      <c r="D1029" s="1366" t="str">
        <f t="shared" si="33"/>
        <v>raticate-alola</v>
      </c>
      <c r="E1029" s="1373"/>
    </row>
    <row r="1030" ht="23.25" customHeight="1">
      <c r="A1030" s="1367" t="s">
        <v>1693</v>
      </c>
      <c r="B1030" s="1375" t="s">
        <v>1694</v>
      </c>
      <c r="C1030" s="1369"/>
      <c r="D1030" s="1370" t="str">
        <f t="shared" si="33"/>
        <v>raichu-alola</v>
      </c>
      <c r="E1030" s="1370"/>
    </row>
    <row r="1031" ht="23.25" customHeight="1">
      <c r="A1031" s="1371" t="s">
        <v>1695</v>
      </c>
      <c r="B1031" s="1364" t="s">
        <v>551</v>
      </c>
      <c r="C1031" s="1373"/>
      <c r="D1031" s="1366" t="str">
        <f t="shared" si="33"/>
        <v>sandshrew-alola</v>
      </c>
      <c r="E1031" s="1366"/>
    </row>
    <row r="1032" ht="23.25" customHeight="1">
      <c r="A1032" s="1367" t="s">
        <v>1696</v>
      </c>
      <c r="B1032" s="1375" t="s">
        <v>546</v>
      </c>
      <c r="C1032" s="1369"/>
      <c r="D1032" s="1370" t="str">
        <f t="shared" si="33"/>
        <v>sandslash-alola</v>
      </c>
      <c r="E1032" s="1370"/>
    </row>
    <row r="1033" ht="23.25" customHeight="1">
      <c r="A1033" s="1371" t="s">
        <v>1697</v>
      </c>
      <c r="B1033" s="1364" t="s">
        <v>584</v>
      </c>
      <c r="C1033" s="1373"/>
      <c r="D1033" s="1366" t="str">
        <f t="shared" si="33"/>
        <v>vulpix-alola</v>
      </c>
      <c r="E1033" s="1373"/>
    </row>
    <row r="1034" ht="23.25" customHeight="1">
      <c r="A1034" s="1367" t="s">
        <v>1698</v>
      </c>
      <c r="B1034" s="1375" t="s">
        <v>251</v>
      </c>
      <c r="C1034" s="1369"/>
      <c r="D1034" s="1370" t="str">
        <f t="shared" si="33"/>
        <v>ninetales-alola</v>
      </c>
      <c r="E1034" s="1370"/>
    </row>
    <row r="1035" ht="23.25" customHeight="1">
      <c r="A1035" s="1371" t="s">
        <v>1699</v>
      </c>
      <c r="B1035" s="1364" t="s">
        <v>533</v>
      </c>
      <c r="C1035" s="1373"/>
      <c r="D1035" s="1366" t="str">
        <f t="shared" si="33"/>
        <v>diglett-alola</v>
      </c>
      <c r="E1035" s="1366"/>
    </row>
    <row r="1036" ht="23.25" customHeight="1">
      <c r="A1036" s="1367" t="s">
        <v>1700</v>
      </c>
      <c r="B1036" s="1375" t="s">
        <v>639</v>
      </c>
      <c r="C1036" s="1369"/>
      <c r="D1036" s="1370" t="str">
        <f t="shared" si="33"/>
        <v>dugtrio-alola</v>
      </c>
      <c r="E1036" s="1370"/>
    </row>
    <row r="1037" ht="23.25" customHeight="1">
      <c r="A1037" s="1371" t="s">
        <v>1701</v>
      </c>
      <c r="B1037" s="1364" t="s">
        <v>524</v>
      </c>
      <c r="C1037" s="1373"/>
      <c r="D1037" s="1366" t="str">
        <f t="shared" si="33"/>
        <v>meowth-alola</v>
      </c>
      <c r="E1037" s="1366"/>
    </row>
    <row r="1038" ht="23.25" customHeight="1">
      <c r="A1038" s="1367" t="s">
        <v>1702</v>
      </c>
      <c r="B1038" s="1375" t="s">
        <v>1153</v>
      </c>
      <c r="C1038" s="1369"/>
      <c r="D1038" s="1370" t="str">
        <f t="shared" si="33"/>
        <v>persian-alola</v>
      </c>
      <c r="E1038" s="1370"/>
    </row>
    <row r="1039" ht="23.25" customHeight="1">
      <c r="A1039" s="1371" t="s">
        <v>1703</v>
      </c>
      <c r="B1039" s="1364" t="s">
        <v>535</v>
      </c>
      <c r="C1039" s="1373"/>
      <c r="D1039" s="1366" t="str">
        <f t="shared" si="33"/>
        <v>geodude-alola</v>
      </c>
      <c r="E1039" s="1373"/>
    </row>
    <row r="1040" ht="23.25" customHeight="1">
      <c r="A1040" s="1367" t="s">
        <v>1704</v>
      </c>
      <c r="B1040" s="1375" t="s">
        <v>540</v>
      </c>
      <c r="C1040" s="1369"/>
      <c r="D1040" s="1370" t="str">
        <f t="shared" si="33"/>
        <v>graveler-alola</v>
      </c>
      <c r="E1040" s="1370"/>
    </row>
    <row r="1041" ht="23.25" customHeight="1">
      <c r="A1041" s="1371" t="s">
        <v>1705</v>
      </c>
      <c r="B1041" s="1364" t="s">
        <v>1706</v>
      </c>
      <c r="C1041" s="1373"/>
      <c r="D1041" s="1366" t="str">
        <f t="shared" si="33"/>
        <v>golem-alola</v>
      </c>
      <c r="E1041" s="1366"/>
    </row>
    <row r="1042" ht="23.25" customHeight="1">
      <c r="A1042" s="1367" t="s">
        <v>1707</v>
      </c>
      <c r="B1042" s="1375" t="s">
        <v>534</v>
      </c>
      <c r="C1042" s="1369"/>
      <c r="D1042" s="1370" t="str">
        <f t="shared" si="33"/>
        <v>grimer-alola</v>
      </c>
      <c r="E1042" s="1370"/>
    </row>
    <row r="1043" ht="23.25" customHeight="1">
      <c r="A1043" s="1371" t="s">
        <v>1708</v>
      </c>
      <c r="B1043" s="1364" t="s">
        <v>569</v>
      </c>
      <c r="C1043" s="1373"/>
      <c r="D1043" s="1366" t="s">
        <v>1709</v>
      </c>
      <c r="E1043" s="1366"/>
    </row>
    <row r="1044" ht="23.25" customHeight="1">
      <c r="A1044" s="1367" t="s">
        <v>1710</v>
      </c>
      <c r="B1044" s="1377" t="s">
        <v>465</v>
      </c>
      <c r="C1044" s="1369"/>
      <c r="D1044" s="1370" t="str">
        <f t="shared" ref="D1044:D1045" si="34">LOWER(B1044)</f>
        <v>exeggutor-alola</v>
      </c>
      <c r="E1044" s="1370"/>
    </row>
    <row r="1045" ht="23.25" customHeight="1">
      <c r="A1045" s="1371" t="s">
        <v>1711</v>
      </c>
      <c r="B1045" s="1364" t="s">
        <v>638</v>
      </c>
      <c r="C1045" s="1373"/>
      <c r="D1045" s="1366" t="str">
        <f t="shared" si="34"/>
        <v>marowak-alola</v>
      </c>
      <c r="E1045" s="1366"/>
    </row>
    <row r="1046" ht="23.25" customHeight="1">
      <c r="A1046" s="1367" t="s">
        <v>1712</v>
      </c>
      <c r="B1046" s="1375" t="s">
        <v>536</v>
      </c>
      <c r="C1046" s="1369"/>
      <c r="D1046" s="1370"/>
      <c r="E1046" s="1370"/>
    </row>
    <row r="1047" ht="23.25" customHeight="1">
      <c r="A1047" s="1371" t="s">
        <v>1713</v>
      </c>
      <c r="B1047" s="1364" t="s">
        <v>561</v>
      </c>
      <c r="C1047" s="1373"/>
      <c r="D1047" s="1366" t="str">
        <f t="shared" ref="D1047:D1052" si="35">LOWER(B1047)</f>
        <v>ponyta-galar</v>
      </c>
      <c r="E1047" s="1366"/>
    </row>
    <row r="1048" ht="23.25" customHeight="1">
      <c r="A1048" s="1367" t="s">
        <v>1714</v>
      </c>
      <c r="B1048" s="1375" t="s">
        <v>601</v>
      </c>
      <c r="C1048" s="1369"/>
      <c r="D1048" s="1370" t="str">
        <f t="shared" si="35"/>
        <v>rapidash-galar</v>
      </c>
      <c r="E1048" s="1370"/>
    </row>
    <row r="1049" ht="23.25" customHeight="1">
      <c r="A1049" s="1371" t="s">
        <v>1715</v>
      </c>
      <c r="B1049" s="1364" t="s">
        <v>688</v>
      </c>
      <c r="C1049" s="1373"/>
      <c r="D1049" s="1366" t="str">
        <f t="shared" si="35"/>
        <v>slowpoke-galar</v>
      </c>
      <c r="E1049" s="1366"/>
    </row>
    <row r="1050" ht="23.25" customHeight="1">
      <c r="A1050" s="1367" t="s">
        <v>1716</v>
      </c>
      <c r="B1050" s="1375" t="s">
        <v>345</v>
      </c>
      <c r="C1050" s="1369"/>
      <c r="D1050" s="1370" t="str">
        <f t="shared" si="35"/>
        <v>slowbro-galar</v>
      </c>
      <c r="E1050" s="1370"/>
    </row>
    <row r="1051" ht="23.25" customHeight="1">
      <c r="A1051" s="1371" t="s">
        <v>1717</v>
      </c>
      <c r="B1051" s="1364" t="s">
        <v>1250</v>
      </c>
      <c r="C1051" s="1373"/>
      <c r="D1051" s="1366" t="str">
        <f t="shared" si="35"/>
        <v>farfetch'd-galar</v>
      </c>
      <c r="E1051" s="1366"/>
    </row>
    <row r="1052" ht="23.25" customHeight="1">
      <c r="A1052" s="1367" t="s">
        <v>1718</v>
      </c>
      <c r="B1052" s="1375" t="s">
        <v>544</v>
      </c>
      <c r="C1052" s="1369"/>
      <c r="D1052" s="1370" t="str">
        <f t="shared" si="35"/>
        <v>weezing-galar</v>
      </c>
      <c r="E1052" s="1370"/>
    </row>
    <row r="1053" ht="23.25" customHeight="1">
      <c r="A1053" s="1371" t="s">
        <v>1719</v>
      </c>
      <c r="B1053" s="1364" t="s">
        <v>464</v>
      </c>
      <c r="C1053" s="1373"/>
      <c r="D1053" s="1366" t="s">
        <v>1720</v>
      </c>
      <c r="E1053" s="1366"/>
    </row>
    <row r="1054" ht="23.25" customHeight="1">
      <c r="A1054" s="1367" t="s">
        <v>1721</v>
      </c>
      <c r="B1054" s="1375" t="s">
        <v>816</v>
      </c>
      <c r="C1054" s="1369"/>
      <c r="D1054" s="1370" t="str">
        <f t="shared" ref="D1054:D1058" si="36">LOWER(B1054)</f>
        <v>articuno-galar</v>
      </c>
      <c r="E1054" s="1370"/>
    </row>
    <row r="1055" ht="23.25" customHeight="1">
      <c r="A1055" s="1371" t="s">
        <v>1722</v>
      </c>
      <c r="B1055" s="1364" t="s">
        <v>820</v>
      </c>
      <c r="C1055" s="1373"/>
      <c r="D1055" s="1366" t="str">
        <f t="shared" si="36"/>
        <v>zapdos-galar</v>
      </c>
      <c r="E1055" s="1366"/>
    </row>
    <row r="1056" ht="23.25" customHeight="1">
      <c r="A1056" s="1367" t="s">
        <v>1723</v>
      </c>
      <c r="B1056" s="1375" t="s">
        <v>824</v>
      </c>
      <c r="C1056" s="1369"/>
      <c r="D1056" s="1370" t="str">
        <f t="shared" si="36"/>
        <v>moltres-galar</v>
      </c>
      <c r="E1056" s="1370"/>
    </row>
    <row r="1057" ht="23.25" customHeight="1">
      <c r="A1057" s="1371" t="s">
        <v>1724</v>
      </c>
      <c r="B1057" s="1364" t="s">
        <v>1725</v>
      </c>
      <c r="C1057" s="1373"/>
      <c r="D1057" s="1366" t="str">
        <f t="shared" si="36"/>
        <v>slowking-galar</v>
      </c>
      <c r="E1057" s="1366"/>
    </row>
    <row r="1058" ht="23.25" customHeight="1">
      <c r="A1058" s="1367" t="s">
        <v>1726</v>
      </c>
      <c r="B1058" s="1375" t="s">
        <v>694</v>
      </c>
      <c r="C1058" s="1369"/>
      <c r="D1058" s="1370" t="str">
        <f t="shared" si="36"/>
        <v>corsola-galar</v>
      </c>
      <c r="E1058" s="1370"/>
    </row>
    <row r="1059" ht="23.25" customHeight="1">
      <c r="A1059" s="1371" t="s">
        <v>1727</v>
      </c>
      <c r="B1059" s="1364" t="s">
        <v>550</v>
      </c>
      <c r="C1059" s="1373"/>
      <c r="D1059" s="1366" t="s">
        <v>1728</v>
      </c>
      <c r="E1059" s="1366"/>
    </row>
    <row r="1060" ht="23.25" customHeight="1">
      <c r="A1060" s="1367" t="s">
        <v>1729</v>
      </c>
      <c r="B1060" s="1375" t="s">
        <v>1730</v>
      </c>
      <c r="C1060" s="1369"/>
      <c r="D1060" s="1370" t="str">
        <f t="shared" ref="D1060:D1061" si="37">LOWER(B1060)</f>
        <v>linoone-galar</v>
      </c>
      <c r="E1060" s="1370"/>
    </row>
    <row r="1061" ht="23.25" customHeight="1">
      <c r="A1061" s="1371" t="s">
        <v>1731</v>
      </c>
      <c r="B1061" s="1364" t="s">
        <v>1732</v>
      </c>
      <c r="C1061" s="1373"/>
      <c r="D1061" s="1366" t="str">
        <f t="shared" si="37"/>
        <v>darumaka-galar</v>
      </c>
      <c r="E1061" s="1366"/>
    </row>
    <row r="1062" ht="23.25" customHeight="1">
      <c r="A1062" s="1367" t="s">
        <v>1733</v>
      </c>
      <c r="B1062" s="1375" t="s">
        <v>194</v>
      </c>
      <c r="C1062" s="1369"/>
      <c r="D1062" s="1370" t="s">
        <v>1734</v>
      </c>
      <c r="E1062" s="1370"/>
    </row>
    <row r="1063" ht="23.25" customHeight="1">
      <c r="A1063" s="1371" t="s">
        <v>1735</v>
      </c>
      <c r="B1063" s="1364" t="s">
        <v>581</v>
      </c>
      <c r="C1063" s="1373"/>
      <c r="D1063" s="1366" t="str">
        <f>LOWER(B1063)</f>
        <v>yamask-galar</v>
      </c>
      <c r="E1063" s="1366"/>
    </row>
    <row r="1064" ht="23.25" customHeight="1">
      <c r="A1064" s="1367" t="s">
        <v>1736</v>
      </c>
      <c r="B1064" s="1375" t="s">
        <v>344</v>
      </c>
      <c r="C1064" s="1369"/>
      <c r="D1064" s="1370" t="s">
        <v>1737</v>
      </c>
      <c r="E1064" s="1370"/>
    </row>
    <row r="1065" ht="23.25" customHeight="1">
      <c r="A1065" s="1371" t="s">
        <v>1738</v>
      </c>
      <c r="B1065" s="1364" t="s">
        <v>612</v>
      </c>
      <c r="C1065" s="1373"/>
      <c r="D1065" s="1366" t="str">
        <f t="shared" ref="D1065:D1066" si="38">LOWER(B1065)</f>
        <v>growlithe-hisui</v>
      </c>
      <c r="E1065" s="1366"/>
    </row>
    <row r="1066" ht="23.25" customHeight="1">
      <c r="A1066" s="1367" t="s">
        <v>1739</v>
      </c>
      <c r="B1066" s="1375" t="s">
        <v>425</v>
      </c>
      <c r="C1066" s="1369"/>
      <c r="D1066" s="1370" t="str">
        <f t="shared" si="38"/>
        <v>arcanine-hisui</v>
      </c>
      <c r="E1066" s="1370"/>
    </row>
    <row r="1067" ht="23.25" customHeight="1">
      <c r="A1067" s="1371" t="s">
        <v>1740</v>
      </c>
      <c r="B1067" s="1364" t="s">
        <v>539</v>
      </c>
      <c r="C1067" s="1373"/>
      <c r="D1067" s="1366" t="s">
        <v>1741</v>
      </c>
      <c r="E1067" s="1366"/>
    </row>
    <row r="1068" ht="23.25" customHeight="1">
      <c r="A1068" s="1367" t="s">
        <v>1742</v>
      </c>
      <c r="B1068" s="1375" t="s">
        <v>157</v>
      </c>
      <c r="C1068" s="1369"/>
      <c r="D1068" s="1370" t="str">
        <f t="shared" ref="D1068:D1074" si="39">LOWER(B1068)</f>
        <v>electrode-hisui</v>
      </c>
      <c r="E1068" s="1370"/>
    </row>
    <row r="1069" ht="23.25" customHeight="1">
      <c r="A1069" s="1371" t="s">
        <v>1743</v>
      </c>
      <c r="B1069" s="1364" t="s">
        <v>215</v>
      </c>
      <c r="C1069" s="1373"/>
      <c r="D1069" s="1366" t="str">
        <f t="shared" si="39"/>
        <v>typhlosion-hisui</v>
      </c>
      <c r="E1069" s="1373"/>
    </row>
    <row r="1070" ht="23.25" customHeight="1">
      <c r="A1070" s="1367" t="s">
        <v>1744</v>
      </c>
      <c r="B1070" s="1375" t="s">
        <v>693</v>
      </c>
      <c r="C1070" s="1369"/>
      <c r="D1070" s="1370" t="str">
        <f t="shared" si="39"/>
        <v>qwilfish-hisui</v>
      </c>
      <c r="E1070" s="1369"/>
    </row>
    <row r="1071" ht="23.25" customHeight="1">
      <c r="A1071" s="1371" t="s">
        <v>1745</v>
      </c>
      <c r="B1071" s="1364" t="s">
        <v>212</v>
      </c>
      <c r="C1071" s="1373"/>
      <c r="D1071" s="1366" t="str">
        <f t="shared" si="39"/>
        <v>sneasel-hisui</v>
      </c>
      <c r="E1071" s="1366"/>
    </row>
    <row r="1072" ht="23.25" customHeight="1">
      <c r="A1072" s="1367" t="s">
        <v>1746</v>
      </c>
      <c r="B1072" s="1375" t="s">
        <v>350</v>
      </c>
      <c r="C1072" s="1369"/>
      <c r="D1072" s="1370" t="str">
        <f t="shared" si="39"/>
        <v>samurott-hisui</v>
      </c>
      <c r="E1072" s="1370"/>
    </row>
    <row r="1073" ht="23.25" customHeight="1">
      <c r="A1073" s="1371" t="s">
        <v>1747</v>
      </c>
      <c r="B1073" s="1364" t="s">
        <v>266</v>
      </c>
      <c r="C1073" s="1373"/>
      <c r="D1073" s="1366" t="str">
        <f t="shared" si="39"/>
        <v>lilligant-hisui</v>
      </c>
      <c r="E1073" s="1366"/>
    </row>
    <row r="1074" ht="23.25" customHeight="1">
      <c r="A1074" s="1367" t="s">
        <v>1748</v>
      </c>
      <c r="B1074" s="1375" t="s">
        <v>767</v>
      </c>
      <c r="C1074" s="1369"/>
      <c r="D1074" s="1370" t="str">
        <f t="shared" si="39"/>
        <v>zorua-hisui</v>
      </c>
      <c r="E1074" s="1370"/>
    </row>
    <row r="1075" ht="23.25" customHeight="1">
      <c r="A1075" s="1371" t="s">
        <v>1749</v>
      </c>
      <c r="B1075" s="1364" t="s">
        <v>214</v>
      </c>
      <c r="C1075" s="1373"/>
      <c r="D1075" s="1366" t="s">
        <v>1750</v>
      </c>
      <c r="E1075" s="1373"/>
    </row>
    <row r="1076" ht="23.25" customHeight="1">
      <c r="A1076" s="1367" t="s">
        <v>1751</v>
      </c>
      <c r="B1076" s="1375" t="s">
        <v>427</v>
      </c>
      <c r="C1076" s="1369"/>
      <c r="D1076" s="1370" t="s">
        <v>1752</v>
      </c>
      <c r="E1076" s="1370"/>
    </row>
    <row r="1077" ht="23.25" customHeight="1">
      <c r="A1077" s="1371" t="s">
        <v>1753</v>
      </c>
      <c r="B1077" s="1364" t="s">
        <v>1135</v>
      </c>
      <c r="C1077" s="1373"/>
      <c r="D1077" s="1366" t="str">
        <f t="shared" ref="D1077:D1078" si="40">LOWER(B1077)</f>
        <v>sliggoo-hisui</v>
      </c>
      <c r="E1077" s="1366"/>
    </row>
    <row r="1078" ht="23.25" customHeight="1">
      <c r="A1078" s="1367" t="s">
        <v>1754</v>
      </c>
      <c r="B1078" s="1375" t="s">
        <v>270</v>
      </c>
      <c r="C1078" s="1369"/>
      <c r="D1078" s="1370" t="str">
        <f t="shared" si="40"/>
        <v>goodra-hisui</v>
      </c>
      <c r="E1078" s="1370"/>
    </row>
    <row r="1079" ht="23.25" customHeight="1">
      <c r="A1079" s="1371" t="s">
        <v>1755</v>
      </c>
      <c r="B1079" s="1364" t="s">
        <v>617</v>
      </c>
      <c r="C1079" s="1373"/>
      <c r="D1079" s="1366" t="s">
        <v>1756</v>
      </c>
      <c r="E1079" s="1366"/>
    </row>
    <row r="1080" ht="23.25" customHeight="1">
      <c r="A1080" s="1367" t="s">
        <v>1757</v>
      </c>
      <c r="B1080" s="1375" t="s">
        <v>158</v>
      </c>
      <c r="C1080" s="1369"/>
      <c r="D1080" s="1370" t="str">
        <f t="shared" ref="D1080:D1094" si="41">LOWER(B1080)</f>
        <v>decidueye-hisui</v>
      </c>
      <c r="E1080" s="1370"/>
    </row>
    <row r="1081" ht="23.25" customHeight="1">
      <c r="A1081" s="1371" t="s">
        <v>1758</v>
      </c>
      <c r="B1081" s="1364" t="s">
        <v>763</v>
      </c>
      <c r="C1081" s="1373"/>
      <c r="D1081" s="1366" t="str">
        <f t="shared" si="41"/>
        <v>tauros-combat</v>
      </c>
      <c r="E1081" s="1366"/>
    </row>
    <row r="1082" ht="23.25" customHeight="1">
      <c r="A1082" s="1367" t="s">
        <v>1759</v>
      </c>
      <c r="B1082" s="1375" t="s">
        <v>761</v>
      </c>
      <c r="C1082" s="1369"/>
      <c r="D1082" s="1370" t="str">
        <f t="shared" si="41"/>
        <v>tauros-blaze</v>
      </c>
      <c r="E1082" s="1370"/>
    </row>
    <row r="1083" ht="23.25" customHeight="1">
      <c r="A1083" s="1371" t="s">
        <v>1760</v>
      </c>
      <c r="B1083" s="1364" t="s">
        <v>764</v>
      </c>
      <c r="C1083" s="1373"/>
      <c r="D1083" s="1366" t="str">
        <f t="shared" si="41"/>
        <v>tauros-aqua</v>
      </c>
      <c r="E1083" s="1366"/>
    </row>
    <row r="1084" ht="23.25" customHeight="1">
      <c r="A1084" s="1367" t="s">
        <v>1761</v>
      </c>
      <c r="B1084" s="1375" t="s">
        <v>530</v>
      </c>
      <c r="C1084" s="1369"/>
      <c r="D1084" s="1370" t="str">
        <f t="shared" si="41"/>
        <v>wooper-paldea</v>
      </c>
      <c r="E1084" s="1370"/>
    </row>
    <row r="1085" ht="23.25" customHeight="1">
      <c r="A1085" s="1378" t="s">
        <v>1762</v>
      </c>
      <c r="B1085" s="1364" t="s">
        <v>211</v>
      </c>
      <c r="C1085" s="1379" t="str">
        <f t="array" ref="C1085:C1102">IMAGE($A1085:$A1102,4,36,36)</f>
        <v/>
      </c>
      <c r="D1085" s="1366" t="str">
        <f t="shared" si="41"/>
        <v>blitzle-sevii</v>
      </c>
      <c r="E1085" s="1366"/>
    </row>
    <row r="1086" ht="23.25" customHeight="1">
      <c r="A1086" s="1380" t="s">
        <v>1763</v>
      </c>
      <c r="B1086" s="1375" t="s">
        <v>1764</v>
      </c>
      <c r="C1086" s="1381"/>
      <c r="D1086" s="1370" t="str">
        <f t="shared" si="41"/>
        <v>zebstrika-sevii</v>
      </c>
      <c r="E1086" s="1370"/>
    </row>
    <row r="1087" ht="23.25" customHeight="1">
      <c r="A1087" s="1378" t="s">
        <v>1765</v>
      </c>
      <c r="B1087" s="1364" t="s">
        <v>1766</v>
      </c>
      <c r="C1087" s="1379"/>
      <c r="D1087" s="1366" t="str">
        <f t="shared" si="41"/>
        <v>sizzlipede-sevii</v>
      </c>
      <c r="E1087" s="1373"/>
    </row>
    <row r="1088" ht="23.25" customHeight="1">
      <c r="A1088" s="1380" t="s">
        <v>1767</v>
      </c>
      <c r="B1088" s="1375" t="s">
        <v>602</v>
      </c>
      <c r="C1088" s="1381"/>
      <c r="D1088" s="1370" t="str">
        <f t="shared" si="41"/>
        <v>centiskorch-sevii</v>
      </c>
      <c r="E1088" s="1370"/>
    </row>
    <row r="1089" ht="23.25" customHeight="1">
      <c r="A1089" s="1378" t="s">
        <v>1768</v>
      </c>
      <c r="B1089" s="1364" t="s">
        <v>727</v>
      </c>
      <c r="C1089" s="1379"/>
      <c r="D1089" s="1366" t="str">
        <f t="shared" si="41"/>
        <v>dhelmise-sevii</v>
      </c>
      <c r="E1089" s="1366"/>
    </row>
    <row r="1090" ht="23.25" customHeight="1">
      <c r="A1090" s="1380" t="s">
        <v>1769</v>
      </c>
      <c r="B1090" s="1375" t="s">
        <v>161</v>
      </c>
      <c r="C1090" s="1381"/>
      <c r="D1090" s="1370" t="str">
        <f t="shared" si="41"/>
        <v>wishiwashi-sevii</v>
      </c>
      <c r="E1090" s="1370"/>
    </row>
    <row r="1091" ht="23.25" customHeight="1">
      <c r="A1091" s="1378" t="s">
        <v>1770</v>
      </c>
      <c r="B1091" s="1364" t="s">
        <v>1771</v>
      </c>
      <c r="C1091" s="1379"/>
      <c r="D1091" s="1366" t="str">
        <f t="shared" si="41"/>
        <v>wishiwashi-school-sevii</v>
      </c>
      <c r="E1091" s="1373"/>
    </row>
    <row r="1092" ht="23.25" customHeight="1">
      <c r="A1092" s="1380" t="s">
        <v>1772</v>
      </c>
      <c r="B1092" s="1375" t="s">
        <v>216</v>
      </c>
      <c r="C1092" s="1381"/>
      <c r="D1092" s="1370" t="str">
        <f t="shared" si="41"/>
        <v>clauncher-sevii</v>
      </c>
      <c r="E1092" s="1370"/>
    </row>
    <row r="1093" ht="23.25" customHeight="1">
      <c r="A1093" s="1378" t="s">
        <v>1773</v>
      </c>
      <c r="B1093" s="1364" t="s">
        <v>1774</v>
      </c>
      <c r="C1093" s="1379"/>
      <c r="D1093" s="1366" t="str">
        <f t="shared" si="41"/>
        <v>clawitzer-sevii</v>
      </c>
      <c r="E1093" s="1366"/>
    </row>
    <row r="1094" ht="23.25" customHeight="1">
      <c r="A1094" s="1380" t="s">
        <v>1775</v>
      </c>
      <c r="B1094" s="1375" t="s">
        <v>704</v>
      </c>
      <c r="C1094" s="1381"/>
      <c r="D1094" s="1370" t="str">
        <f t="shared" si="41"/>
        <v>feebas-sevii</v>
      </c>
      <c r="E1094" s="1370"/>
    </row>
    <row r="1095" ht="23.25" customHeight="1">
      <c r="A1095" s="1378" t="s">
        <v>1776</v>
      </c>
      <c r="B1095" s="1364" t="s">
        <v>746</v>
      </c>
      <c r="C1095" s="1379"/>
      <c r="D1095" s="1366" t="s">
        <v>1777</v>
      </c>
      <c r="E1095" s="1366"/>
    </row>
    <row r="1096" ht="23.25" customHeight="1">
      <c r="A1096" s="1380" t="s">
        <v>1778</v>
      </c>
      <c r="B1096" s="1375" t="s">
        <v>159</v>
      </c>
      <c r="C1096" s="1381"/>
      <c r="D1096" s="1370" t="s">
        <v>1779</v>
      </c>
      <c r="E1096" s="1370"/>
    </row>
    <row r="1097" ht="23.25" customHeight="1">
      <c r="A1097" s="1378" t="s">
        <v>1780</v>
      </c>
      <c r="B1097" s="1364" t="s">
        <v>151</v>
      </c>
      <c r="C1097" s="1379"/>
      <c r="D1097" s="1366" t="str">
        <f t="shared" ref="D1097:D1099" si="42">LOWER(B1097)</f>
        <v>doduo-sevii</v>
      </c>
      <c r="E1097" s="1366"/>
    </row>
    <row r="1098" ht="23.25" customHeight="1">
      <c r="A1098" s="1380" t="s">
        <v>1781</v>
      </c>
      <c r="B1098" s="1375" t="s">
        <v>383</v>
      </c>
      <c r="C1098" s="1381"/>
      <c r="D1098" s="1370" t="str">
        <f t="shared" si="42"/>
        <v>dodrio-sevii</v>
      </c>
      <c r="E1098" s="1370"/>
    </row>
    <row r="1099" ht="23.25" customHeight="1">
      <c r="A1099" s="1378" t="s">
        <v>1782</v>
      </c>
      <c r="B1099" s="1364" t="s">
        <v>702</v>
      </c>
      <c r="C1099" s="1379"/>
      <c r="D1099" s="1366" t="str">
        <f t="shared" si="42"/>
        <v>mantyke-sevii</v>
      </c>
      <c r="E1099" s="1366"/>
    </row>
    <row r="1100" ht="23.25" customHeight="1">
      <c r="A1100" s="1380" t="s">
        <v>1783</v>
      </c>
      <c r="B1100" s="1375" t="s">
        <v>743</v>
      </c>
      <c r="C1100" s="1381"/>
      <c r="D1100" s="1370" t="s">
        <v>1784</v>
      </c>
      <c r="E1100" s="1370"/>
    </row>
    <row r="1101" ht="23.25" customHeight="1">
      <c r="A1101" s="1378" t="s">
        <v>1785</v>
      </c>
      <c r="B1101" s="1364" t="s">
        <v>160</v>
      </c>
      <c r="C1101" s="1379"/>
      <c r="D1101" s="1366" t="str">
        <f t="shared" ref="D1101:D1106" si="43">LOWER(B1101)</f>
        <v>teddiursa-sevii</v>
      </c>
      <c r="E1101" s="1366"/>
    </row>
    <row r="1102" ht="23.25" customHeight="1">
      <c r="A1102" s="1380" t="s">
        <v>1786</v>
      </c>
      <c r="B1102" s="1375" t="s">
        <v>1787</v>
      </c>
      <c r="C1102" s="1381"/>
      <c r="D1102" s="1370" t="str">
        <f t="shared" si="43"/>
        <v>ursaring-sevii</v>
      </c>
      <c r="E1102" s="1370"/>
    </row>
    <row r="1103" ht="23.25" customHeight="1">
      <c r="A1103" s="1378" t="s">
        <v>1788</v>
      </c>
      <c r="B1103" s="1364" t="s">
        <v>210</v>
      </c>
      <c r="C1103" s="1373"/>
      <c r="D1103" s="1366" t="str">
        <f t="shared" si="43"/>
        <v>noibat-sevii</v>
      </c>
      <c r="E1103" s="1366"/>
    </row>
    <row r="1104" ht="23.25" customHeight="1">
      <c r="A1104" s="1380" t="s">
        <v>1789</v>
      </c>
      <c r="B1104" s="1375" t="s">
        <v>1790</v>
      </c>
      <c r="C1104" s="1369"/>
      <c r="D1104" s="1370" t="str">
        <f t="shared" si="43"/>
        <v>noivern-sevii</v>
      </c>
      <c r="E1104" s="1370"/>
    </row>
    <row r="1105" ht="23.25" customHeight="1">
      <c r="A1105" s="1378" t="s">
        <v>1791</v>
      </c>
      <c r="B1105" s="1364" t="s">
        <v>213</v>
      </c>
      <c r="C1105" s="1373"/>
      <c r="D1105" s="1366" t="str">
        <f t="shared" si="43"/>
        <v>nymble-sevii</v>
      </c>
      <c r="E1105" s="1366"/>
    </row>
    <row r="1106" ht="23.25" customHeight="1">
      <c r="A1106" s="1380" t="s">
        <v>1792</v>
      </c>
      <c r="B1106" s="1375" t="s">
        <v>1793</v>
      </c>
      <c r="C1106" s="1369"/>
      <c r="D1106" s="1370" t="str">
        <f t="shared" si="43"/>
        <v>lokix-sevii</v>
      </c>
      <c r="E1106" s="1370"/>
    </row>
    <row r="1107" ht="23.25" customHeight="1">
      <c r="A1107" s="1378" t="s">
        <v>1794</v>
      </c>
      <c r="B1107" s="1364" t="s">
        <v>1795</v>
      </c>
      <c r="C1107" s="1373" t="str">
        <f t="array" ref="C1107:C1121">IMAGE($A1107:$A1121,3)</f>
        <v/>
      </c>
      <c r="D1107" s="1366" t="s">
        <v>1796</v>
      </c>
      <c r="E1107" s="1373"/>
    </row>
    <row r="1108" ht="23.25" customHeight="1">
      <c r="A1108" s="1382" t="s">
        <v>1797</v>
      </c>
      <c r="B1108" s="1368" t="s">
        <v>1202</v>
      </c>
      <c r="C1108" s="1369"/>
      <c r="D1108" s="1370" t="str">
        <f t="shared" ref="D1108:D1118" si="44">LOWER(B1108)</f>
        <v>pikachu-rockstar</v>
      </c>
      <c r="E1108" s="1370"/>
    </row>
    <row r="1109" ht="23.25" customHeight="1">
      <c r="A1109" s="1383" t="s">
        <v>1798</v>
      </c>
      <c r="B1109" s="1372" t="s">
        <v>1198</v>
      </c>
      <c r="C1109" s="1373"/>
      <c r="D1109" s="1366" t="str">
        <f t="shared" si="44"/>
        <v>pikachu-belle</v>
      </c>
      <c r="E1109" s="1373"/>
    </row>
    <row r="1110" ht="23.25" customHeight="1">
      <c r="A1110" s="1382" t="s">
        <v>1799</v>
      </c>
      <c r="B1110" s="1368" t="s">
        <v>1194</v>
      </c>
      <c r="C1110" s="1369"/>
      <c r="D1110" s="1370" t="str">
        <f t="shared" si="44"/>
        <v>pikachu-popstar</v>
      </c>
      <c r="E1110" s="1370"/>
    </row>
    <row r="1111" ht="23.25" customHeight="1">
      <c r="A1111" s="1383" t="s">
        <v>1800</v>
      </c>
      <c r="B1111" s="1372" t="s">
        <v>1801</v>
      </c>
      <c r="C1111" s="1373"/>
      <c r="D1111" s="1366" t="str">
        <f t="shared" si="44"/>
        <v>pikachu-phd</v>
      </c>
      <c r="E1111" s="1366"/>
    </row>
    <row r="1112" ht="23.25" customHeight="1">
      <c r="A1112" s="1382" t="s">
        <v>1802</v>
      </c>
      <c r="B1112" s="1368" t="s">
        <v>1206</v>
      </c>
      <c r="C1112" s="1369"/>
      <c r="D1112" s="1370" t="str">
        <f t="shared" si="44"/>
        <v>pikachu-libre</v>
      </c>
      <c r="E1112" s="1370"/>
    </row>
    <row r="1113" ht="23.25" customHeight="1">
      <c r="A1113" s="1383" t="s">
        <v>1803</v>
      </c>
      <c r="B1113" s="1372" t="s">
        <v>1804</v>
      </c>
      <c r="C1113" s="1373"/>
      <c r="D1113" s="1366" t="str">
        <f t="shared" si="44"/>
        <v>pikachu-original</v>
      </c>
      <c r="E1113" s="1366"/>
    </row>
    <row r="1114" ht="23.25" customHeight="1">
      <c r="A1114" s="1382" t="s">
        <v>1805</v>
      </c>
      <c r="B1114" s="1368" t="s">
        <v>1806</v>
      </c>
      <c r="C1114" s="1369"/>
      <c r="D1114" s="1370" t="str">
        <f t="shared" si="44"/>
        <v>pikachu-hoenn</v>
      </c>
      <c r="E1114" s="1370"/>
    </row>
    <row r="1115" ht="23.25" customHeight="1">
      <c r="A1115" s="1383" t="s">
        <v>1807</v>
      </c>
      <c r="B1115" s="1372" t="s">
        <v>1808</v>
      </c>
      <c r="C1115" s="1373"/>
      <c r="D1115" s="1366" t="str">
        <f t="shared" si="44"/>
        <v>pikachu-sinnoh</v>
      </c>
      <c r="E1115" s="1366"/>
    </row>
    <row r="1116" ht="23.25" customHeight="1">
      <c r="A1116" s="1382" t="s">
        <v>1809</v>
      </c>
      <c r="B1116" s="1368" t="s">
        <v>1810</v>
      </c>
      <c r="C1116" s="1369"/>
      <c r="D1116" s="1370" t="str">
        <f t="shared" si="44"/>
        <v>pikachu-unova</v>
      </c>
      <c r="E1116" s="1370"/>
    </row>
    <row r="1117" ht="23.25" customHeight="1">
      <c r="A1117" s="1383" t="s">
        <v>1811</v>
      </c>
      <c r="B1117" s="1372" t="s">
        <v>1812</v>
      </c>
      <c r="C1117" s="1373"/>
      <c r="D1117" s="1366" t="str">
        <f t="shared" si="44"/>
        <v>pikachu-kalos</v>
      </c>
      <c r="E1117" s="1366"/>
    </row>
    <row r="1118" ht="23.25" customHeight="1">
      <c r="A1118" s="1384" t="s">
        <v>1813</v>
      </c>
      <c r="B1118" s="1375" t="s">
        <v>1814</v>
      </c>
      <c r="C1118" s="1369"/>
      <c r="D1118" s="1370" t="str">
        <f t="shared" si="44"/>
        <v>pikachu-alola</v>
      </c>
      <c r="E1118" s="1370"/>
    </row>
    <row r="1119" ht="23.25" customHeight="1">
      <c r="A1119" s="1385" t="s">
        <v>1815</v>
      </c>
      <c r="B1119" s="1364" t="s">
        <v>1816</v>
      </c>
      <c r="C1119" s="1373"/>
      <c r="D1119" s="1366"/>
      <c r="E1119" s="1366"/>
    </row>
    <row r="1120" ht="23.25" customHeight="1">
      <c r="A1120" s="1386" t="s">
        <v>1817</v>
      </c>
      <c r="B1120" s="1375" t="s">
        <v>1214</v>
      </c>
      <c r="C1120" s="1381"/>
      <c r="D1120" s="1370" t="str">
        <f t="shared" ref="D1120:D1125" si="45">LOWER(B1120)</f>
        <v>pikachu-flying</v>
      </c>
      <c r="E1120" s="1370"/>
    </row>
    <row r="1121" ht="23.25" customHeight="1">
      <c r="A1121" s="1387" t="s">
        <v>1818</v>
      </c>
      <c r="B1121" s="1364" t="s">
        <v>1218</v>
      </c>
      <c r="C1121" s="1379"/>
      <c r="D1121" s="1366" t="str">
        <f t="shared" si="45"/>
        <v>pikachu-surfing</v>
      </c>
      <c r="E1121" s="1366"/>
    </row>
    <row r="1122" ht="23.25" customHeight="1">
      <c r="A1122" s="1367" t="s">
        <v>1819</v>
      </c>
      <c r="B1122" s="1375" t="s">
        <v>852</v>
      </c>
      <c r="C1122" s="1369" t="str">
        <f t="array" ref="C1122:C1177">IMAGE("https://www.centropkmn.com/pokes/gen9-sprites/"&amp;LOWER($A1122:$A1177)&amp;".png",1)</f>
        <v/>
      </c>
      <c r="D1122" s="1370" t="str">
        <f t="shared" si="45"/>
        <v>deoxys-a</v>
      </c>
      <c r="E1122" s="1370"/>
    </row>
    <row r="1123" ht="23.25" customHeight="1">
      <c r="A1123" s="1371" t="s">
        <v>1820</v>
      </c>
      <c r="B1123" s="1364" t="s">
        <v>854</v>
      </c>
      <c r="C1123" s="1373"/>
      <c r="D1123" s="1366" t="str">
        <f t="shared" si="45"/>
        <v>deoxys-d</v>
      </c>
      <c r="E1123" s="1366"/>
    </row>
    <row r="1124" ht="23.25" customHeight="1">
      <c r="A1124" s="1367" t="s">
        <v>1821</v>
      </c>
      <c r="B1124" s="1375" t="s">
        <v>855</v>
      </c>
      <c r="C1124" s="1369"/>
      <c r="D1124" s="1370" t="str">
        <f t="shared" si="45"/>
        <v>deoxys-s</v>
      </c>
      <c r="E1124" s="1370"/>
    </row>
    <row r="1125" ht="23.25" customHeight="1">
      <c r="A1125" s="1371" t="s">
        <v>1822</v>
      </c>
      <c r="B1125" s="1364" t="s">
        <v>274</v>
      </c>
      <c r="C1125" s="1373"/>
      <c r="D1125" s="1366" t="str">
        <f t="shared" si="45"/>
        <v>burmy-sandy</v>
      </c>
      <c r="E1125" s="1366"/>
    </row>
    <row r="1126" ht="23.25" customHeight="1">
      <c r="A1126" s="1367" t="s">
        <v>1823</v>
      </c>
      <c r="B1126" s="1375" t="s">
        <v>580</v>
      </c>
      <c r="C1126" s="1369"/>
      <c r="D1126" s="1370" t="s">
        <v>1824</v>
      </c>
      <c r="E1126" s="1370"/>
    </row>
    <row r="1127" ht="23.25" customHeight="1">
      <c r="A1127" s="1371" t="s">
        <v>1825</v>
      </c>
      <c r="B1127" s="1372" t="s">
        <v>1826</v>
      </c>
      <c r="C1127" s="1373"/>
      <c r="D1127" s="1366" t="str">
        <f>LOWER(B1127)</f>
        <v>wormadam-sandy</v>
      </c>
      <c r="E1127" s="1366"/>
    </row>
    <row r="1128" ht="23.25" customHeight="1">
      <c r="A1128" s="1367" t="s">
        <v>1827</v>
      </c>
      <c r="B1128" s="1368" t="s">
        <v>1828</v>
      </c>
      <c r="C1128" s="1369"/>
      <c r="D1128" s="1370" t="s">
        <v>1829</v>
      </c>
      <c r="E1128" s="1370"/>
    </row>
    <row r="1129" ht="23.25" customHeight="1">
      <c r="A1129" s="1371" t="s">
        <v>1830</v>
      </c>
      <c r="B1129" s="1364" t="s">
        <v>698</v>
      </c>
      <c r="C1129" s="1373"/>
      <c r="D1129" s="1366" t="str">
        <f t="shared" ref="D1129:D1131" si="46">LOWER(B1129)</f>
        <v>shellos-east</v>
      </c>
      <c r="E1129" s="1366"/>
    </row>
    <row r="1130" ht="23.25" customHeight="1">
      <c r="A1130" s="1367" t="s">
        <v>1831</v>
      </c>
      <c r="B1130" s="1375" t="s">
        <v>1832</v>
      </c>
      <c r="C1130" s="1369"/>
      <c r="D1130" s="1370" t="str">
        <f t="shared" si="46"/>
        <v>gastrodon-east</v>
      </c>
      <c r="E1130" s="1369"/>
    </row>
    <row r="1131" ht="23.25" customHeight="1">
      <c r="A1131" s="1371" t="s">
        <v>1833</v>
      </c>
      <c r="B1131" s="1372" t="s">
        <v>858</v>
      </c>
      <c r="C1131" s="1373"/>
      <c r="D1131" s="1366" t="str">
        <f t="shared" si="46"/>
        <v>rotom-heat</v>
      </c>
      <c r="E1131" s="1366"/>
    </row>
    <row r="1132" ht="23.25" customHeight="1">
      <c r="A1132" s="1367" t="s">
        <v>1834</v>
      </c>
      <c r="B1132" s="1368" t="s">
        <v>856</v>
      </c>
      <c r="C1132" s="1369"/>
      <c r="D1132" s="1370" t="s">
        <v>1835</v>
      </c>
      <c r="E1132" s="1370"/>
    </row>
    <row r="1133" ht="23.25" customHeight="1">
      <c r="A1133" s="1371" t="s">
        <v>1836</v>
      </c>
      <c r="B1133" s="1372" t="s">
        <v>861</v>
      </c>
      <c r="C1133" s="1373"/>
      <c r="D1133" s="1366" t="s">
        <v>1837</v>
      </c>
      <c r="E1133" s="1373"/>
    </row>
    <row r="1134" ht="23.25" customHeight="1">
      <c r="A1134" s="1367" t="s">
        <v>1838</v>
      </c>
      <c r="B1134" s="1368" t="s">
        <v>859</v>
      </c>
      <c r="C1134" s="1369"/>
      <c r="D1134" s="1370" t="s">
        <v>1839</v>
      </c>
      <c r="E1134" s="1370"/>
    </row>
    <row r="1135" ht="23.25" customHeight="1">
      <c r="A1135" s="1371" t="s">
        <v>1840</v>
      </c>
      <c r="B1135" s="1364" t="s">
        <v>860</v>
      </c>
      <c r="C1135" s="1373"/>
      <c r="D1135" s="1366" t="s">
        <v>1841</v>
      </c>
      <c r="E1135" s="1373"/>
    </row>
    <row r="1136" ht="23.25" customHeight="1">
      <c r="A1136" s="1367" t="s">
        <v>1842</v>
      </c>
      <c r="B1136" s="1375" t="s">
        <v>867</v>
      </c>
      <c r="C1136" s="1369"/>
      <c r="D1136" s="1370" t="str">
        <f t="shared" ref="D1136:D1148" si="47">LOWER(B1136)</f>
        <v>dialga-origin</v>
      </c>
      <c r="E1136" s="1370"/>
    </row>
    <row r="1137" ht="23.25" customHeight="1">
      <c r="A1137" s="1371" t="s">
        <v>1843</v>
      </c>
      <c r="B1137" s="1364" t="s">
        <v>870</v>
      </c>
      <c r="C1137" s="1373"/>
      <c r="D1137" s="1366" t="str">
        <f t="shared" si="47"/>
        <v>palkia-origin</v>
      </c>
      <c r="E1137" s="1366"/>
    </row>
    <row r="1138" ht="23.25" customHeight="1">
      <c r="A1138" s="1367" t="s">
        <v>1844</v>
      </c>
      <c r="B1138" s="1375" t="s">
        <v>876</v>
      </c>
      <c r="C1138" s="1369"/>
      <c r="D1138" s="1370" t="str">
        <f t="shared" si="47"/>
        <v>giratina-o</v>
      </c>
      <c r="E1138" s="1370"/>
    </row>
    <row r="1139" ht="23.25" customHeight="1">
      <c r="A1139" s="1371" t="s">
        <v>1845</v>
      </c>
      <c r="B1139" s="1372" t="s">
        <v>887</v>
      </c>
      <c r="C1139" s="1373"/>
      <c r="D1139" s="1366" t="str">
        <f t="shared" si="47"/>
        <v>shaymin-sky</v>
      </c>
      <c r="E1139" s="1366"/>
    </row>
    <row r="1140" ht="23.25" customHeight="1">
      <c r="A1140" s="1367" t="s">
        <v>1846</v>
      </c>
      <c r="B1140" s="1375" t="s">
        <v>723</v>
      </c>
      <c r="C1140" s="1369"/>
      <c r="D1140" s="1370" t="str">
        <f t="shared" si="47"/>
        <v>basculin-blue</v>
      </c>
      <c r="E1140" s="1370"/>
    </row>
    <row r="1141" ht="23.25" customHeight="1">
      <c r="A1141" s="1371" t="s">
        <v>1847</v>
      </c>
      <c r="B1141" s="1364" t="s">
        <v>385</v>
      </c>
      <c r="C1141" s="1373"/>
      <c r="D1141" s="1366" t="str">
        <f t="shared" si="47"/>
        <v>deerling-summer</v>
      </c>
      <c r="E1141" s="1366"/>
    </row>
    <row r="1142" ht="23.25" customHeight="1">
      <c r="A1142" s="1367" t="s">
        <v>1848</v>
      </c>
      <c r="B1142" s="1375" t="s">
        <v>607</v>
      </c>
      <c r="C1142" s="1369"/>
      <c r="D1142" s="1370" t="str">
        <f t="shared" si="47"/>
        <v>deerling-autumn</v>
      </c>
      <c r="E1142" s="1370"/>
    </row>
    <row r="1143" ht="23.25" customHeight="1">
      <c r="A1143" s="1371" t="s">
        <v>1849</v>
      </c>
      <c r="B1143" s="1364" t="s">
        <v>542</v>
      </c>
      <c r="C1143" s="1373"/>
      <c r="D1143" s="1366" t="str">
        <f t="shared" si="47"/>
        <v>deerling-winter</v>
      </c>
      <c r="E1143" s="1366"/>
    </row>
    <row r="1144" ht="23.25" customHeight="1">
      <c r="A1144" s="1367" t="s">
        <v>1850</v>
      </c>
      <c r="B1144" s="1375" t="s">
        <v>898</v>
      </c>
      <c r="C1144" s="1369"/>
      <c r="D1144" s="1370" t="str">
        <f t="shared" si="47"/>
        <v>tornadus-t</v>
      </c>
      <c r="E1144" s="1370"/>
    </row>
    <row r="1145" ht="23.25" customHeight="1">
      <c r="A1145" s="1371" t="s">
        <v>1851</v>
      </c>
      <c r="B1145" s="1364" t="s">
        <v>901</v>
      </c>
      <c r="C1145" s="1373"/>
      <c r="D1145" s="1366" t="str">
        <f t="shared" si="47"/>
        <v>thundurus-t</v>
      </c>
      <c r="E1145" s="1366"/>
    </row>
    <row r="1146" ht="23.25" customHeight="1">
      <c r="A1146" s="1367" t="s">
        <v>1852</v>
      </c>
      <c r="B1146" s="1375" t="s">
        <v>906</v>
      </c>
      <c r="C1146" s="1369"/>
      <c r="D1146" s="1370" t="str">
        <f t="shared" si="47"/>
        <v>landorus-t</v>
      </c>
      <c r="E1146" s="1369"/>
    </row>
    <row r="1147" ht="23.25" customHeight="1">
      <c r="A1147" s="1371" t="s">
        <v>1853</v>
      </c>
      <c r="B1147" s="1364" t="s">
        <v>911</v>
      </c>
      <c r="C1147" s="1373"/>
      <c r="D1147" s="1366" t="str">
        <f t="shared" si="47"/>
        <v>kyurem-w</v>
      </c>
      <c r="E1147" s="1373"/>
    </row>
    <row r="1148" ht="23.25" customHeight="1">
      <c r="A1148" s="1367" t="s">
        <v>1854</v>
      </c>
      <c r="B1148" s="1375" t="s">
        <v>909</v>
      </c>
      <c r="C1148" s="1369"/>
      <c r="D1148" s="1370" t="str">
        <f t="shared" si="47"/>
        <v>kyurem-b</v>
      </c>
      <c r="E1148" s="1369"/>
    </row>
    <row r="1149" ht="23.25" customHeight="1">
      <c r="A1149" s="1371" t="s">
        <v>1855</v>
      </c>
      <c r="B1149" s="1364" t="s">
        <v>916</v>
      </c>
      <c r="C1149" s="1373"/>
      <c r="D1149" s="1366" t="s">
        <v>1856</v>
      </c>
      <c r="E1149" s="1373"/>
    </row>
    <row r="1150" ht="23.25" customHeight="1">
      <c r="A1150" s="1367" t="s">
        <v>1857</v>
      </c>
      <c r="B1150" s="1368" t="s">
        <v>790</v>
      </c>
      <c r="C1150" s="1369"/>
      <c r="D1150" s="1370" t="str">
        <f t="shared" ref="D1150:D1167" si="48">LOWER(B1150)</f>
        <v>floette-eternal</v>
      </c>
      <c r="E1150" s="1369"/>
    </row>
    <row r="1151" ht="23.25" customHeight="1">
      <c r="A1151" s="1371" t="s">
        <v>1858</v>
      </c>
      <c r="B1151" s="1372" t="s">
        <v>1859</v>
      </c>
      <c r="C1151" s="1373"/>
      <c r="D1151" s="1366" t="str">
        <f t="shared" si="48"/>
        <v>meowstic-f</v>
      </c>
      <c r="E1151" s="1373"/>
    </row>
    <row r="1152" ht="23.25" customHeight="1">
      <c r="A1152" s="1367" t="s">
        <v>1860</v>
      </c>
      <c r="B1152" s="1375" t="s">
        <v>450</v>
      </c>
      <c r="C1152" s="1369"/>
      <c r="D1152" s="1370" t="str">
        <f t="shared" si="48"/>
        <v>pumpkaboo-sm</v>
      </c>
      <c r="E1152" s="1369"/>
    </row>
    <row r="1153" ht="23.25" customHeight="1">
      <c r="A1153" s="1371" t="s">
        <v>1861</v>
      </c>
      <c r="B1153" s="1364" t="s">
        <v>632</v>
      </c>
      <c r="C1153" s="1373"/>
      <c r="D1153" s="1366" t="str">
        <f t="shared" si="48"/>
        <v>pumpkaboo-la</v>
      </c>
      <c r="E1153" s="1373"/>
    </row>
    <row r="1154" ht="23.25" customHeight="1">
      <c r="A1154" s="1367" t="s">
        <v>1862</v>
      </c>
      <c r="B1154" s="1375" t="s">
        <v>482</v>
      </c>
      <c r="C1154" s="1369"/>
      <c r="D1154" s="1370" t="str">
        <f t="shared" si="48"/>
        <v>pumpkaboo-su</v>
      </c>
      <c r="E1154" s="1369"/>
    </row>
    <row r="1155" ht="23.25" customHeight="1">
      <c r="A1155" s="1371" t="s">
        <v>1863</v>
      </c>
      <c r="B1155" s="1364" t="s">
        <v>1864</v>
      </c>
      <c r="C1155" s="1373"/>
      <c r="D1155" s="1366" t="str">
        <f t="shared" si="48"/>
        <v>gourgeist-sm</v>
      </c>
      <c r="E1155" s="1373"/>
    </row>
    <row r="1156" ht="23.25" customHeight="1">
      <c r="A1156" s="1367" t="s">
        <v>1865</v>
      </c>
      <c r="B1156" s="1375" t="s">
        <v>1866</v>
      </c>
      <c r="C1156" s="1369"/>
      <c r="D1156" s="1370" t="str">
        <f t="shared" si="48"/>
        <v>gourgeist-la</v>
      </c>
      <c r="E1156" s="1369"/>
    </row>
    <row r="1157" ht="23.25" customHeight="1">
      <c r="A1157" s="1371" t="s">
        <v>1867</v>
      </c>
      <c r="B1157" s="1364" t="s">
        <v>1139</v>
      </c>
      <c r="C1157" s="1373"/>
      <c r="D1157" s="1366" t="str">
        <f t="shared" si="48"/>
        <v>gourgeist-su</v>
      </c>
      <c r="E1157" s="1373"/>
    </row>
    <row r="1158" ht="23.25" customHeight="1">
      <c r="A1158" s="1367" t="s">
        <v>1868</v>
      </c>
      <c r="B1158" s="1368" t="s">
        <v>920</v>
      </c>
      <c r="C1158" s="1369"/>
      <c r="D1158" s="1370" t="str">
        <f t="shared" si="48"/>
        <v>zygarde-10</v>
      </c>
      <c r="E1158" s="1369"/>
    </row>
    <row r="1159" ht="23.25" customHeight="1">
      <c r="A1159" s="1371" t="s">
        <v>1869</v>
      </c>
      <c r="B1159" s="1364" t="s">
        <v>927</v>
      </c>
      <c r="C1159" s="1373"/>
      <c r="D1159" s="1366" t="str">
        <f t="shared" si="48"/>
        <v>hoopa-u</v>
      </c>
      <c r="E1159" s="1373"/>
    </row>
    <row r="1160" ht="23.25" customHeight="1">
      <c r="A1160" s="1367" t="s">
        <v>1870</v>
      </c>
      <c r="B1160" s="1368" t="s">
        <v>1871</v>
      </c>
      <c r="C1160" s="1369"/>
      <c r="D1160" s="1370" t="str">
        <f t="shared" si="48"/>
        <v>oricorio-pompom</v>
      </c>
      <c r="E1160" s="1369"/>
    </row>
    <row r="1161" ht="23.25" customHeight="1">
      <c r="A1161" s="1371" t="s">
        <v>1872</v>
      </c>
      <c r="B1161" s="1372" t="s">
        <v>1873</v>
      </c>
      <c r="C1161" s="1373"/>
      <c r="D1161" s="1366" t="str">
        <f t="shared" si="48"/>
        <v>oricorio-pau</v>
      </c>
      <c r="E1161" s="1373"/>
    </row>
    <row r="1162" ht="23.25" customHeight="1">
      <c r="A1162" s="1367" t="s">
        <v>1874</v>
      </c>
      <c r="B1162" s="1368" t="s">
        <v>1875</v>
      </c>
      <c r="C1162" s="1369"/>
      <c r="D1162" s="1370" t="str">
        <f t="shared" si="48"/>
        <v>oricorio-sensu</v>
      </c>
      <c r="E1162" s="1369"/>
    </row>
    <row r="1163" ht="23.25" customHeight="1">
      <c r="A1163" s="1371" t="s">
        <v>1876</v>
      </c>
      <c r="B1163" s="1364" t="s">
        <v>1877</v>
      </c>
      <c r="C1163" s="1373"/>
      <c r="D1163" s="1366" t="str">
        <f t="shared" si="48"/>
        <v>lycanroc-night</v>
      </c>
      <c r="E1163" s="1373"/>
    </row>
    <row r="1164" ht="23.25" customHeight="1">
      <c r="A1164" s="1367" t="s">
        <v>1878</v>
      </c>
      <c r="B1164" s="1368" t="s">
        <v>1879</v>
      </c>
      <c r="C1164" s="1369"/>
      <c r="D1164" s="1370" t="str">
        <f t="shared" si="48"/>
        <v>lycanroc-dusk</v>
      </c>
      <c r="E1164" s="1369"/>
    </row>
    <row r="1165" ht="23.25" customHeight="1">
      <c r="A1165" s="1371" t="s">
        <v>1880</v>
      </c>
      <c r="B1165" s="1364" t="s">
        <v>958</v>
      </c>
      <c r="C1165" s="1373"/>
      <c r="D1165" s="1366" t="str">
        <f t="shared" si="48"/>
        <v>necrozma-dm</v>
      </c>
      <c r="E1165" s="1373"/>
    </row>
    <row r="1166" ht="23.25" customHeight="1">
      <c r="A1166" s="1367" t="s">
        <v>1881</v>
      </c>
      <c r="B1166" s="1375" t="s">
        <v>960</v>
      </c>
      <c r="C1166" s="1369"/>
      <c r="D1166" s="1370" t="str">
        <f t="shared" si="48"/>
        <v>necrozma-dw</v>
      </c>
      <c r="E1166" s="1369"/>
    </row>
    <row r="1167" ht="23.25" customHeight="1">
      <c r="A1167" s="1371" t="s">
        <v>1882</v>
      </c>
      <c r="B1167" s="1372" t="s">
        <v>963</v>
      </c>
      <c r="C1167" s="1373"/>
      <c r="D1167" s="1366" t="str">
        <f t="shared" si="48"/>
        <v>magearna-original</v>
      </c>
      <c r="E1167" s="1373"/>
    </row>
    <row r="1168" ht="23.25" customHeight="1">
      <c r="A1168" s="1367" t="s">
        <v>1883</v>
      </c>
      <c r="B1168" s="1375" t="s">
        <v>261</v>
      </c>
      <c r="C1168" s="1369"/>
      <c r="D1168" s="1370" t="s">
        <v>1884</v>
      </c>
      <c r="E1168" s="1369"/>
    </row>
    <row r="1169" ht="23.25" customHeight="1">
      <c r="A1169" s="1371" t="s">
        <v>1885</v>
      </c>
      <c r="B1169" s="1372" t="s">
        <v>595</v>
      </c>
      <c r="C1169" s="1373"/>
      <c r="D1169" s="1366" t="s">
        <v>1886</v>
      </c>
      <c r="E1169" s="1373"/>
    </row>
    <row r="1170" ht="23.25" customHeight="1">
      <c r="A1170" s="1367" t="s">
        <v>1887</v>
      </c>
      <c r="B1170" s="1375" t="s">
        <v>1888</v>
      </c>
      <c r="C1170" s="1369"/>
      <c r="D1170" s="1370" t="str">
        <f t="shared" ref="D1170:D1171" si="49">LOWER(B1170)</f>
        <v>zacian-c</v>
      </c>
      <c r="E1170" s="1369"/>
    </row>
    <row r="1171" ht="23.25" customHeight="1">
      <c r="A1171" s="1371" t="s">
        <v>1889</v>
      </c>
      <c r="B1171" s="1364" t="s">
        <v>1890</v>
      </c>
      <c r="C1171" s="1373"/>
      <c r="D1171" s="1366" t="str">
        <f t="shared" si="49"/>
        <v>zamazenta-c</v>
      </c>
      <c r="E1171" s="1373"/>
    </row>
    <row r="1172" ht="23.25" customHeight="1">
      <c r="A1172" s="1367">
        <v>892.0</v>
      </c>
      <c r="B1172" s="1375" t="s">
        <v>983</v>
      </c>
      <c r="C1172" s="1369"/>
      <c r="D1172" s="1369"/>
      <c r="E1172" s="1369"/>
    </row>
    <row r="1173" ht="23.25" customHeight="1">
      <c r="A1173" s="1371" t="s">
        <v>1891</v>
      </c>
      <c r="B1173" s="1364" t="s">
        <v>992</v>
      </c>
      <c r="C1173" s="1373"/>
      <c r="D1173" s="1373"/>
      <c r="E1173" s="1373"/>
    </row>
    <row r="1174" ht="23.25" customHeight="1">
      <c r="A1174" s="1367" t="s">
        <v>1892</v>
      </c>
      <c r="B1174" s="1375" t="s">
        <v>993</v>
      </c>
      <c r="C1174" s="1369"/>
      <c r="D1174" s="1369"/>
      <c r="E1174" s="1369"/>
    </row>
    <row r="1175" ht="23.25" customHeight="1">
      <c r="A1175" s="1371" t="s">
        <v>1893</v>
      </c>
      <c r="B1175" s="1364" t="s">
        <v>742</v>
      </c>
      <c r="C1175" s="1373"/>
      <c r="D1175" s="1373"/>
      <c r="E1175" s="1373"/>
    </row>
    <row r="1176" ht="23.25" customHeight="1">
      <c r="A1176" s="1367" t="s">
        <v>1894</v>
      </c>
      <c r="B1176" s="1375" t="s">
        <v>996</v>
      </c>
      <c r="C1176" s="1369"/>
      <c r="D1176" s="1369"/>
      <c r="E1176" s="1369"/>
    </row>
    <row r="1177" ht="23.25" customHeight="1">
      <c r="A1177" s="1371" t="s">
        <v>1895</v>
      </c>
      <c r="B1177" s="1364" t="s">
        <v>633</v>
      </c>
      <c r="C1177" s="1373"/>
      <c r="D1177" s="1373"/>
      <c r="E1177" s="1373"/>
    </row>
    <row r="1178" ht="23.25" customHeight="1">
      <c r="A1178" s="1388" t="s">
        <v>1896</v>
      </c>
      <c r="B1178" s="1375" t="s">
        <v>268</v>
      </c>
      <c r="C1178" s="1381" t="str">
        <f t="array" ref="C1178">IMAGE($A1178,1)</f>
        <v/>
      </c>
      <c r="D1178" s="1369"/>
      <c r="E1178" s="1369"/>
    </row>
  </sheetData>
  <mergeCells count="4">
    <mergeCell ref="A1:A2"/>
    <mergeCell ref="B1:B2"/>
    <mergeCell ref="C1:C2"/>
    <mergeCell ref="D1:E2"/>
  </mergeCells>
  <hyperlinks>
    <hyperlink r:id="rId1" ref="A1085"/>
    <hyperlink r:id="rId2" ref="A1086"/>
    <hyperlink r:id="rId3" ref="A1087"/>
    <hyperlink r:id="rId4" ref="A1088"/>
    <hyperlink r:id="rId5" ref="A1089"/>
    <hyperlink r:id="rId6" ref="A1090"/>
    <hyperlink r:id="rId7" ref="A1091"/>
    <hyperlink r:id="rId8" ref="A1092"/>
    <hyperlink r:id="rId9" ref="A1093"/>
    <hyperlink r:id="rId10" ref="A1094"/>
    <hyperlink r:id="rId11" ref="A1095"/>
    <hyperlink r:id="rId12" ref="A1096"/>
    <hyperlink r:id="rId13" ref="A1097"/>
    <hyperlink r:id="rId14" ref="A1098"/>
    <hyperlink r:id="rId15" ref="A1099"/>
    <hyperlink r:id="rId16" ref="A1100"/>
    <hyperlink r:id="rId17" ref="A1101"/>
    <hyperlink r:id="rId18" ref="A1102"/>
    <hyperlink r:id="rId19" ref="A1103"/>
    <hyperlink r:id="rId20" ref="A1104"/>
    <hyperlink r:id="rId21" ref="A1105"/>
    <hyperlink r:id="rId22" ref="A1106"/>
    <hyperlink r:id="rId23" ref="A1107"/>
    <hyperlink r:id="rId24" ref="A1118"/>
    <hyperlink r:id="rId25" ref="A1119"/>
    <hyperlink r:id="rId26" ref="A1120"/>
    <hyperlink r:id="rId27" ref="A1121"/>
    <hyperlink r:id="rId28" ref="A1178"/>
  </hyperlinks>
  <drawing r:id="rId29"/>
</worksheet>
</file>